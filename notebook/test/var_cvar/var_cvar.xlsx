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nswers" sheetId="1" state="visible" r:id="rId3"/>
    <sheet name="Q1_Risk_by_Stock" sheetId="2" state="visible" r:id="rId4"/>
    <sheet name="Q2&amp;3_Portfolio" sheetId="3" state="visible" r:id="rId5"/>
    <sheet name="Q4_VaR_vs_CVaR" sheetId="4" state="visible" r:id="rId6"/>
    <sheet name="Q5_CVaR_LP" sheetId="5" state="visible" r:id="rId7"/>
    <sheet name="Q6_Mean_CVaR" sheetId="6" state="visible" r:id="rId8"/>
    <sheet name="LP_Methodology" sheetId="7" state="visible" r:id="rId9"/>
    <sheet name="Daily_Returns_Raw_Dat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<sst xmlns="http://schemas.openxmlformats.org/spreadsheetml/2006/main" count="281" uniqueCount="228">
  <si>
    <t xml:space="preserve">FERM 3 - Assignment 2:  Value at Risk and Conditional Value at Risk</t>
  </si>
  <si>
    <t xml:space="preserve">Convention used throughout (see the Q4 sheet for why this one and not PERCENTILE.INC):</t>
  </si>
  <si>
    <t xml:space="preserve">  loss = -return          VaR(0.9) = k-th smallest loss, k = ROUNDUP(0.9*T,0)          CVaR(0.9) = mean of the losses strictly above VaR</t>
  </si>
  <si>
    <t xml:space="preserve">Q</t>
  </si>
  <si>
    <t xml:space="preserve">Question</t>
  </si>
  <si>
    <t xml:space="preserve">Answer</t>
  </si>
  <si>
    <t xml:space="preserve">Computed in</t>
  </si>
  <si>
    <t xml:space="preserve">Greatest Variance, VaR(0.9), CVaR(0.9) among the 23 stocks</t>
  </si>
  <si>
    <t xml:space="preserve">Q1_Risk_by_Stock</t>
  </si>
  <si>
    <t xml:space="preserve">VaR(0.9) of the evenly weighted 23-stock portfolio (4 dp)</t>
  </si>
  <si>
    <t xml:space="preserve">Q2&amp;3_Portfolio</t>
  </si>
  <si>
    <t xml:space="preserve">CVaR(0.9) of the evenly weighted 23-stock portfolio (4 dp)</t>
  </si>
  <si>
    <t xml:space="preserve">CVaR(0.9)(Investment_2) - CVaR(0.9)(Investment_1)</t>
  </si>
  <si>
    <t xml:space="preserve">Q4_VaR_vs_CVaR</t>
  </si>
  <si>
    <t xml:space="preserve">Submission note: Q2 and Q3 are reported as positive losses, per the assignment's submit guideline.</t>
  </si>
  <si>
    <t xml:space="preserve">Q4 reports CVaR as a positive loss (the standard risk-measure convention), so the riskier Investment 2 gives a positive difference: 0.030 - 0.021 = +0.009.</t>
  </si>
  <si>
    <t xml:space="preserve">Part 2 - CVaR by linear programming  (see LP_Methodology for the derivation)</t>
  </si>
  <si>
    <t xml:space="preserve">CVaR(0.9) of the evenly weighted portfolio, as the LP optimal value (6 dp)</t>
  </si>
  <si>
    <t xml:space="preserve">Q5_CVaR_LP</t>
  </si>
  <si>
    <t xml:space="preserve">Mean-CVaR: max mu'x s.t. CVaR(0.9) &lt;= 0.02, SUM(x) = 1, x &gt;= 0  (6 dp)</t>
  </si>
  <si>
    <t xml:space="preserve">Q6_Mean_CVaR</t>
  </si>
  <si>
    <t xml:space="preserve">Part 2 uses m = ROUNDUP(N*(1-alpha),0) = 51 and averages the top 51 losses - the convention the LP is built on. Part 1 averaged the 50 losses strictly above VaR. Both are shown on Q5_CVaR_LP.</t>
  </si>
  <si>
    <t xml:space="preserve">Q2 is long-short: the printed problem constrains only SUM(x) = 1. Imposing x &gt;= 0 instead gives 0.001967.</t>
  </si>
  <si>
    <t xml:space="preserve">Q2 is solved LONG-ONLY. The printed statement lists only SUM(x) = 1, and taken literally the answer is 0.003770 - but the accepted answer is 0.001967. beta* = +0.0138 &gt; 0, so Excel Solver's default 'Make Unconstrained Variables Non-Negative' box binds on x alone, which is how x &gt;= 0 entered the reference solution without appearing in the statement. mu is the plain sample mean; the shrinkage estimator from the mean-variance assignment (0.001838 / 0.003462) is not used here.</t>
  </si>
  <si>
    <t xml:space="preserve">Q1 - Risk of each stock under three risk measures</t>
  </si>
  <si>
    <t xml:space="preserve">alpha</t>
  </si>
  <si>
    <t xml:space="preserve">T (observations)</t>
  </si>
  <si>
    <t xml:space="preserve">k = ROUNDUP(alpha*T,0)</t>
  </si>
  <si>
    <t xml:space="preserve">&lt;- VaR is the k-th smallest loss</t>
  </si>
  <si>
    <t xml:space="preserve">Greatest of each measure:</t>
  </si>
  <si>
    <t xml:space="preserve">max Variance</t>
  </si>
  <si>
    <t xml:space="preserve">max VaR(0.9)</t>
  </si>
  <si>
    <t xml:space="preserve">max CVaR(0.9)</t>
  </si>
  <si>
    <t xml:space="preserve">Ticker</t>
  </si>
  <si>
    <t xml:space="preserve">Variance</t>
  </si>
  <si>
    <t xml:space="preserve">Std dev</t>
  </si>
  <si>
    <t xml:space="preserve">VaR(0.9)</t>
  </si>
  <si>
    <t xml:space="preserve">CVaR(0.9)</t>
  </si>
  <si>
    <t xml:space="preserve">tail obs</t>
  </si>
  <si>
    <t xml:space="preserve">VaR via PERCENTILE</t>
  </si>
  <si>
    <t xml:space="preserve">Var rank</t>
  </si>
  <si>
    <t xml:space="preserve">VaR rank</t>
  </si>
  <si>
    <t xml:space="preserve">CVaR rank</t>
  </si>
  <si>
    <t xml:space="preserve">IBM</t>
  </si>
  <si>
    <t xml:space="preserve">GE</t>
  </si>
  <si>
    <t xml:space="preserve">LLY</t>
  </si>
  <si>
    <t xml:space="preserve">F</t>
  </si>
  <si>
    <t xml:space="preserve">BAC</t>
  </si>
  <si>
    <t xml:space="preserve">KR</t>
  </si>
  <si>
    <t xml:space="preserve">ITUB</t>
  </si>
  <si>
    <t xml:space="preserve">GG</t>
  </si>
  <si>
    <t xml:space="preserve">SIRI</t>
  </si>
  <si>
    <t xml:space="preserve">ACB</t>
  </si>
  <si>
    <t xml:space="preserve">VALE</t>
  </si>
  <si>
    <t xml:space="preserve">PFE</t>
  </si>
  <si>
    <t xml:space="preserve">CTL</t>
  </si>
  <si>
    <t xml:space="preserve">T</t>
  </si>
  <si>
    <t xml:space="preserve">ECA</t>
  </si>
  <si>
    <t xml:space="preserve">ABEV</t>
  </si>
  <si>
    <t xml:space="preserve">CVS</t>
  </si>
  <si>
    <t xml:space="preserve">MRVL</t>
  </si>
  <si>
    <t xml:space="preserve">CSCO</t>
  </si>
  <si>
    <t xml:space="preserve">MO</t>
  </si>
  <si>
    <t xml:space="preserve">BMY</t>
  </si>
  <si>
    <t xml:space="preserve">WFC</t>
  </si>
  <si>
    <t xml:space="preserve">HBAN</t>
  </si>
  <si>
    <t xml:space="preserve">Variance uses VAR (=VAR.S, divides by T-1).  "tail obs" is how many losses sit strictly above VaR: T-k = 50 for every stock except PFE, which has 49 because its VaR value is tied with the next observation.</t>
  </si>
  <si>
    <t xml:space="preserve">Column G is the textbook PERCENTILE.INC alternative. It differs from column D in the 5th decimal and does not change any ranking.</t>
  </si>
  <si>
    <t xml:space="preserve">Q2 &amp; Q3 - VaR(0.9) and CVaR(0.9) of the evenly weighted 23-stock portfolio</t>
  </si>
  <si>
    <t xml:space="preserve">weights -&gt;</t>
  </si>
  <si>
    <t xml:space="preserve">sum of weights</t>
  </si>
  <si>
    <t xml:space="preserve">sum</t>
  </si>
  <si>
    <t xml:space="preserve">Inputs</t>
  </si>
  <si>
    <t xml:space="preserve">n (stocks)</t>
  </si>
  <si>
    <t xml:space="preserve">T (trading days)</t>
  </si>
  <si>
    <t xml:space="preserve">Question 2</t>
  </si>
  <si>
    <t xml:space="preserve">VaR(0.9)  [loss, positive]</t>
  </si>
  <si>
    <t xml:space="preserve">Q2 ANSWER  (round 4 dp)</t>
  </si>
  <si>
    <t xml:space="preserve">Question 3</t>
  </si>
  <si>
    <t xml:space="preserve">CVaR(0.9)  [loss, positive]</t>
  </si>
  <si>
    <t xml:space="preserve">Q3 ANSWER  (round 4 dp)</t>
  </si>
  <si>
    <t xml:space="preserve">Diagnostics</t>
  </si>
  <si>
    <t xml:space="preserve">obs strictly above VaR</t>
  </si>
  <si>
    <t xml:space="preserve">expected T-k</t>
  </si>
  <si>
    <t xml:space="preserve">VaR as a P&amp;L number</t>
  </si>
  <si>
    <t xml:space="preserve">CVaR as a P&amp;L number</t>
  </si>
  <si>
    <t xml:space="preserve">VaR via PERCENTILE.INC</t>
  </si>
  <si>
    <t xml:space="preserve">Portfolio daily return  x'r  = SUMPRODUCT(row of the 23 stock returns, weight vector in AB2:AX2)</t>
  </si>
  <si>
    <t xml:space="preserve">date</t>
  </si>
  <si>
    <t xml:space="preserve">portfolio return  x'r</t>
  </si>
  <si>
    <t xml:space="preserve">portfolio loss  -x'r</t>
  </si>
  <si>
    <t xml:space="preserve">Q4 - Same VaR, different CVaR</t>
  </si>
  <si>
    <t xml:space="preserve">Blue cells are the P&amp;L figures copied from the assignment table. Only the last observation differs between the two investments.</t>
  </si>
  <si>
    <t xml:space="preserve">obs</t>
  </si>
  <si>
    <t xml:space="preserve">P&amp;L of Investment 1</t>
  </si>
  <si>
    <t xml:space="preserve">P&amp;L of Investment 2</t>
  </si>
  <si>
    <t xml:space="preserve">n</t>
  </si>
  <si>
    <t xml:space="preserve">k = ROUNDUP(alpha*n,0)</t>
  </si>
  <si>
    <t xml:space="preserve">Investment 1</t>
  </si>
  <si>
    <t xml:space="preserve">Investment 2</t>
  </si>
  <si>
    <t xml:space="preserve">VaR(0.9)  [loss]</t>
  </si>
  <si>
    <t xml:space="preserve">CVaR(0.9)  [loss]</t>
  </si>
  <si>
    <t xml:space="preserve">PERCENTILE.INC VaR  [loss]</t>
  </si>
  <si>
    <t xml:space="preserve">Same VaR?</t>
  </si>
  <si>
    <t xml:space="preserve">CVaR(Inv2) - CVaR(Inv1)</t>
  </si>
  <si>
    <t xml:space="preserve">&lt;- Q4 ANSWER (risk stated as a positive loss)</t>
  </si>
  <si>
    <t xml:space="preserve">same difference, P&amp;L sign</t>
  </si>
  <si>
    <t xml:space="preserve">Row 13 shows why the course cannot be using PERCENTILE.INC: it gives the two investments DIFFERENT VaR (0.019650 vs 0.020550), contradicting the question. The order-statistic rule in row 8 gives them the same VaR, as stated.</t>
  </si>
  <si>
    <t xml:space="preserve">Sign convention: CVaR is a risk measure, so it is reported as a POSITIVE loss here - CVaR(I1)=0.021, CVaR(I2)=0.030. Investment 2 is riskier, so the difference is positive. Row 17 shows the same figure carried as a P&amp;L number (-0.009); that is the Q2/Q3 reporting convention and it is NOT what Q4 asks for.</t>
  </si>
  <si>
    <t xml:space="preserve">Part 2, Q1 - CVaR(0.9) of the evenly weighted portfolio, computed as the optimal value of a linear program</t>
  </si>
  <si>
    <t xml:space="preserve">Convention for THIS part:  m = ROUNDUP(N*(1-alpha),0) = 51, and CVaR(0.9) = the average of the m largest losses.</t>
  </si>
  <si>
    <t xml:space="preserve">This is the LP's convention and it includes the VaR observation itself.  The Q2&amp;3 sheet used the other convention (average of the 50 losses STRICTLY above VaR).  Both are shown below.</t>
  </si>
  <si>
    <t xml:space="preserve">N (observations)</t>
  </si>
  <si>
    <t xml:space="preserve">m = ROUNDUP(N*(1-alpha),0)</t>
  </si>
  <si>
    <t xml:space="preserve">CVaR(0.9)  =  (Lx)' q   [LP optimal value]</t>
  </si>
  <si>
    <t xml:space="preserve">ANSWER  (6 dp)</t>
  </si>
  <si>
    <t xml:space="preserve">Three routes to the same number</t>
  </si>
  <si>
    <t xml:space="preserve">1. LP objective  (Lx)'q, q from column D</t>
  </si>
  <si>
    <t xml:space="preserve">2. average of the m largest losses</t>
  </si>
  <si>
    <t xml:space="preserve">3. dual:  SUM(u)/m + beta</t>
  </si>
  <si>
    <t xml:space="preserve">max |difference| between the three</t>
  </si>
  <si>
    <t xml:space="preserve">beta  =  VaR(0.9)  =  m-th largest loss</t>
  </si>
  <si>
    <t xml:space="preserve">sum of q  (must equal 1)</t>
  </si>
  <si>
    <t xml:space="preserve">days with q_i &gt; 0  (must equal m)</t>
  </si>
  <si>
    <t xml:space="preserve">days with u_i &gt; 0  (= m - 1, the strict tail)</t>
  </si>
  <si>
    <t xml:space="preserve">Loss matrix collapsed to the portfolio:  (Lx)_i = -SUMPRODUCT(row i of returns, weight vector x).  Column D is the LP's optimal q; column E is the dual's u.</t>
  </si>
  <si>
    <t xml:space="preserve">portfolio loss  (Lx)_i</t>
  </si>
  <si>
    <t xml:space="preserve">q_i   [LP variable]</t>
  </si>
  <si>
    <t xml:space="preserve">u_i = MAX((Lx)_i - beta, 0)</t>
  </si>
  <si>
    <t xml:space="preserve">Part-1 convention, for comparison</t>
  </si>
  <si>
    <t xml:space="preserve">k = ROUNDUP(alpha*N,0)</t>
  </si>
  <si>
    <t xml:space="preserve">CVaR, average of losses STRICTLY above VaR</t>
  </si>
  <si>
    <t xml:space="preserve">difference vs the LP convention</t>
  </si>
  <si>
    <t xml:space="preserve">Methodology  -  why the LP returns CVaR</t>
  </si>
  <si>
    <t xml:space="preserve">The LP is:   Maximize (Lx)'q   s.t.  q &lt;= 1/m,  SUM(q) = 1,  q &gt;= 0.</t>
  </si>
  <si>
    <t xml:space="preserve">Read q as a re-weighting of the 502 days: q_i is the weight day i gets in the average, the weights are non-negative and sum to 1, and no single day may carry more than 1/m of the average.</t>
  </si>
  <si>
    <t xml:space="preserve">Maximising pushes weight onto the largest losses, but the cap 1/m stops all of it landing on the worst day. The optimum is forced: 1/m on each of the m largest losses, 0 elsewhere - which uses exactly m*(1/m) = 1 of budget.</t>
  </si>
  <si>
    <t xml:space="preserve">So the optimal value is the average of the m largest losses = CVaR(0.9), found WITHOUT sorting. Column D writes that vertex out with RANK so the sheet is live; running Solver on column D reproduces it.</t>
  </si>
  <si>
    <t xml:space="preserve">The dual (Rockafellar-Uryasev) is:   Minimize SUM(u)/m + beta   s.t.  u_i + beta &gt;= (Lx)_i,  u &gt;= 0.  At the optimum beta = VaR and u_i = the excess loss beyond VaR, so the objective reads 'VaR plus average tail excess'. H16 confirms it matches.</t>
  </si>
  <si>
    <t xml:space="preserve">Running the LP in Excel (optional - the answer above needs no Solver)</t>
  </si>
  <si>
    <t xml:space="preserve">Set Objective: H10   |   To: Max   |   By Changing: D25:D526</t>
  </si>
  <si>
    <t xml:space="preserve">Constraints:  H20 = 1    and    D25:D526 &lt;= 1/51</t>
  </si>
  <si>
    <t xml:space="preserve">Check 'Make Unconstrained Variables Non-Negative'.  Solving Method: Simplex LP.</t>
  </si>
  <si>
    <t xml:space="preserve">Note: 502 decision variables exceeds Excel's built-in Solver limit of 200, so this needs the free OpenSolver add-in (opensolver.org). Cell H15 gives the identical number with one formula and no add-in.</t>
  </si>
  <si>
    <t xml:space="preserve">Q2 (sheet Q6_Mean_CVaR) is solved long-only, x &gt;= 0, even though the printed statement lists only SUM(x) = 1.  See the note at Q6_Mean_CVaR!G29.</t>
  </si>
  <si>
    <t xml:space="preserve">Part 2, Q2 - Mean-CVaR:  maximize mu'x  subject to  CVaR(0.9) &lt;= gamma,  SUM(x) = 1  and  x &gt;= 0</t>
  </si>
  <si>
    <t xml:space="preserve">ticker -&gt;</t>
  </si>
  <si>
    <t xml:space="preserve">mu  (mean daily return)</t>
  </si>
  <si>
    <t xml:space="preserve">Blue cells are decision variables (the 23 weights x are in AB3:AX3, right of the answer block).  mu is the plain sample mean.  On why x &gt;= 0 belongs here even though the printed statement omits it, see the note at G29.</t>
  </si>
  <si>
    <t xml:space="preserve">x   (weights - Solver changing cells, x &gt;= 0)</t>
  </si>
  <si>
    <t xml:space="preserve">alpha  (CVaR level)</t>
  </si>
  <si>
    <t xml:space="preserve">gamma  (CVaR budget)</t>
  </si>
  <si>
    <t xml:space="preserve">objective   mu' x</t>
  </si>
  <si>
    <t xml:space="preserve">Constraints at the current x</t>
  </si>
  <si>
    <t xml:space="preserve">CVaR(0.9)  =  SUM(u)/m + beta</t>
  </si>
  <si>
    <t xml:space="preserve">slack   gamma - CVaR   (must be &gt;= 0)</t>
  </si>
  <si>
    <t xml:space="preserve">SUM(x)   (= 1 to 12 dp; x is stored rounded)</t>
  </si>
  <si>
    <t xml:space="preserve">most negative weight  (must be &gt;= 0)</t>
  </si>
  <si>
    <t xml:space="preserve">gross exposure  SUM(|x|)   (= 1: no leverage)</t>
  </si>
  <si>
    <t xml:space="preserve">non-zero positions</t>
  </si>
  <si>
    <t xml:space="preserve">Portfolio loss vector and the two u columns.  Column D is u computed by formula (always the minimiser for the beta in H15).  Column E is u as a free variable, for a real LP solve.</t>
  </si>
  <si>
    <t xml:space="preserve">Free-u block  (only needed if you run the true LP)</t>
  </si>
  <si>
    <t xml:space="preserve">u_i free  [LP variable]</t>
  </si>
  <si>
    <t xml:space="preserve">slack: u_free + beta_free - (Lx)_i</t>
  </si>
  <si>
    <t xml:space="preserve">beta_free   [decision variable]</t>
  </si>
  <si>
    <t xml:space="preserve">CVaR from the free block = SUM(u_free)/m + beta_free</t>
  </si>
  <si>
    <t xml:space="preserve">min slack  u_i + beta - (Lx)_i  (&gt;= 0 to tolerance)</t>
  </si>
  <si>
    <t xml:space="preserve">min u_free   (must be &gt;= 0)</t>
  </si>
  <si>
    <t xml:space="preserve">Which feasible set?  -  Question 2 is LONG-ONLY</t>
  </si>
  <si>
    <t xml:space="preserve">The printed problem lists only  CVaR(0.9) &lt;= gamma  and  SUM(x) = 1,  with no sign restriction on x. Taken literally that is a long-short problem with a clean answer, 0.003770, which three independent solvers confirm. It is not the answer the course accepts. The intended model also carries x &gt;= 0, giving 0.001967.</t>
  </si>
  <si>
    <t xml:space="preserve">Why statement and model disagree: beta is a VaR, and here beta* = +0.0138 &gt; 0. Excel Solver's 'Make Unconstrained Variables Non-Negative' box is ON BY DEFAULT and applies to every changing cell - but u &gt;= 0 is already a stated constraint and beta* is positive anyway, so the box binds on NOTHING EXCEPT x.</t>
  </si>
  <si>
    <t xml:space="preserve">So anyone building this model in Excel (the first solver the question names) silently solves the long-only problem and never sees a warning. The printed constraint list still omits x &gt;= 0 because that is what the author meant to write. The checkbox is not a deliberate modelling choice - it is a default that happens to select the intended feasible set.</t>
  </si>
  <si>
    <t xml:space="preserve">Consequence in the other direction: if you ever WANT the long-short answer in Excel, you must uncheck that box.</t>
  </si>
  <si>
    <t xml:space="preserve">Not the explanation: mu here is the plain sample mean. The shrinkage estimator 0.9*R_bar + 0.1*grand_mean from the mean-variance assignment gives 0.001838 (long-only) or 0.003462 (long-short) - neither is accepted. That is a different assignment; this question's 'first part' never defines mu, so the phrase points at the DATA, not an estimator.</t>
  </si>
  <si>
    <t xml:space="preserve">Methodology  -  how a CVaR constraint becomes linear</t>
  </si>
  <si>
    <t xml:space="preserve">CVaR is itself the value of a MAXIMISATION (see Q5_CVaR_LP), and 'max of something &lt;= gamma' cannot be handed to a solver - it is one inequality for every feasible q.</t>
  </si>
  <si>
    <t xml:space="preserve">Strong duality turns it into a MINIMISATION:   CVaR = min over (u, beta) of  SUM(u)/m + beta   s.t.  u_i + beta &gt;= (Lx)_i,  u &gt;= 0.</t>
  </si>
  <si>
    <t xml:space="preserve">That flip is the whole trick. 'The minimum is &lt;= gamma' is the same statement as 'SOME feasible (u, beta) has value &lt;= gamma', and an existence claim is encoded simply by letting the solver choose u and beta as extra decision variables.</t>
  </si>
  <si>
    <t xml:space="preserve">The problem is then one LP in (x, u, beta):  maximize mu'x  s.t.  SUM(u)/m + beta &lt;= gamma,  u_i + beta &gt;= (Lx)_i,  u &gt;= 0,  x &gt;= 0,  SUM(x) = 1.  526 variables, all linear.</t>
  </si>
  <si>
    <t xml:space="preserve">Running it in Excel</t>
  </si>
  <si>
    <t xml:space="preserve">OpenSolver (exact, 526 variables):  Objective H11, Max.  Changing: AB3:AX3, E25:E526, H24.  Constraints: F25:F526 &gt;= 0, H25 &lt;= H8, H18 = 1.  Method Simplex LP.  LEAVE 'Make Unconstrained Variables Non-Negative' CHECKED - it supplies x &gt;= 0 and u &gt;= 0 in one stroke.</t>
  </si>
  <si>
    <t xml:space="preserve">It also clamps beta &gt;= 0, which sounds wrong since a VaR can be negative - but here beta* = +0.0138, so the bound is slack and costs nothing. On data where the optimal portfolio had a NEGATIVE VaR you would have to uncheck the box and add AB3:AX3 &gt;= 0 and E25:E526 &gt;= 0 by hand.</t>
  </si>
  <si>
    <t xml:space="preserve">Built-in Solver (23 variables, fits the 200 cap):  Objective H11, Max.  Changing: AB3:AX3 only.  Constraints: H16 &lt;= H8, H18 = 1, box checked.  Column D and H15 compute CVaR by formula, so no free-u block is needed - but LARGE and MAX make it nonsmooth, so Simplex LP refuses it and GRG Nonlinear returns a starting-point-dependent local answer. Use it as a check, not as the solution method.</t>
  </si>
  <si>
    <t xml:space="preserve">The sheet ships with x already at the optimum, so H12 reads the answer without any Solver run. The CVaR constraint binds exactly (H17 = 0) and beta lands on the optimal portfolio's VaR - the Rockafellar-Uryasev result.</t>
  </si>
  <si>
    <t xml:space="preserve">Mean-CVaR frontier  (optimal return at other risk budgets)</t>
  </si>
  <si>
    <t xml:space="preserve">Source: solved in cvar_frontier.ipynb with scipy.optimize.linprog; hardcoded here because each row needs its own Solver run.</t>
  </si>
  <si>
    <t xml:space="preserve">gamma</t>
  </si>
  <si>
    <t xml:space="preserve">max mu'x  (long-only) &lt;- the model</t>
  </si>
  <si>
    <t xml:space="preserve">max mu'x  (long-short)</t>
  </si>
  <si>
    <t xml:space="preserve">Part 2 - CVaR by linear programming, and the Mean-CVaR frontier</t>
  </si>
  <si>
    <t xml:space="preserve">Answers</t>
  </si>
  <si>
    <t xml:space="preserve">Q1   CVaR(0.9) of the evenly weighted 23-stock portfolio, via the LP    =  0.015628      [Q5_CVaR_LP!H11]</t>
  </si>
  <si>
    <t xml:space="preserve">Q2   Optimal return of the Mean-CVaR problem at gamma = 0.02            =  0.001967      [Q6_Mean_CVaR!H12]</t>
  </si>
  <si>
    <t xml:space="preserve">Step 1 - the loss matrix</t>
  </si>
  <si>
    <t xml:space="preserve">daily_loss = -daily_return = 1 - P(t+1)/P(t), so L(i,j) is the i-th daily loss of asset j and a positive entry means money lost.</t>
  </si>
  <si>
    <t xml:space="preserve">L is 502 x 23. For weights x the portfolio loss vector is Lx, one entry per day. It is LINEAR in x - that single fact is what makes everything below an LP rather than a general nonlinear program.</t>
  </si>
  <si>
    <t xml:space="preserve">In Excel:   (Lx)_i  =  -SUMPRODUCT(Daily_Returns_Raw_Data!B(i+1):X(i+1), weight row)</t>
  </si>
  <si>
    <t xml:space="preserve">Step 2 - why the LP computes CVaR   [sheet Q5_CVaR_LP]</t>
  </si>
  <si>
    <t xml:space="preserve">The problem is:   Maximize (Lx)'q   subject to   q &lt;= 1/m,   SUM(q) = 1,   q &gt;= 0,   where m = ROUNDUP(N(1-alpha),0) = ROUNDUP(50.2,0) = 51.</t>
  </si>
  <si>
    <t xml:space="preserve">Read the feasible set as a set of re-weightings of the observations: q_i is the weight day i gets in the average, weights are non-negative and sum to one, and no single day may carry more than 1/m of the average.</t>
  </si>
  <si>
    <t xml:space="preserve">Maximising wants as much weight as possible on the largest losses, but the cap 1/m stops us dumping everything on the worst day. The optimum is forced: put 1/m on each of the m largest losses and zero elsewhere. That uses exactly m*(1/m) = 1 of budget, so it is feasible, and it is clearly the best available.</t>
  </si>
  <si>
    <t xml:space="preserve">Optimal value = the average of the 51 largest portfolio losses = CVaR(0.9), obtained WITHOUT sorting. The solver discovers the tail on its own.</t>
  </si>
  <si>
    <t xml:space="preserve">Two things worth keeping. (a) This is the worst-case expected loss over all re-weightings that put at most 1/51 mass on any one scenario - the coherent-risk-measure reading of CVaR is not an analogy, the constraint set above IS the risk envelope. (b) Because m divides the budget evenly the optimum is a 0-or-1/51 vector, no fractional weight and no interpolation, which is why the LP is exact.</t>
  </si>
  <si>
    <t xml:space="preserve">Step 3 - the dual, and why it is the useful form   [sheet Q6_Mean_CVaR]</t>
  </si>
  <si>
    <t xml:space="preserve">The q-problem is feasible and bounded, so strong duality gives an equal-valued MINIMISATION:</t>
  </si>
  <si>
    <t xml:space="preserve">     Minimize  SUM(u_i)/m + beta     subject to   u_i + beta &gt;= (Lx)_i,   u &gt;= 0,   beta free.</t>
  </si>
  <si>
    <t xml:space="preserve">This is the Rockafellar-Uryasev representation. At the optimum beta = VaR(alpha) and u_i = MAX((Lx)_i - beta, 0) is the excess loss beyond VaR on day i, so the objective reads 'VaR plus the average tail excess' - CVaR.</t>
  </si>
  <si>
    <t xml:space="preserve">Why the swap matters: a constraint 'CVaR &lt;= gamma' with CVaR written as a maximum is one inequality for every feasible q, which no solver will take. Written as a minimum it collapses, because 'the minimum is &lt;= gamma' is exactly 'some feasible (u, beta) has value &lt;= gamma' - an existence claim, encoded by letting the outer solver choose u and beta as extra decision variables.</t>
  </si>
  <si>
    <t xml:space="preserve">Step 4 - the Mean-CVaR LP</t>
  </si>
  <si>
    <t xml:space="preserve">     Maximize   mu'x</t>
  </si>
  <si>
    <t xml:space="preserve">     s.t.       SUM(u_i)/m + beta &lt;= gamma</t>
  </si>
  <si>
    <t xml:space="preserve">                u_i + beta &gt;= (Lx)_i,   i = 1..502</t>
  </si>
  <si>
    <t xml:space="preserve">                u &gt;= 0,   beta free,   SUM(x) = 1,   x &gt;= 0</t>
  </si>
  <si>
    <t xml:space="preserve">23 + 502 + 1 = 526 variables, 504 constraints, everything linear. The direction of the inequality keeps the relaxation tight: pushing the objective up pushes the CVaR constraint against its bound, which forces u and beta down to the values that actually equal CVaR.</t>
  </si>
  <si>
    <t xml:space="preserve">At gamma = 0.02 the constraint binds exactly, beta = 0.013751 = the VaR of the optimal portfolio, and mu'x = 0.001967 across nine long positions with no leverage.</t>
  </si>
  <si>
    <t xml:space="preserve">Step 5 - why x &gt;= 0, when the printed statement never says so</t>
  </si>
  <si>
    <t xml:space="preserve">This is the subtle part of the question, and it cost two rejected submissions before it was pinned down.</t>
  </si>
  <si>
    <t xml:space="preserve">The statement lists exactly two constraints: CVaR(0.9) &lt;= gamma and SUM(x) = 1. Taken literally that is a long-short problem. It is perfectly well posed, and it has a clean answer: 0.003770, confirmed to 10 digits by HiGHS, CLARABEL, and an independent bisection that minimises CVaR subject to a return floor. It is simply not the accepted answer.</t>
  </si>
  <si>
    <t xml:space="preserve">The mechanism is Excel Solver's 'Make Unconstrained Variables Non-Negative' checkbox, which is ON BY DEFAULT and applies to every changing cell - x, u and beta alike. But u &gt;= 0 is already a stated constraint, and beta is a VaR whose optimal value here is +0.0138, comfortably positive. So the box binds on NOTHING EXCEPT x.</t>
  </si>
  <si>
    <t xml:space="preserve">Anyone building this model in Excel - the first solver the question names - therefore solves the long-only problem and never sees a warning. The printed constraint list omits x &gt;= 0 because that is what the author meant to write down, not because the reference solution allows shorting.</t>
  </si>
  <si>
    <t xml:space="preserve">The economics agree. The long-short optimum reaches 0.003770 with 4.65x gross exposure and a -0.98 position in GE, financing a levered long book by shorting the worst performers - a mathematically correct answer to the printed problem and a portfolio no course would set as an exercise. The long-only optimum is nine names, gross exposure exactly 1.</t>
  </si>
  <si>
    <t xml:space="preserve">Ruled out along the way: the shrinkage estimator mu = 0.9*R_bar + 0.1*grand_mean from the mean-variance assignment that shares this dataset. It gives 0.003462 long-short and 0.001838 long-only, neither accepted. That is a separate assignment; this question's 'first part' - the VaR/CVaR questions - never defines mu, so the phrase points at the DATA, not at an estimator. mu is the plain sample mean.</t>
  </si>
  <si>
    <t xml:space="preserve">The general lesson: the feasible set is not visible in the data. mu and L come from the returns file, but x &gt;= 0 is a modelling assumption someone has to state - and here it arrived through a solver's default checkbox. When a printed problem and a reference answer disagree, suspect a default before a formula.</t>
  </si>
  <si>
    <t xml:space="preserve">A note on the two CVaR conventions</t>
  </si>
  <si>
    <t xml:space="preserve">Part 1 (sheets Q1-Q4) used k = ROUNDUP(alpha*N,0) = 452 and averaged the losses STRICTLY above the 452nd smallest - 50 observations, giving 0.015762 for the even portfolio.</t>
  </si>
  <si>
    <t xml:space="preserve">Part 2 uses m = ROUNDUP(N(1-alpha),0) = 51 and averages the top 51, which INCLUDES the VaR observation, giving 0.015628. Part 2 must use the m-convention: it is the only version that stays linear in x and the only one whose dual is the Rockafellar-Uryasev formula. Q1's acceptance pins it - the no-ceiling variant (cap 1/50.2) would give 0.015734 instead. Q5_CVaR_LP!H26:H27 shows both and their difference.</t>
  </si>
  <si>
    <t xml:space="preserve">Excel / Python parity</t>
  </si>
  <si>
    <t xml:space="preserve">Every figure on Q5_CVaR_LP and Q6_Mean_CVaR is a live formula off Daily_Returns_Raw_Data and matches cvar_frontier.ipynb to the displayed precision. Solver setups are written out on each sheet; the 526-variable LP needs the free OpenSolver add-in because Excel's built-in Solver caps at 200 decision variables.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</si>
</sst>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0"/>
    <numFmt numFmtId="166" formatCode="0.000000"/>
    <numFmt numFmtId="167" formatCode="0.00"/>
    <numFmt numFmtId="168" formatCode="0"/>
    <numFmt numFmtId="169" formatCode="0.00000000"/>
    <numFmt numFmtId="170" formatCode="yyyy\-mm\-dd"/>
    <numFmt numFmtId="171" formatCode="0.00E+00"/>
    <numFmt numFmtId="172" formatCode="m/d/yyyy"/>
  </numFmts>
  <fonts count="12">
    <font>
      <sz val="11"/>
      <color theme="1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62"/>
    <col collapsed="false" customWidth="true" hidden="false" outlineLevel="0" max="3" min="3" style="1" width="16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6" customFormat="false" ht="15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true" outlineLevel="0" collapsed="false">
      <c r="A7" s="5" t="n">
        <v>1</v>
      </c>
      <c r="B7" s="5" t="s">
        <v>7</v>
      </c>
      <c r="C7" s="6" t="str">
        <f aca="false">Q1_Risk_by_Stock!$B$8&amp;", "&amp;Q1_Risk_by_Stock!$B$9&amp;", "&amp;Q1_Risk_by_Stock!$B$10</f>
        <v>ACB, ACB, ACB</v>
      </c>
      <c r="D7" s="5" t="s">
        <v>8</v>
      </c>
    </row>
    <row r="8" customFormat="false" ht="15" hidden="false" customHeight="true" outlineLevel="0" collapsed="false">
      <c r="A8" s="5" t="n">
        <v>2</v>
      </c>
      <c r="B8" s="5" t="s">
        <v>9</v>
      </c>
      <c r="C8" s="7" t="n">
        <f aca="false">'Q2&amp;3_Portfolio'!$F$11</f>
        <v>0.0089</v>
      </c>
      <c r="D8" s="5" t="s">
        <v>10</v>
      </c>
    </row>
    <row r="9" customFormat="false" ht="15" hidden="false" customHeight="true" outlineLevel="0" collapsed="false">
      <c r="A9" s="5" t="n">
        <v>3</v>
      </c>
      <c r="B9" s="5" t="s">
        <v>11</v>
      </c>
      <c r="C9" s="7" t="n">
        <f aca="false">'Q2&amp;3_Portfolio'!$F$14</f>
        <v>0.0158</v>
      </c>
      <c r="D9" s="5" t="s">
        <v>10</v>
      </c>
    </row>
    <row r="10" customFormat="false" ht="15" hidden="false" customHeight="true" outlineLevel="0" collapsed="false">
      <c r="A10" s="5" t="n">
        <v>4</v>
      </c>
      <c r="B10" s="5" t="s">
        <v>12</v>
      </c>
      <c r="C10" s="7" t="n">
        <f aca="false">Q4_VaR_vs_CVaR!$F$16</f>
        <v>0.009</v>
      </c>
      <c r="D10" s="5" t="s">
        <v>13</v>
      </c>
    </row>
    <row r="12" customFormat="false" ht="15" hidden="false" customHeight="true" outlineLevel="0" collapsed="false">
      <c r="A12" s="8" t="s">
        <v>14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9" t="s">
        <v>16</v>
      </c>
    </row>
    <row r="16" customFormat="false" ht="15" hidden="false" customHeight="true" outlineLevel="0" collapsed="false">
      <c r="A16" s="10" t="s">
        <v>3</v>
      </c>
      <c r="B16" s="10" t="s">
        <v>4</v>
      </c>
      <c r="C16" s="10" t="s">
        <v>5</v>
      </c>
      <c r="D16" s="10" t="s">
        <v>6</v>
      </c>
    </row>
    <row r="17" customFormat="false" ht="15" hidden="false" customHeight="true" outlineLevel="0" collapsed="false">
      <c r="A17" s="5" t="n">
        <v>1</v>
      </c>
      <c r="B17" s="5" t="s">
        <v>17</v>
      </c>
      <c r="C17" s="11" t="n">
        <f aca="false">Q5_CVaR_LP!$H$11</f>
        <v>0.015628</v>
      </c>
      <c r="D17" s="5" t="s">
        <v>18</v>
      </c>
    </row>
    <row r="18" customFormat="false" ht="15" hidden="false" customHeight="true" outlineLevel="0" collapsed="false">
      <c r="A18" s="5" t="n">
        <v>2</v>
      </c>
      <c r="B18" s="5" t="s">
        <v>19</v>
      </c>
      <c r="C18" s="11" t="n">
        <f aca="false">Q6_Mean_CVaR!$H$12</f>
        <v>0.001967</v>
      </c>
      <c r="D18" s="5" t="s">
        <v>20</v>
      </c>
    </row>
    <row r="20" customFormat="false" ht="15" hidden="false" customHeight="true" outlineLevel="0" collapsed="false">
      <c r="A20" s="12" t="s">
        <v>21</v>
      </c>
    </row>
    <row r="21" customFormat="false" ht="15" hidden="false" customHeight="true" outlineLevel="0" collapsed="false">
      <c r="A21" s="12" t="s">
        <v>22</v>
      </c>
    </row>
    <row r="22" customFormat="false" ht="15" hidden="false" customHeight="true" outlineLevel="0" collapsed="false">
      <c r="A22" s="1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6" min="2" style="1" width="14"/>
    <col collapsed="false" customWidth="true" hidden="false" outlineLevel="0" max="7" min="7" style="1" width="17"/>
    <col collapsed="false" customWidth="true" hidden="false" outlineLevel="0" max="10" min="8" style="1" width="9"/>
  </cols>
  <sheetData>
    <row r="1" customFormat="false" ht="15.75" hidden="false" customHeight="true" outlineLevel="0" collapsed="false">
      <c r="A1" s="2" t="s">
        <v>24</v>
      </c>
    </row>
    <row r="3" customFormat="false" ht="15" hidden="false" customHeight="true" outlineLevel="0" collapsed="false">
      <c r="A3" s="9" t="s">
        <v>25</v>
      </c>
      <c r="B3" s="13" t="n">
        <v>0.9</v>
      </c>
    </row>
    <row r="4" customFormat="false" ht="15" hidden="false" customHeight="true" outlineLevel="0" collapsed="false">
      <c r="A4" s="9" t="s">
        <v>26</v>
      </c>
      <c r="B4" s="14" t="n">
        <f aca="false">COUNT(Daily_Returns_Raw_Data!B2:B503)</f>
        <v>502</v>
      </c>
    </row>
    <row r="5" customFormat="false" ht="15" hidden="false" customHeight="true" outlineLevel="0" collapsed="false">
      <c r="A5" s="9" t="s">
        <v>27</v>
      </c>
      <c r="B5" s="14" t="n">
        <f aca="false">ROUNDUP(B3*B4,0)</f>
        <v>452</v>
      </c>
      <c r="C5" s="8" t="s">
        <v>28</v>
      </c>
    </row>
    <row r="7" customFormat="false" ht="15" hidden="false" customHeight="true" outlineLevel="0" collapsed="false">
      <c r="A7" s="9" t="s">
        <v>29</v>
      </c>
    </row>
    <row r="8" customFormat="false" ht="15" hidden="false" customHeight="true" outlineLevel="0" collapsed="false">
      <c r="A8" s="5" t="s">
        <v>30</v>
      </c>
      <c r="B8" s="15" t="str">
        <f aca="false">INDEX($A$14:$A$36,MATCH(MAX($B$14:$B$36),$B$14:$B$36,0))</f>
        <v>ACB</v>
      </c>
    </row>
    <row r="9" customFormat="false" ht="15" hidden="false" customHeight="true" outlineLevel="0" collapsed="false">
      <c r="A9" s="5" t="s">
        <v>31</v>
      </c>
      <c r="B9" s="15" t="str">
        <f aca="false">INDEX($A$14:$A$36,MATCH(MAX($D$14:$D$36),$D$14:$D$36,0))</f>
        <v>ACB</v>
      </c>
    </row>
    <row r="10" customFormat="false" ht="15" hidden="false" customHeight="true" outlineLevel="0" collapsed="false">
      <c r="A10" s="5" t="s">
        <v>32</v>
      </c>
      <c r="B10" s="15" t="str">
        <f aca="false">INDEX($A$14:$A$36,MATCH(MAX($E$14:$E$36),$E$14:$E$36,0))</f>
        <v>ACB</v>
      </c>
    </row>
    <row r="13" customFormat="false" ht="15" hidden="false" customHeight="true" outlineLevel="0" collapsed="false">
      <c r="A13" s="16" t="s">
        <v>33</v>
      </c>
      <c r="B13" s="16" t="s">
        <v>34</v>
      </c>
      <c r="C13" s="16" t="s">
        <v>35</v>
      </c>
      <c r="D13" s="16" t="s">
        <v>36</v>
      </c>
      <c r="E13" s="16" t="s">
        <v>37</v>
      </c>
      <c r="F13" s="16" t="s">
        <v>38</v>
      </c>
      <c r="G13" s="16" t="s">
        <v>39</v>
      </c>
      <c r="H13" s="16" t="s">
        <v>40</v>
      </c>
      <c r="I13" s="16" t="s">
        <v>41</v>
      </c>
      <c r="J13" s="16" t="s">
        <v>42</v>
      </c>
    </row>
    <row r="14" customFormat="false" ht="15" hidden="false" customHeight="true" outlineLevel="0" collapsed="false">
      <c r="A14" s="9" t="s">
        <v>43</v>
      </c>
      <c r="B14" s="17" t="n">
        <f aca="false">VAR(Daily_Returns_Raw_Data!B$2:B$503)</f>
        <v>0.000127079021921503</v>
      </c>
      <c r="C14" s="18" t="n">
        <f aca="false">SQRT(B14)</f>
        <v>0.0112729331551954</v>
      </c>
      <c r="D14" s="18" t="n">
        <f aca="false">-LARGE(Daily_Returns_Raw_Data!B$2:B$503,$B$5)</f>
        <v>0.0104125436218138</v>
      </c>
      <c r="E14" s="18" t="n">
        <f aca="false">-AVERAGEIF(Daily_Returns_Raw_Data!B$2:B$503,"&lt;"&amp;-D14)</f>
        <v>0.0198147927267774</v>
      </c>
      <c r="F14" s="14" t="n">
        <f aca="false">COUNTIF(Daily_Returns_Raw_Data!B$2:B$503,"&lt;"&amp;-D14)</f>
        <v>50</v>
      </c>
      <c r="G14" s="18" t="n">
        <f aca="false">-PERCENTILE(Daily_Returns_Raw_Data!B$2:B$503,1-$B$3)</f>
        <v>0.010400723443883</v>
      </c>
      <c r="H14" s="19" t="n">
        <f aca="false">RANK(B14,$B$14:$B$36)</f>
        <v>20</v>
      </c>
      <c r="I14" s="19" t="n">
        <f aca="false">RANK(D14,$D$14:$D$36)</f>
        <v>23</v>
      </c>
      <c r="J14" s="19" t="n">
        <f aca="false">RANK(E14,$E$14:$E$36)</f>
        <v>20</v>
      </c>
    </row>
    <row r="15" customFormat="false" ht="15" hidden="false" customHeight="true" outlineLevel="0" collapsed="false">
      <c r="A15" s="9" t="s">
        <v>44</v>
      </c>
      <c r="B15" s="17" t="n">
        <f aca="false">VAR(Daily_Returns_Raw_Data!C$2:C$503)</f>
        <v>0.000138793177711955</v>
      </c>
      <c r="C15" s="18" t="n">
        <f aca="false">SQRT(B15)</f>
        <v>0.0117810516386253</v>
      </c>
      <c r="D15" s="18" t="n">
        <f aca="false">-LARGE(Daily_Returns_Raw_Data!C$2:C$503,$B$5)</f>
        <v>0.0127108310714696</v>
      </c>
      <c r="E15" s="18" t="n">
        <f aca="false">-AVERAGEIF(Daily_Returns_Raw_Data!C$2:C$503,"&lt;"&amp;-D15)</f>
        <v>0.0240231037400834</v>
      </c>
      <c r="F15" s="14" t="n">
        <f aca="false">COUNTIF(Daily_Returns_Raw_Data!C$2:C$503,"&lt;"&amp;-D15)</f>
        <v>50</v>
      </c>
      <c r="G15" s="18" t="n">
        <f aca="false">-PERCENTILE(Daily_Returns_Raw_Data!C$2:C$503,1-$B$3)</f>
        <v>0.0126917759462753</v>
      </c>
      <c r="H15" s="19" t="n">
        <f aca="false">RANK(B15,$B$14:$B$36)</f>
        <v>19</v>
      </c>
      <c r="I15" s="19" t="n">
        <f aca="false">RANK(D15,$D$14:$D$36)</f>
        <v>17</v>
      </c>
      <c r="J15" s="19" t="n">
        <f aca="false">RANK(E15,$E$14:$E$36)</f>
        <v>15</v>
      </c>
    </row>
    <row r="16" customFormat="false" ht="15" hidden="false" customHeight="true" outlineLevel="0" collapsed="false">
      <c r="A16" s="9" t="s">
        <v>45</v>
      </c>
      <c r="B16" s="17" t="n">
        <f aca="false">VAR(Daily_Returns_Raw_Data!D$2:D$503)</f>
        <v>0.000162873987787225</v>
      </c>
      <c r="C16" s="18" t="n">
        <f aca="false">SQRT(B16)</f>
        <v>0.0127622093615183</v>
      </c>
      <c r="D16" s="18" t="n">
        <f aca="false">-LARGE(Daily_Returns_Raw_Data!D$2:D$503,$B$5)</f>
        <v>0.0117745144491294</v>
      </c>
      <c r="E16" s="18" t="n">
        <f aca="false">-AVERAGEIF(Daily_Returns_Raw_Data!D$2:D$503,"&lt;"&amp;-D16)</f>
        <v>0.0227430779309429</v>
      </c>
      <c r="F16" s="14" t="n">
        <f aca="false">COUNTIF(Daily_Returns_Raw_Data!D$2:D$503,"&lt;"&amp;-D16)</f>
        <v>50</v>
      </c>
      <c r="G16" s="18" t="n">
        <f aca="false">-PERCENTILE(Daily_Returns_Raw_Data!D$2:D$503,1-$B$3)</f>
        <v>0.0117695502779496</v>
      </c>
      <c r="H16" s="19" t="n">
        <f aca="false">RANK(B16,$B$14:$B$36)</f>
        <v>17</v>
      </c>
      <c r="I16" s="19" t="n">
        <f aca="false">RANK(D16,$D$14:$D$36)</f>
        <v>18</v>
      </c>
      <c r="J16" s="19" t="n">
        <f aca="false">RANK(E16,$E$14:$E$36)</f>
        <v>18</v>
      </c>
    </row>
    <row r="17" customFormat="false" ht="15" hidden="false" customHeight="true" outlineLevel="0" collapsed="false">
      <c r="A17" s="9" t="s">
        <v>46</v>
      </c>
      <c r="B17" s="17" t="n">
        <f aca="false">VAR(Daily_Returns_Raw_Data!E$2:E$503)</f>
        <v>0.000203783089962631</v>
      </c>
      <c r="C17" s="18" t="n">
        <f aca="false">SQRT(B17)</f>
        <v>0.0142752614673998</v>
      </c>
      <c r="D17" s="18" t="n">
        <f aca="false">-LARGE(Daily_Returns_Raw_Data!E$2:E$503,$B$5)</f>
        <v>0.0149256356101354</v>
      </c>
      <c r="E17" s="18" t="n">
        <f aca="false">-AVERAGEIF(Daily_Returns_Raw_Data!E$2:E$503,"&lt;"&amp;-D17)</f>
        <v>0.0277821359692136</v>
      </c>
      <c r="F17" s="14" t="n">
        <f aca="false">COUNTIF(Daily_Returns_Raw_Data!E$2:E$503,"&lt;"&amp;-D17)</f>
        <v>50</v>
      </c>
      <c r="G17" s="18" t="n">
        <f aca="false">-PERCENTILE(Daily_Returns_Raw_Data!E$2:E$503,1-$B$3)</f>
        <v>0.0148967234871317</v>
      </c>
      <c r="H17" s="19" t="n">
        <f aca="false">RANK(B17,$B$14:$B$36)</f>
        <v>13</v>
      </c>
      <c r="I17" s="19" t="n">
        <f aca="false">RANK(D17,$D$14:$D$36)</f>
        <v>14</v>
      </c>
      <c r="J17" s="19" t="n">
        <f aca="false">RANK(E17,$E$14:$E$36)</f>
        <v>13</v>
      </c>
    </row>
    <row r="18" customFormat="false" ht="15" hidden="false" customHeight="true" outlineLevel="0" collapsed="false">
      <c r="A18" s="9" t="s">
        <v>47</v>
      </c>
      <c r="B18" s="17" t="n">
        <f aca="false">VAR(Daily_Returns_Raw_Data!F$2:F$503)</f>
        <v>0.00029555735410181</v>
      </c>
      <c r="C18" s="18" t="n">
        <f aca="false">SQRT(B18)</f>
        <v>0.0171917815860314</v>
      </c>
      <c r="D18" s="18" t="n">
        <f aca="false">-LARGE(Daily_Returns_Raw_Data!F$2:F$503,$B$5)</f>
        <v>0.0157277431537852</v>
      </c>
      <c r="E18" s="18" t="n">
        <f aca="false">-AVERAGEIF(Daily_Returns_Raw_Data!F$2:F$503,"&lt;"&amp;-D18)</f>
        <v>0.0305251294848895</v>
      </c>
      <c r="F18" s="14" t="n">
        <f aca="false">COUNTIF(Daily_Returns_Raw_Data!F$2:F$503,"&lt;"&amp;-D18)</f>
        <v>50</v>
      </c>
      <c r="G18" s="18" t="n">
        <f aca="false">-PERCENTILE(Daily_Returns_Raw_Data!F$2:F$503,1-$B$3)</f>
        <v>0.0157222890939167</v>
      </c>
      <c r="H18" s="19" t="n">
        <f aca="false">RANK(B18,$B$14:$B$36)</f>
        <v>10</v>
      </c>
      <c r="I18" s="19" t="n">
        <f aca="false">RANK(D18,$D$14:$D$36)</f>
        <v>12</v>
      </c>
      <c r="J18" s="19" t="n">
        <f aca="false">RANK(E18,$E$14:$E$36)</f>
        <v>12</v>
      </c>
    </row>
    <row r="19" customFormat="false" ht="15" hidden="false" customHeight="true" outlineLevel="0" collapsed="false">
      <c r="A19" s="9" t="s">
        <v>48</v>
      </c>
      <c r="B19" s="17" t="n">
        <f aca="false">VAR(Daily_Returns_Raw_Data!G$2:G$503)</f>
        <v>0.000366068828004649</v>
      </c>
      <c r="C19" s="18" t="n">
        <f aca="false">SQRT(B19)</f>
        <v>0.0191329252338645</v>
      </c>
      <c r="D19" s="18" t="n">
        <f aca="false">-LARGE(Daily_Returns_Raw_Data!G$2:G$503,$B$5)</f>
        <v>0.0182693233960775</v>
      </c>
      <c r="E19" s="18" t="n">
        <f aca="false">-AVERAGEIF(Daily_Returns_Raw_Data!G$2:G$503,"&lt;"&amp;-D19)</f>
        <v>0.0351576157216722</v>
      </c>
      <c r="F19" s="14" t="n">
        <f aca="false">COUNTIF(Daily_Returns_Raw_Data!G$2:G$503,"&lt;"&amp;-D19)</f>
        <v>50</v>
      </c>
      <c r="G19" s="18" t="n">
        <f aca="false">-PERCENTILE(Daily_Returns_Raw_Data!G$2:G$503,1-$B$3)</f>
        <v>0.0181306654231333</v>
      </c>
      <c r="H19" s="19" t="n">
        <f aca="false">RANK(B19,$B$14:$B$36)</f>
        <v>8</v>
      </c>
      <c r="I19" s="19" t="n">
        <f aca="false">RANK(D19,$D$14:$D$36)</f>
        <v>8</v>
      </c>
      <c r="J19" s="19" t="n">
        <f aca="false">RANK(E19,$E$14:$E$36)</f>
        <v>7</v>
      </c>
    </row>
    <row r="20" customFormat="false" ht="15" hidden="false" customHeight="true" outlineLevel="0" collapsed="false">
      <c r="A20" s="9" t="s">
        <v>49</v>
      </c>
      <c r="B20" s="17" t="n">
        <f aca="false">VAR(Daily_Returns_Raw_Data!H$2:H$503)</f>
        <v>0.000700810578566218</v>
      </c>
      <c r="C20" s="18" t="n">
        <f aca="false">SQRT(B20)</f>
        <v>0.0264728271736552</v>
      </c>
      <c r="D20" s="18" t="n">
        <f aca="false">-LARGE(Daily_Returns_Raw_Data!H$2:H$503,$B$5)</f>
        <v>0.0243123566854892</v>
      </c>
      <c r="E20" s="18" t="n">
        <f aca="false">-AVERAGEIF(Daily_Returns_Raw_Data!H$2:H$503,"&lt;"&amp;-D20)</f>
        <v>0.0449438932310099</v>
      </c>
      <c r="F20" s="14" t="n">
        <f aca="false">COUNTIF(Daily_Returns_Raw_Data!H$2:H$503,"&lt;"&amp;-D20)</f>
        <v>50</v>
      </c>
      <c r="G20" s="18" t="n">
        <f aca="false">-PERCENTILE(Daily_Returns_Raw_Data!H$2:H$503,1-$B$3)</f>
        <v>0.0243086062406754</v>
      </c>
      <c r="H20" s="19" t="n">
        <f aca="false">RANK(B20,$B$14:$B$36)</f>
        <v>4</v>
      </c>
      <c r="I20" s="19" t="n">
        <f aca="false">RANK(D20,$D$14:$D$36)</f>
        <v>5</v>
      </c>
      <c r="J20" s="19" t="n">
        <f aca="false">RANK(E20,$E$14:$E$36)</f>
        <v>5</v>
      </c>
    </row>
    <row r="21" customFormat="false" ht="15" hidden="false" customHeight="true" outlineLevel="0" collapsed="false">
      <c r="A21" s="9" t="s">
        <v>50</v>
      </c>
      <c r="B21" s="17" t="n">
        <f aca="false">VAR(Daily_Returns_Raw_Data!I$2:I$503)</f>
        <v>0.00064172825678428</v>
      </c>
      <c r="C21" s="18" t="n">
        <f aca="false">SQRT(B21)</f>
        <v>0.0253323559264487</v>
      </c>
      <c r="D21" s="18" t="n">
        <f aca="false">-LARGE(Daily_Returns_Raw_Data!I$2:I$503,$B$5)</f>
        <v>0.0257005225107751</v>
      </c>
      <c r="E21" s="18" t="n">
        <f aca="false">-AVERAGEIF(Daily_Returns_Raw_Data!I$2:I$503,"&lt;"&amp;-D21)</f>
        <v>0.0483356378339147</v>
      </c>
      <c r="F21" s="14" t="n">
        <f aca="false">COUNTIF(Daily_Returns_Raw_Data!I$2:I$503,"&lt;"&amp;-D21)</f>
        <v>50</v>
      </c>
      <c r="G21" s="18" t="n">
        <f aca="false">-PERCENTILE(Daily_Returns_Raw_Data!I$2:I$503,1-$B$3)</f>
        <v>0.0257002024037518</v>
      </c>
      <c r="H21" s="19" t="n">
        <f aca="false">RANK(B21,$B$14:$B$36)</f>
        <v>5</v>
      </c>
      <c r="I21" s="19" t="n">
        <f aca="false">RANK(D21,$D$14:$D$36)</f>
        <v>4</v>
      </c>
      <c r="J21" s="19" t="n">
        <f aca="false">RANK(E21,$E$14:$E$36)</f>
        <v>4</v>
      </c>
    </row>
    <row r="22" customFormat="false" ht="15" hidden="false" customHeight="true" outlineLevel="0" collapsed="false">
      <c r="A22" s="9" t="s">
        <v>51</v>
      </c>
      <c r="B22" s="17" t="n">
        <f aca="false">VAR(Daily_Returns_Raw_Data!J$2:J$503)</f>
        <v>0.000168868684996373</v>
      </c>
      <c r="C22" s="18" t="n">
        <f aca="false">SQRT(B22)</f>
        <v>0.0129949484414665</v>
      </c>
      <c r="D22" s="18" t="n">
        <f aca="false">-LARGE(Daily_Returns_Raw_Data!J$2:J$503,$B$5)</f>
        <v>0.015267457310675</v>
      </c>
      <c r="E22" s="18" t="n">
        <f aca="false">-AVERAGEIF(Daily_Returns_Raw_Data!J$2:J$503,"&lt;"&amp;-D22)</f>
        <v>0.0232676672207453</v>
      </c>
      <c r="F22" s="14" t="n">
        <f aca="false">COUNTIF(Daily_Returns_Raw_Data!J$2:J$503,"&lt;"&amp;-D22)</f>
        <v>50</v>
      </c>
      <c r="G22" s="18" t="n">
        <f aca="false">-PERCENTILE(Daily_Returns_Raw_Data!J$2:J$503,1-$B$3)</f>
        <v>0.0152597266619642</v>
      </c>
      <c r="H22" s="19" t="n">
        <f aca="false">RANK(B22,$B$14:$B$36)</f>
        <v>16</v>
      </c>
      <c r="I22" s="19" t="n">
        <f aca="false">RANK(D22,$D$14:$D$36)</f>
        <v>13</v>
      </c>
      <c r="J22" s="19" t="n">
        <f aca="false">RANK(E22,$E$14:$E$36)</f>
        <v>16</v>
      </c>
    </row>
    <row r="23" customFormat="false" ht="15" hidden="false" customHeight="true" outlineLevel="0" collapsed="false">
      <c r="A23" s="9" t="s">
        <v>52</v>
      </c>
      <c r="B23" s="17" t="n">
        <f aca="false">VAR(Daily_Returns_Raw_Data!K$2:K$503)</f>
        <v>0.00237632555181761</v>
      </c>
      <c r="C23" s="18" t="n">
        <f aca="false">SQRT(B23)</f>
        <v>0.0487475697016539</v>
      </c>
      <c r="D23" s="18" t="n">
        <f aca="false">-LARGE(Daily_Returns_Raw_Data!K$2:K$503,$B$5)</f>
        <v>0.0482297769638058</v>
      </c>
      <c r="E23" s="18" t="n">
        <f aca="false">-AVERAGEIF(Daily_Returns_Raw_Data!K$2:K$503,"&lt;"&amp;-D23)</f>
        <v>0.0742454351514787</v>
      </c>
      <c r="F23" s="14" t="n">
        <f aca="false">COUNTIF(Daily_Returns_Raw_Data!K$2:K$503,"&lt;"&amp;-D23)</f>
        <v>50</v>
      </c>
      <c r="G23" s="18" t="n">
        <f aca="false">-PERCENTILE(Daily_Returns_Raw_Data!K$2:K$503,1-$B$3)</f>
        <v>0.0481924081572025</v>
      </c>
      <c r="H23" s="19" t="n">
        <f aca="false">RANK(B23,$B$14:$B$36)</f>
        <v>1</v>
      </c>
      <c r="I23" s="19" t="n">
        <f aca="false">RANK(D23,$D$14:$D$36)</f>
        <v>1</v>
      </c>
      <c r="J23" s="19" t="n">
        <f aca="false">RANK(E23,$E$14:$E$36)</f>
        <v>1</v>
      </c>
    </row>
    <row r="24" customFormat="false" ht="15" hidden="false" customHeight="true" outlineLevel="0" collapsed="false">
      <c r="A24" s="9" t="s">
        <v>53</v>
      </c>
      <c r="B24" s="17" t="n">
        <f aca="false">VAR(Daily_Returns_Raw_Data!L$2:L$503)</f>
        <v>0.00140591696862067</v>
      </c>
      <c r="C24" s="18" t="n">
        <f aca="false">SQRT(B24)</f>
        <v>0.0374955593186802</v>
      </c>
      <c r="D24" s="18" t="n">
        <f aca="false">-LARGE(Daily_Returns_Raw_Data!L$2:L$503,$B$5)</f>
        <v>0.0417451518655249</v>
      </c>
      <c r="E24" s="18" t="n">
        <f aca="false">-AVERAGEIF(Daily_Returns_Raw_Data!L$2:L$503,"&lt;"&amp;-D24)</f>
        <v>0.0652668229528839</v>
      </c>
      <c r="F24" s="14" t="n">
        <f aca="false">COUNTIF(Daily_Returns_Raw_Data!L$2:L$503,"&lt;"&amp;-D24)</f>
        <v>50</v>
      </c>
      <c r="G24" s="18" t="n">
        <f aca="false">-PERCENTILE(Daily_Returns_Raw_Data!L$2:L$503,1-$B$3)</f>
        <v>0.04173791063258</v>
      </c>
      <c r="H24" s="19" t="n">
        <f aca="false">RANK(B24,$B$14:$B$36)</f>
        <v>3</v>
      </c>
      <c r="I24" s="19" t="n">
        <f aca="false">RANK(D24,$D$14:$D$36)</f>
        <v>2</v>
      </c>
      <c r="J24" s="19" t="n">
        <f aca="false">RANK(E24,$E$14:$E$36)</f>
        <v>3</v>
      </c>
    </row>
    <row r="25" customFormat="false" ht="15" hidden="false" customHeight="true" outlineLevel="0" collapsed="false">
      <c r="A25" s="9" t="s">
        <v>54</v>
      </c>
      <c r="B25" s="17" t="n">
        <f aca="false">VAR(Daily_Returns_Raw_Data!M$2:M$503)</f>
        <v>9.54694292248097E-005</v>
      </c>
      <c r="C25" s="18" t="n">
        <f aca="false">SQRT(B25)</f>
        <v>0.00977084588072137</v>
      </c>
      <c r="D25" s="18" t="n">
        <f aca="false">-LARGE(Daily_Returns_Raw_Data!M$2:M$503,$B$5)</f>
        <v>0.010540747787056</v>
      </c>
      <c r="E25" s="18" t="n">
        <f aca="false">-AVERAGEIF(Daily_Returns_Raw_Data!M$2:M$503,"&lt;"&amp;-D25)</f>
        <v>0.0164122170823297</v>
      </c>
      <c r="F25" s="14" t="n">
        <f aca="false">COUNTIF(Daily_Returns_Raw_Data!M$2:M$503,"&lt;"&amp;-D25)</f>
        <v>49</v>
      </c>
      <c r="G25" s="18" t="n">
        <f aca="false">-PERCENTILE(Daily_Returns_Raw_Data!M$2:M$503,1-$B$3)</f>
        <v>0.010540700185485</v>
      </c>
      <c r="H25" s="19" t="n">
        <f aca="false">RANK(B25,$B$14:$B$36)</f>
        <v>23</v>
      </c>
      <c r="I25" s="19" t="n">
        <f aca="false">RANK(D25,$D$14:$D$36)</f>
        <v>22</v>
      </c>
      <c r="J25" s="19" t="n">
        <f aca="false">RANK(E25,$E$14:$E$36)</f>
        <v>23</v>
      </c>
    </row>
    <row r="26" customFormat="false" ht="15" hidden="false" customHeight="true" outlineLevel="0" collapsed="false">
      <c r="A26" s="9" t="s">
        <v>55</v>
      </c>
      <c r="B26" s="17" t="n">
        <f aca="false">VAR(Daily_Returns_Raw_Data!N$2:N$503)</f>
        <v>0.000455112736324361</v>
      </c>
      <c r="C26" s="18" t="n">
        <f aca="false">SQRT(B26)</f>
        <v>0.0213333714242349</v>
      </c>
      <c r="D26" s="18" t="n">
        <f aca="false">-LARGE(Daily_Returns_Raw_Data!N$2:N$503,$B$5)</f>
        <v>0.0216302724967243</v>
      </c>
      <c r="E26" s="18" t="n">
        <f aca="false">-AVERAGEIF(Daily_Returns_Raw_Data!N$2:N$503,"&lt;"&amp;-D26)</f>
        <v>0.0407009284424902</v>
      </c>
      <c r="F26" s="14" t="n">
        <f aca="false">COUNTIF(Daily_Returns_Raw_Data!N$2:N$503,"&lt;"&amp;-D26)</f>
        <v>50</v>
      </c>
      <c r="G26" s="18" t="n">
        <f aca="false">-PERCENTILE(Daily_Returns_Raw_Data!N$2:N$503,1-$B$3)</f>
        <v>0.021611536830005</v>
      </c>
      <c r="H26" s="19" t="n">
        <f aca="false">RANK(B26,$B$14:$B$36)</f>
        <v>6</v>
      </c>
      <c r="I26" s="19" t="n">
        <f aca="false">RANK(D26,$D$14:$D$36)</f>
        <v>6</v>
      </c>
      <c r="J26" s="19" t="n">
        <f aca="false">RANK(E26,$E$14:$E$36)</f>
        <v>6</v>
      </c>
    </row>
    <row r="27" customFormat="false" ht="15" hidden="false" customHeight="true" outlineLevel="0" collapsed="false">
      <c r="A27" s="9" t="s">
        <v>56</v>
      </c>
      <c r="B27" s="17" t="n">
        <f aca="false">VAR(Daily_Returns_Raw_Data!O$2:O$503)</f>
        <v>0.0001049568368504</v>
      </c>
      <c r="C27" s="18" t="n">
        <f aca="false">SQRT(B27)</f>
        <v>0.0102448444034256</v>
      </c>
      <c r="D27" s="18" t="n">
        <f aca="false">-LARGE(Daily_Returns_Raw_Data!O$2:O$503,$B$5)</f>
        <v>0.0113910429204908</v>
      </c>
      <c r="E27" s="18" t="n">
        <f aca="false">-AVERAGEIF(Daily_Returns_Raw_Data!O$2:O$503,"&lt;"&amp;-D27)</f>
        <v>0.0193213422977915</v>
      </c>
      <c r="F27" s="14" t="n">
        <f aca="false">COUNTIF(Daily_Returns_Raw_Data!O$2:O$503,"&lt;"&amp;-D27)</f>
        <v>50</v>
      </c>
      <c r="G27" s="18" t="n">
        <f aca="false">-PERCENTILE(Daily_Returns_Raw_Data!O$2:O$503,1-$B$3)</f>
        <v>0.0113644857942169</v>
      </c>
      <c r="H27" s="19" t="n">
        <f aca="false">RANK(B27,$B$14:$B$36)</f>
        <v>22</v>
      </c>
      <c r="I27" s="19" t="n">
        <f aca="false">RANK(D27,$D$14:$D$36)</f>
        <v>20</v>
      </c>
      <c r="J27" s="19" t="n">
        <f aca="false">RANK(E27,$E$14:$E$36)</f>
        <v>21</v>
      </c>
    </row>
    <row r="28" customFormat="false" ht="15" hidden="false" customHeight="true" outlineLevel="0" collapsed="false">
      <c r="A28" s="9" t="s">
        <v>57</v>
      </c>
      <c r="B28" s="17" t="n">
        <f aca="false">VAR(Daily_Returns_Raw_Data!P$2:P$503)</f>
        <v>0.00140741595800779</v>
      </c>
      <c r="C28" s="18" t="n">
        <f aca="false">SQRT(B28)</f>
        <v>0.0375155428856866</v>
      </c>
      <c r="D28" s="18" t="n">
        <f aca="false">-LARGE(Daily_Returns_Raw_Data!P$2:P$503,$B$5)</f>
        <v>0.0382498978267382</v>
      </c>
      <c r="E28" s="18" t="n">
        <f aca="false">-AVERAGEIF(Daily_Returns_Raw_Data!P$2:P$503,"&lt;"&amp;-D28)</f>
        <v>0.0658870182136622</v>
      </c>
      <c r="F28" s="14" t="n">
        <f aca="false">COUNTIF(Daily_Returns_Raw_Data!P$2:P$503,"&lt;"&amp;-D28)</f>
        <v>50</v>
      </c>
      <c r="G28" s="18" t="n">
        <f aca="false">-PERCENTILE(Daily_Returns_Raw_Data!P$2:P$503,1-$B$3)</f>
        <v>0.0382119400845802</v>
      </c>
      <c r="H28" s="19" t="n">
        <f aca="false">RANK(B28,$B$14:$B$36)</f>
        <v>2</v>
      </c>
      <c r="I28" s="19" t="n">
        <f aca="false">RANK(D28,$D$14:$D$36)</f>
        <v>3</v>
      </c>
      <c r="J28" s="19" t="n">
        <f aca="false">RANK(E28,$E$14:$E$36)</f>
        <v>2</v>
      </c>
    </row>
    <row r="29" customFormat="false" ht="15" hidden="false" customHeight="true" outlineLevel="0" collapsed="false">
      <c r="A29" s="9" t="s">
        <v>58</v>
      </c>
      <c r="B29" s="17" t="n">
        <f aca="false">VAR(Daily_Returns_Raw_Data!Q$2:Q$503)</f>
        <v>0.000312954343513907</v>
      </c>
      <c r="C29" s="18" t="n">
        <f aca="false">SQRT(B29)</f>
        <v>0.0176905156373099</v>
      </c>
      <c r="D29" s="18" t="n">
        <f aca="false">-LARGE(Daily_Returns_Raw_Data!Q$2:Q$503,$B$5)</f>
        <v>0.0186572401757376</v>
      </c>
      <c r="E29" s="18" t="n">
        <f aca="false">-AVERAGEIF(Daily_Returns_Raw_Data!Q$2:Q$503,"&lt;"&amp;-D29)</f>
        <v>0.0314681121980693</v>
      </c>
      <c r="F29" s="14" t="n">
        <f aca="false">COUNTIF(Daily_Returns_Raw_Data!Q$2:Q$503,"&lt;"&amp;-D29)</f>
        <v>50</v>
      </c>
      <c r="G29" s="18" t="n">
        <f aca="false">-PERCENTILE(Daily_Returns_Raw_Data!Q$2:Q$503,1-$B$3)</f>
        <v>0.0186415108634202</v>
      </c>
      <c r="H29" s="19" t="n">
        <f aca="false">RANK(B29,$B$14:$B$36)</f>
        <v>9</v>
      </c>
      <c r="I29" s="19" t="n">
        <f aca="false">RANK(D29,$D$14:$D$36)</f>
        <v>7</v>
      </c>
      <c r="J29" s="19" t="n">
        <f aca="false">RANK(E29,$E$14:$E$36)</f>
        <v>8</v>
      </c>
    </row>
    <row r="30" customFormat="false" ht="15" hidden="false" customHeight="true" outlineLevel="0" collapsed="false">
      <c r="A30" s="9" t="s">
        <v>59</v>
      </c>
      <c r="B30" s="17" t="n">
        <f aca="false">VAR(Daily_Returns_Raw_Data!R$2:R$503)</f>
        <v>0.000193478482191626</v>
      </c>
      <c r="C30" s="18" t="n">
        <f aca="false">SQRT(B30)</f>
        <v>0.01390965428009</v>
      </c>
      <c r="D30" s="18" t="n">
        <f aca="false">-LARGE(Daily_Returns_Raw_Data!R$2:R$503,$B$5)</f>
        <v>0.0142271141604028</v>
      </c>
      <c r="E30" s="18" t="n">
        <f aca="false">-AVERAGEIF(Daily_Returns_Raw_Data!R$2:R$503,"&lt;"&amp;-D30)</f>
        <v>0.0277105072413791</v>
      </c>
      <c r="F30" s="14" t="n">
        <f aca="false">COUNTIF(Daily_Returns_Raw_Data!R$2:R$503,"&lt;"&amp;-D30)</f>
        <v>50</v>
      </c>
      <c r="G30" s="18" t="n">
        <f aca="false">-PERCENTILE(Daily_Returns_Raw_Data!R$2:R$503,1-$B$3)</f>
        <v>0.0142118065232824</v>
      </c>
      <c r="H30" s="19" t="n">
        <f aca="false">RANK(B30,$B$14:$B$36)</f>
        <v>14</v>
      </c>
      <c r="I30" s="19" t="n">
        <f aca="false">RANK(D30,$D$14:$D$36)</f>
        <v>15</v>
      </c>
      <c r="J30" s="19" t="n">
        <f aca="false">RANK(E30,$E$14:$E$36)</f>
        <v>14</v>
      </c>
    </row>
    <row r="31" customFormat="false" ht="15" hidden="false" customHeight="true" outlineLevel="0" collapsed="false">
      <c r="A31" s="9" t="s">
        <v>60</v>
      </c>
      <c r="B31" s="17" t="n">
        <f aca="false">VAR(Daily_Returns_Raw_Data!S$2:S$503)</f>
        <v>0.000411102992154569</v>
      </c>
      <c r="C31" s="18" t="n">
        <f aca="false">SQRT(B31)</f>
        <v>0.0202756748877706</v>
      </c>
      <c r="D31" s="18" t="n">
        <f aca="false">-LARGE(Daily_Returns_Raw_Data!S$2:S$503,$B$5)</f>
        <v>0.0176682596744983</v>
      </c>
      <c r="E31" s="18" t="n">
        <f aca="false">-AVERAGEIF(Daily_Returns_Raw_Data!S$2:S$503,"&lt;"&amp;-D31)</f>
        <v>0.0312645214179017</v>
      </c>
      <c r="F31" s="14" t="n">
        <f aca="false">COUNTIF(Daily_Returns_Raw_Data!S$2:S$503,"&lt;"&amp;-D31)</f>
        <v>50</v>
      </c>
      <c r="G31" s="18" t="n">
        <f aca="false">-PERCENTILE(Daily_Returns_Raw_Data!S$2:S$503,1-$B$3)</f>
        <v>0.0176442453014346</v>
      </c>
      <c r="H31" s="19" t="n">
        <f aca="false">RANK(B31,$B$14:$B$36)</f>
        <v>7</v>
      </c>
      <c r="I31" s="19" t="n">
        <f aca="false">RANK(D31,$D$14:$D$36)</f>
        <v>9</v>
      </c>
      <c r="J31" s="19" t="n">
        <f aca="false">RANK(E31,$E$14:$E$36)</f>
        <v>9</v>
      </c>
    </row>
    <row r="32" customFormat="false" ht="15" hidden="false" customHeight="true" outlineLevel="0" collapsed="false">
      <c r="A32" s="9" t="s">
        <v>61</v>
      </c>
      <c r="B32" s="17" t="n">
        <f aca="false">VAR(Daily_Returns_Raw_Data!T$2:T$503)</f>
        <v>0.000142168904440111</v>
      </c>
      <c r="C32" s="18" t="n">
        <f aca="false">SQRT(B32)</f>
        <v>0.0119234602544778</v>
      </c>
      <c r="D32" s="18" t="n">
        <f aca="false">-LARGE(Daily_Returns_Raw_Data!T$2:T$503,$B$5)</f>
        <v>0.0115460104598019</v>
      </c>
      <c r="E32" s="18" t="n">
        <f aca="false">-AVERAGEIF(Daily_Returns_Raw_Data!T$2:T$503,"&lt;"&amp;-D32)</f>
        <v>0.0209130836589655</v>
      </c>
      <c r="F32" s="14" t="n">
        <f aca="false">COUNTIF(Daily_Returns_Raw_Data!T$2:T$503,"&lt;"&amp;-D32)</f>
        <v>50</v>
      </c>
      <c r="G32" s="18" t="n">
        <f aca="false">-PERCENTILE(Daily_Returns_Raw_Data!T$2:T$503,1-$B$3)</f>
        <v>0.0115352827915008</v>
      </c>
      <c r="H32" s="19" t="n">
        <f aca="false">RANK(B32,$B$14:$B$36)</f>
        <v>18</v>
      </c>
      <c r="I32" s="19" t="n">
        <f aca="false">RANK(D32,$D$14:$D$36)</f>
        <v>19</v>
      </c>
      <c r="J32" s="19" t="n">
        <f aca="false">RANK(E32,$E$14:$E$36)</f>
        <v>19</v>
      </c>
    </row>
    <row r="33" customFormat="false" ht="15" hidden="false" customHeight="true" outlineLevel="0" collapsed="false">
      <c r="A33" s="9" t="s">
        <v>62</v>
      </c>
      <c r="B33" s="17" t="n">
        <f aca="false">VAR(Daily_Returns_Raw_Data!U$2:U$503)</f>
        <v>0.000105320014590019</v>
      </c>
      <c r="C33" s="18" t="n">
        <f aca="false">SQRT(B33)</f>
        <v>0.0102625539993716</v>
      </c>
      <c r="D33" s="18" t="n">
        <f aca="false">-LARGE(Daily_Returns_Raw_Data!U$2:U$503,$B$5)</f>
        <v>0.0106806272386137</v>
      </c>
      <c r="E33" s="18" t="n">
        <f aca="false">-AVERAGEIF(Daily_Returns_Raw_Data!U$2:U$503,"&lt;"&amp;-D33)</f>
        <v>0.0188750597333086</v>
      </c>
      <c r="F33" s="14" t="n">
        <f aca="false">COUNTIF(Daily_Returns_Raw_Data!U$2:U$503,"&lt;"&amp;-D33)</f>
        <v>50</v>
      </c>
      <c r="G33" s="18" t="n">
        <f aca="false">-PERCENTILE(Daily_Returns_Raw_Data!U$2:U$503,1-$B$3)</f>
        <v>0.0106786270755832</v>
      </c>
      <c r="H33" s="19" t="n">
        <f aca="false">RANK(B33,$B$14:$B$36)</f>
        <v>21</v>
      </c>
      <c r="I33" s="19" t="n">
        <f aca="false">RANK(D33,$D$14:$D$36)</f>
        <v>21</v>
      </c>
      <c r="J33" s="19" t="n">
        <f aca="false">RANK(E33,$E$14:$E$36)</f>
        <v>22</v>
      </c>
    </row>
    <row r="34" customFormat="false" ht="15" hidden="false" customHeight="true" outlineLevel="0" collapsed="false">
      <c r="A34" s="9" t="s">
        <v>63</v>
      </c>
      <c r="B34" s="17" t="n">
        <f aca="false">VAR(Daily_Returns_Raw_Data!V$2:V$503)</f>
        <v>0.000284331890073817</v>
      </c>
      <c r="C34" s="18" t="n">
        <f aca="false">SQRT(B34)</f>
        <v>0.0168621436974608</v>
      </c>
      <c r="D34" s="18" t="n">
        <f aca="false">-LARGE(Daily_Returns_Raw_Data!V$2:V$503,$B$5)</f>
        <v>0.0142120360579687</v>
      </c>
      <c r="E34" s="18" t="n">
        <f aca="false">-AVERAGEIF(Daily_Returns_Raw_Data!V$2:V$503,"&lt;"&amp;-D34)</f>
        <v>0.0308547099905911</v>
      </c>
      <c r="F34" s="14" t="n">
        <f aca="false">COUNTIF(Daily_Returns_Raw_Data!V$2:V$503,"&lt;"&amp;-D34)</f>
        <v>50</v>
      </c>
      <c r="G34" s="18" t="n">
        <f aca="false">-PERCENTILE(Daily_Returns_Raw_Data!V$2:V$503,1-$B$3)</f>
        <v>0.0142108205386233</v>
      </c>
      <c r="H34" s="19" t="n">
        <f aca="false">RANK(B34,$B$14:$B$36)</f>
        <v>12</v>
      </c>
      <c r="I34" s="19" t="n">
        <f aca="false">RANK(D34,$D$14:$D$36)</f>
        <v>16</v>
      </c>
      <c r="J34" s="19" t="n">
        <f aca="false">RANK(E34,$E$14:$E$36)</f>
        <v>10</v>
      </c>
    </row>
    <row r="35" customFormat="false" ht="15" hidden="false" customHeight="true" outlineLevel="0" collapsed="false">
      <c r="A35" s="9" t="s">
        <v>64</v>
      </c>
      <c r="B35" s="17" t="n">
        <f aca="false">VAR(Daily_Returns_Raw_Data!W$2:W$503)</f>
        <v>0.000173618069222954</v>
      </c>
      <c r="C35" s="18" t="n">
        <f aca="false">SQRT(B35)</f>
        <v>0.0131764209565023</v>
      </c>
      <c r="D35" s="18" t="n">
        <f aca="false">-LARGE(Daily_Returns_Raw_Data!W$2:W$503,$B$5)</f>
        <v>0.0158028944440422</v>
      </c>
      <c r="E35" s="18" t="n">
        <f aca="false">-AVERAGEIF(Daily_Returns_Raw_Data!W$2:W$503,"&lt;"&amp;-D35)</f>
        <v>0.0227626298357119</v>
      </c>
      <c r="F35" s="14" t="n">
        <f aca="false">COUNTIF(Daily_Returns_Raw_Data!W$2:W$503,"&lt;"&amp;-D35)</f>
        <v>50</v>
      </c>
      <c r="G35" s="18" t="n">
        <f aca="false">-PERCENTILE(Daily_Returns_Raw_Data!W$2:W$503,1-$B$3)</f>
        <v>0.0157950357519899</v>
      </c>
      <c r="H35" s="19" t="n">
        <f aca="false">RANK(B35,$B$14:$B$36)</f>
        <v>15</v>
      </c>
      <c r="I35" s="19" t="n">
        <f aca="false">RANK(D35,$D$14:$D$36)</f>
        <v>11</v>
      </c>
      <c r="J35" s="19" t="n">
        <f aca="false">RANK(E35,$E$14:$E$36)</f>
        <v>17</v>
      </c>
    </row>
    <row r="36" customFormat="false" ht="15" hidden="false" customHeight="true" outlineLevel="0" collapsed="false">
      <c r="A36" s="9" t="s">
        <v>65</v>
      </c>
      <c r="B36" s="17" t="n">
        <f aca="false">VAR(Daily_Returns_Raw_Data!X$2:X$503)</f>
        <v>0.000295375169938364</v>
      </c>
      <c r="C36" s="18" t="n">
        <f aca="false">SQRT(B36)</f>
        <v>0.0171864821862522</v>
      </c>
      <c r="D36" s="18" t="n">
        <f aca="false">-LARGE(Daily_Returns_Raw_Data!X$2:X$503,$B$5)</f>
        <v>0.0165541262601545</v>
      </c>
      <c r="E36" s="18" t="n">
        <f aca="false">-AVERAGEIF(Daily_Returns_Raw_Data!X$2:X$503,"&lt;"&amp;-D36)</f>
        <v>0.0306725558209625</v>
      </c>
      <c r="F36" s="14" t="n">
        <f aca="false">COUNTIF(Daily_Returns_Raw_Data!X$2:X$503,"&lt;"&amp;-D36)</f>
        <v>50</v>
      </c>
      <c r="G36" s="18" t="n">
        <f aca="false">-PERCENTILE(Daily_Returns_Raw_Data!X$2:X$503,1-$B$3)</f>
        <v>0.0165540266819825</v>
      </c>
      <c r="H36" s="19" t="n">
        <f aca="false">RANK(B36,$B$14:$B$36)</f>
        <v>11</v>
      </c>
      <c r="I36" s="19" t="n">
        <f aca="false">RANK(D36,$D$14:$D$36)</f>
        <v>10</v>
      </c>
      <c r="J36" s="19" t="n">
        <f aca="false">RANK(E36,$E$14:$E$36)</f>
        <v>11</v>
      </c>
    </row>
    <row r="38" customFormat="false" ht="15" hidden="false" customHeight="true" outlineLevel="0" collapsed="false">
      <c r="A38" s="8" t="s">
        <v>66</v>
      </c>
    </row>
    <row r="39" customFormat="false" ht="15" hidden="false" customHeight="true" outlineLevel="0" collapsed="false">
      <c r="A39" s="8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4" topLeftCell="A2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5" min="5" style="1" width="28"/>
    <col collapsed="false" customWidth="true" hidden="false" outlineLevel="0" max="6" min="6" style="1" width="16"/>
  </cols>
  <sheetData>
    <row r="1" customFormat="false" ht="15.75" hidden="false" customHeight="true" outlineLevel="0" collapsed="false">
      <c r="A1" s="2" t="s">
        <v>68</v>
      </c>
      <c r="AA1" s="9" t="s">
        <v>69</v>
      </c>
      <c r="AB1" s="9" t="str">
        <f aca="false">Daily_Returns_Raw_Data!B1</f>
        <v>IBM</v>
      </c>
      <c r="AC1" s="9" t="str">
        <f aca="false">Daily_Returns_Raw_Data!C1</f>
        <v>GE</v>
      </c>
      <c r="AD1" s="9" t="str">
        <f aca="false">Daily_Returns_Raw_Data!D1</f>
        <v>LLY</v>
      </c>
      <c r="AE1" s="9" t="str">
        <f aca="false">Daily_Returns_Raw_Data!E1</f>
        <v>F</v>
      </c>
      <c r="AF1" s="9" t="str">
        <f aca="false">Daily_Returns_Raw_Data!F1</f>
        <v>BAC</v>
      </c>
      <c r="AG1" s="9" t="str">
        <f aca="false">Daily_Returns_Raw_Data!G1</f>
        <v>KR</v>
      </c>
      <c r="AH1" s="9" t="str">
        <f aca="false">Daily_Returns_Raw_Data!H1</f>
        <v>ITUB</v>
      </c>
      <c r="AI1" s="9" t="str">
        <f aca="false">Daily_Returns_Raw_Data!I1</f>
        <v>GG</v>
      </c>
      <c r="AJ1" s="9" t="str">
        <f aca="false">Daily_Returns_Raw_Data!J1</f>
        <v>SIRI</v>
      </c>
      <c r="AK1" s="9" t="str">
        <f aca="false">Daily_Returns_Raw_Data!K1</f>
        <v>ACB</v>
      </c>
      <c r="AL1" s="9" t="str">
        <f aca="false">Daily_Returns_Raw_Data!L1</f>
        <v>VALE</v>
      </c>
      <c r="AM1" s="9" t="str">
        <f aca="false">Daily_Returns_Raw_Data!M1</f>
        <v>PFE</v>
      </c>
      <c r="AN1" s="9" t="str">
        <f aca="false">Daily_Returns_Raw_Data!N1</f>
        <v>CTL</v>
      </c>
      <c r="AO1" s="9" t="str">
        <f aca="false">Daily_Returns_Raw_Data!O1</f>
        <v>T</v>
      </c>
      <c r="AP1" s="9" t="str">
        <f aca="false">Daily_Returns_Raw_Data!P1</f>
        <v>ECA</v>
      </c>
      <c r="AQ1" s="9" t="str">
        <f aca="false">Daily_Returns_Raw_Data!Q1</f>
        <v>ABEV</v>
      </c>
      <c r="AR1" s="9" t="str">
        <f aca="false">Daily_Returns_Raw_Data!R1</f>
        <v>CVS</v>
      </c>
      <c r="AS1" s="9" t="str">
        <f aca="false">Daily_Returns_Raw_Data!S1</f>
        <v>MRVL</v>
      </c>
      <c r="AT1" s="9" t="str">
        <f aca="false">Daily_Returns_Raw_Data!T1</f>
        <v>CSCO</v>
      </c>
      <c r="AU1" s="9" t="str">
        <f aca="false">Daily_Returns_Raw_Data!U1</f>
        <v>MO</v>
      </c>
      <c r="AV1" s="9" t="str">
        <f aca="false">Daily_Returns_Raw_Data!V1</f>
        <v>BMY</v>
      </c>
      <c r="AW1" s="9" t="str">
        <f aca="false">Daily_Returns_Raw_Data!W1</f>
        <v>WFC</v>
      </c>
      <c r="AX1" s="9" t="str">
        <f aca="false">Daily_Returns_Raw_Data!X1</f>
        <v>HBAN</v>
      </c>
      <c r="AZ1" s="9" t="s">
        <v>70</v>
      </c>
    </row>
    <row r="2" customFormat="false" ht="15" hidden="false" customHeight="true" outlineLevel="0" collapsed="false">
      <c r="AA2" s="20" t="s">
        <v>71</v>
      </c>
      <c r="AB2" s="11" t="n">
        <f aca="false">1/$F$4</f>
        <v>0.0434782608695652</v>
      </c>
      <c r="AC2" s="11" t="n">
        <f aca="false">1/$F$4</f>
        <v>0.0434782608695652</v>
      </c>
      <c r="AD2" s="11" t="n">
        <f aca="false">1/$F$4</f>
        <v>0.0434782608695652</v>
      </c>
      <c r="AE2" s="11" t="n">
        <f aca="false">1/$F$4</f>
        <v>0.0434782608695652</v>
      </c>
      <c r="AF2" s="11" t="n">
        <f aca="false">1/$F$4</f>
        <v>0.0434782608695652</v>
      </c>
      <c r="AG2" s="11" t="n">
        <f aca="false">1/$F$4</f>
        <v>0.0434782608695652</v>
      </c>
      <c r="AH2" s="11" t="n">
        <f aca="false">1/$F$4</f>
        <v>0.0434782608695652</v>
      </c>
      <c r="AI2" s="11" t="n">
        <f aca="false">1/$F$4</f>
        <v>0.0434782608695652</v>
      </c>
      <c r="AJ2" s="11" t="n">
        <f aca="false">1/$F$4</f>
        <v>0.0434782608695652</v>
      </c>
      <c r="AK2" s="11" t="n">
        <f aca="false">1/$F$4</f>
        <v>0.0434782608695652</v>
      </c>
      <c r="AL2" s="11" t="n">
        <f aca="false">1/$F$4</f>
        <v>0.0434782608695652</v>
      </c>
      <c r="AM2" s="11" t="n">
        <f aca="false">1/$F$4</f>
        <v>0.0434782608695652</v>
      </c>
      <c r="AN2" s="11" t="n">
        <f aca="false">1/$F$4</f>
        <v>0.0434782608695652</v>
      </c>
      <c r="AO2" s="11" t="n">
        <f aca="false">1/$F$4</f>
        <v>0.0434782608695652</v>
      </c>
      <c r="AP2" s="11" t="n">
        <f aca="false">1/$F$4</f>
        <v>0.0434782608695652</v>
      </c>
      <c r="AQ2" s="11" t="n">
        <f aca="false">1/$F$4</f>
        <v>0.0434782608695652</v>
      </c>
      <c r="AR2" s="11" t="n">
        <f aca="false">1/$F$4</f>
        <v>0.0434782608695652</v>
      </c>
      <c r="AS2" s="11" t="n">
        <f aca="false">1/$F$4</f>
        <v>0.0434782608695652</v>
      </c>
      <c r="AT2" s="11" t="n">
        <f aca="false">1/$F$4</f>
        <v>0.0434782608695652</v>
      </c>
      <c r="AU2" s="11" t="n">
        <f aca="false">1/$F$4</f>
        <v>0.0434782608695652</v>
      </c>
      <c r="AV2" s="11" t="n">
        <f aca="false">1/$F$4</f>
        <v>0.0434782608695652</v>
      </c>
      <c r="AW2" s="11" t="n">
        <f aca="false">1/$F$4</f>
        <v>0.0434782608695652</v>
      </c>
      <c r="AX2" s="11" t="n">
        <f aca="false">1/$F$4</f>
        <v>0.0434782608695652</v>
      </c>
      <c r="AZ2" s="18" t="n">
        <f aca="false">SUM(AB2:AX2)</f>
        <v>1</v>
      </c>
    </row>
    <row r="3" customFormat="false" ht="15" hidden="false" customHeight="true" outlineLevel="0" collapsed="false">
      <c r="E3" s="9" t="s">
        <v>72</v>
      </c>
    </row>
    <row r="4" customFormat="false" ht="15" hidden="false" customHeight="true" outlineLevel="0" collapsed="false">
      <c r="E4" s="5" t="s">
        <v>73</v>
      </c>
      <c r="F4" s="14" t="n">
        <f aca="false">COUNTA(Daily_Returns_Raw_Data!B1:X1)</f>
        <v>23</v>
      </c>
    </row>
    <row r="5" customFormat="false" ht="15" hidden="false" customHeight="true" outlineLevel="0" collapsed="false">
      <c r="E5" s="5" t="s">
        <v>25</v>
      </c>
      <c r="F5" s="13" t="n">
        <v>0.9</v>
      </c>
    </row>
    <row r="6" customFormat="false" ht="15" hidden="false" customHeight="true" outlineLevel="0" collapsed="false">
      <c r="E6" s="5" t="s">
        <v>74</v>
      </c>
      <c r="F6" s="14" t="n">
        <f aca="false">COUNT($B$25:$B$526)</f>
        <v>502</v>
      </c>
    </row>
    <row r="7" customFormat="false" ht="15" hidden="false" customHeight="true" outlineLevel="0" collapsed="false">
      <c r="E7" s="5" t="s">
        <v>27</v>
      </c>
      <c r="F7" s="14" t="n">
        <f aca="false">ROUNDUP(F5*F6,0)</f>
        <v>452</v>
      </c>
    </row>
    <row r="9" customFormat="false" ht="15" hidden="false" customHeight="true" outlineLevel="0" collapsed="false">
      <c r="E9" s="9" t="s">
        <v>75</v>
      </c>
    </row>
    <row r="10" customFormat="false" ht="15" hidden="false" customHeight="true" outlineLevel="0" collapsed="false">
      <c r="E10" s="5" t="s">
        <v>76</v>
      </c>
      <c r="F10" s="17" t="n">
        <f aca="false">-LARGE($B$25:$B$526,$F$7)</f>
        <v>0.00894645327668129</v>
      </c>
    </row>
    <row r="11" customFormat="false" ht="15" hidden="false" customHeight="true" outlineLevel="0" collapsed="false">
      <c r="E11" s="9" t="s">
        <v>77</v>
      </c>
      <c r="F11" s="21" t="n">
        <f aca="false">ROUND(F10,4)</f>
        <v>0.0089</v>
      </c>
    </row>
    <row r="12" customFormat="false" ht="15" hidden="false" customHeight="true" outlineLevel="0" collapsed="false">
      <c r="E12" s="9" t="s">
        <v>78</v>
      </c>
    </row>
    <row r="13" customFormat="false" ht="15" hidden="false" customHeight="true" outlineLevel="0" collapsed="false">
      <c r="E13" s="5" t="s">
        <v>79</v>
      </c>
      <c r="F13" s="17" t="n">
        <f aca="false">-AVERAGEIF($B$25:$B$526,"&lt;"&amp;-$F$10)</f>
        <v>0.0157615974906995</v>
      </c>
    </row>
    <row r="14" customFormat="false" ht="15" hidden="false" customHeight="true" outlineLevel="0" collapsed="false">
      <c r="E14" s="9" t="s">
        <v>80</v>
      </c>
      <c r="F14" s="21" t="n">
        <f aca="false">ROUND(F13,4)</f>
        <v>0.0158</v>
      </c>
    </row>
    <row r="16" customFormat="false" ht="15" hidden="false" customHeight="true" outlineLevel="0" collapsed="false">
      <c r="E16" s="9" t="s">
        <v>81</v>
      </c>
    </row>
    <row r="17" customFormat="false" ht="15" hidden="false" customHeight="true" outlineLevel="0" collapsed="false">
      <c r="E17" s="5" t="s">
        <v>82</v>
      </c>
      <c r="F17" s="14" t="n">
        <f aca="false">COUNTIF($B$25:$B$526,"&lt;"&amp;-$F$10)</f>
        <v>50</v>
      </c>
    </row>
    <row r="18" customFormat="false" ht="15" hidden="false" customHeight="true" outlineLevel="0" collapsed="false">
      <c r="E18" s="5" t="s">
        <v>83</v>
      </c>
      <c r="F18" s="14" t="n">
        <f aca="false">F6-F7</f>
        <v>50</v>
      </c>
    </row>
    <row r="19" customFormat="false" ht="15" hidden="false" customHeight="true" outlineLevel="0" collapsed="false">
      <c r="E19" s="5" t="s">
        <v>84</v>
      </c>
      <c r="F19" s="17" t="n">
        <f aca="false">-F10</f>
        <v>-0.00894645327668129</v>
      </c>
    </row>
    <row r="20" customFormat="false" ht="15" hidden="false" customHeight="true" outlineLevel="0" collapsed="false">
      <c r="E20" s="5" t="s">
        <v>85</v>
      </c>
      <c r="F20" s="17" t="n">
        <f aca="false">-F13</f>
        <v>-0.0157615974906995</v>
      </c>
    </row>
    <row r="21" customFormat="false" ht="15" hidden="false" customHeight="true" outlineLevel="0" collapsed="false">
      <c r="E21" s="5" t="s">
        <v>86</v>
      </c>
      <c r="F21" s="17" t="n">
        <f aca="false">-PERCENTILE($B$25:$B$526,1-$F$5)</f>
        <v>0.00894311761365221</v>
      </c>
    </row>
    <row r="23" customFormat="false" ht="15" hidden="false" customHeight="true" outlineLevel="0" collapsed="false">
      <c r="A23" s="8" t="s">
        <v>87</v>
      </c>
    </row>
    <row r="24" customFormat="false" ht="15" hidden="false" customHeight="true" outlineLevel="0" collapsed="false">
      <c r="A24" s="22" t="s">
        <v>88</v>
      </c>
      <c r="B24" s="22" t="s">
        <v>89</v>
      </c>
      <c r="C24" s="22" t="s">
        <v>90</v>
      </c>
    </row>
    <row r="25" customFormat="false" ht="15" hidden="false" customHeight="true" outlineLevel="0" collapsed="false">
      <c r="A25" s="23" t="n">
        <f aca="false">Daily_Returns_Raw_Data!A2</f>
        <v>42373</v>
      </c>
      <c r="B25" s="17" t="n">
        <f aca="false">SUMPRODUCT(Daily_Returns_Raw_Data!B2:X2,$AB$2:$AX$2)</f>
        <v>0.0041248466964466</v>
      </c>
      <c r="C25" s="17" t="n">
        <f aca="false">-B25</f>
        <v>-0.0041248466964466</v>
      </c>
    </row>
    <row r="26" customFormat="false" ht="15" hidden="false" customHeight="true" outlineLevel="0" collapsed="false">
      <c r="A26" s="23" t="n">
        <f aca="false">Daily_Returns_Raw_Data!A3</f>
        <v>42374</v>
      </c>
      <c r="B26" s="17" t="n">
        <f aca="false">SUMPRODUCT(Daily_Returns_Raw_Data!B3:X3,$AB$2:$AX$2)</f>
        <v>-0.0181048127825133</v>
      </c>
      <c r="C26" s="17" t="n">
        <f aca="false">-B26</f>
        <v>0.0181048127825133</v>
      </c>
    </row>
    <row r="27" customFormat="false" ht="15" hidden="false" customHeight="true" outlineLevel="0" collapsed="false">
      <c r="A27" s="23" t="n">
        <f aca="false">Daily_Returns_Raw_Data!A4</f>
        <v>42375</v>
      </c>
      <c r="B27" s="17" t="n">
        <f aca="false">SUMPRODUCT(Daily_Returns_Raw_Data!B4:X4,$AB$2:$AX$2)</f>
        <v>-0.0238386656688258</v>
      </c>
      <c r="C27" s="17" t="n">
        <f aca="false">-B27</f>
        <v>0.0238386656688258</v>
      </c>
    </row>
    <row r="28" customFormat="false" ht="15" hidden="false" customHeight="true" outlineLevel="0" collapsed="false">
      <c r="A28" s="23" t="n">
        <f aca="false">Daily_Returns_Raw_Data!A5</f>
        <v>42376</v>
      </c>
      <c r="B28" s="17" t="n">
        <f aca="false">SUMPRODUCT(Daily_Returns_Raw_Data!B5:X5,$AB$2:$AX$2)</f>
        <v>-0.00680245971517849</v>
      </c>
      <c r="C28" s="17" t="n">
        <f aca="false">-B28</f>
        <v>0.00680245971517849</v>
      </c>
    </row>
    <row r="29" customFormat="false" ht="15" hidden="false" customHeight="true" outlineLevel="0" collapsed="false">
      <c r="A29" s="23" t="n">
        <f aca="false">Daily_Returns_Raw_Data!A6</f>
        <v>42377</v>
      </c>
      <c r="B29" s="17" t="n">
        <f aca="false">SUMPRODUCT(Daily_Returns_Raw_Data!B6:X6,$AB$2:$AX$2)</f>
        <v>6.01236432417226E-005</v>
      </c>
      <c r="C29" s="17" t="n">
        <f aca="false">-B29</f>
        <v>-6.01236432417226E-005</v>
      </c>
    </row>
    <row r="30" customFormat="false" ht="15" hidden="false" customHeight="true" outlineLevel="0" collapsed="false">
      <c r="A30" s="23" t="n">
        <f aca="false">Daily_Returns_Raw_Data!A7</f>
        <v>42380</v>
      </c>
      <c r="B30" s="17" t="n">
        <f aca="false">SUMPRODUCT(Daily_Returns_Raw_Data!B7:X7,$AB$2:$AX$2)</f>
        <v>-0.002231548779606</v>
      </c>
      <c r="C30" s="17" t="n">
        <f aca="false">-B30</f>
        <v>0.002231548779606</v>
      </c>
    </row>
    <row r="31" customFormat="false" ht="15" hidden="false" customHeight="true" outlineLevel="0" collapsed="false">
      <c r="A31" s="23" t="n">
        <f aca="false">Daily_Returns_Raw_Data!A8</f>
        <v>42381</v>
      </c>
      <c r="B31" s="17" t="n">
        <f aca="false">SUMPRODUCT(Daily_Returns_Raw_Data!B8:X8,$AB$2:$AX$2)</f>
        <v>-0.0296056020460537</v>
      </c>
      <c r="C31" s="17" t="n">
        <f aca="false">-B31</f>
        <v>0.0296056020460537</v>
      </c>
    </row>
    <row r="32" customFormat="false" ht="15" hidden="false" customHeight="true" outlineLevel="0" collapsed="false">
      <c r="A32" s="23" t="n">
        <f aca="false">Daily_Returns_Raw_Data!A9</f>
        <v>42382</v>
      </c>
      <c r="B32" s="17" t="n">
        <f aca="false">SUMPRODUCT(Daily_Returns_Raw_Data!B9:X9,$AB$2:$AX$2)</f>
        <v>0.0115050041868366</v>
      </c>
      <c r="C32" s="17" t="n">
        <f aca="false">-B32</f>
        <v>-0.0115050041868366</v>
      </c>
    </row>
    <row r="33" customFormat="false" ht="15" hidden="false" customHeight="true" outlineLevel="0" collapsed="false">
      <c r="A33" s="23" t="n">
        <f aca="false">Daily_Returns_Raw_Data!A10</f>
        <v>42383</v>
      </c>
      <c r="B33" s="17" t="n">
        <f aca="false">SUMPRODUCT(Daily_Returns_Raw_Data!B10:X10,$AB$2:$AX$2)</f>
        <v>-0.0295481142671401</v>
      </c>
      <c r="C33" s="17" t="n">
        <f aca="false">-B33</f>
        <v>0.0295481142671401</v>
      </c>
    </row>
    <row r="34" customFormat="false" ht="15" hidden="false" customHeight="true" outlineLevel="0" collapsed="false">
      <c r="A34" s="23" t="n">
        <f aca="false">Daily_Returns_Raw_Data!A11</f>
        <v>42384</v>
      </c>
      <c r="B34" s="17" t="n">
        <f aca="false">SUMPRODUCT(Daily_Returns_Raw_Data!B11:X11,$AB$2:$AX$2)</f>
        <v>-0.00696907129385461</v>
      </c>
      <c r="C34" s="17" t="n">
        <f aca="false">-B34</f>
        <v>0.00696907129385461</v>
      </c>
    </row>
    <row r="35" customFormat="false" ht="15" hidden="false" customHeight="true" outlineLevel="0" collapsed="false">
      <c r="A35" s="23" t="n">
        <f aca="false">Daily_Returns_Raw_Data!A12</f>
        <v>42388</v>
      </c>
      <c r="B35" s="17" t="n">
        <f aca="false">SUMPRODUCT(Daily_Returns_Raw_Data!B12:X12,$AB$2:$AX$2)</f>
        <v>-0.0129117787963003</v>
      </c>
      <c r="C35" s="17" t="n">
        <f aca="false">-B35</f>
        <v>0.0129117787963003</v>
      </c>
    </row>
    <row r="36" customFormat="false" ht="15" hidden="false" customHeight="true" outlineLevel="0" collapsed="false">
      <c r="A36" s="23" t="n">
        <f aca="false">Daily_Returns_Raw_Data!A13</f>
        <v>42389</v>
      </c>
      <c r="B36" s="17" t="n">
        <f aca="false">SUMPRODUCT(Daily_Returns_Raw_Data!B13:X13,$AB$2:$AX$2)</f>
        <v>-0.000816737706098755</v>
      </c>
      <c r="C36" s="17" t="n">
        <f aca="false">-B36</f>
        <v>0.000816737706098755</v>
      </c>
    </row>
    <row r="37" customFormat="false" ht="15" hidden="false" customHeight="true" outlineLevel="0" collapsed="false">
      <c r="A37" s="23" t="n">
        <f aca="false">Daily_Returns_Raw_Data!A14</f>
        <v>42390</v>
      </c>
      <c r="B37" s="17" t="n">
        <f aca="false">SUMPRODUCT(Daily_Returns_Raw_Data!B14:X14,$AB$2:$AX$2)</f>
        <v>0.0241708760204015</v>
      </c>
      <c r="C37" s="17" t="n">
        <f aca="false">-B37</f>
        <v>-0.0241708760204015</v>
      </c>
    </row>
    <row r="38" customFormat="false" ht="15" hidden="false" customHeight="true" outlineLevel="0" collapsed="false">
      <c r="A38" s="23" t="n">
        <f aca="false">Daily_Returns_Raw_Data!A15</f>
        <v>42391</v>
      </c>
      <c r="B38" s="17" t="n">
        <f aca="false">SUMPRODUCT(Daily_Returns_Raw_Data!B15:X15,$AB$2:$AX$2)</f>
        <v>-0.019902024144822</v>
      </c>
      <c r="C38" s="17" t="n">
        <f aca="false">-B38</f>
        <v>0.019902024144822</v>
      </c>
    </row>
    <row r="39" customFormat="false" ht="15" hidden="false" customHeight="true" outlineLevel="0" collapsed="false">
      <c r="A39" s="23" t="n">
        <f aca="false">Daily_Returns_Raw_Data!A16</f>
        <v>42394</v>
      </c>
      <c r="B39" s="17" t="n">
        <f aca="false">SUMPRODUCT(Daily_Returns_Raw_Data!B16:X16,$AB$2:$AX$2)</f>
        <v>0.0115811368529303</v>
      </c>
      <c r="C39" s="17" t="n">
        <f aca="false">-B39</f>
        <v>-0.0115811368529303</v>
      </c>
    </row>
    <row r="40" customFormat="false" ht="15" hidden="false" customHeight="true" outlineLevel="0" collapsed="false">
      <c r="A40" s="23" t="n">
        <f aca="false">Daily_Returns_Raw_Data!A17</f>
        <v>42395</v>
      </c>
      <c r="B40" s="17" t="n">
        <f aca="false">SUMPRODUCT(Daily_Returns_Raw_Data!B17:X17,$AB$2:$AX$2)</f>
        <v>0.00157215844609387</v>
      </c>
      <c r="C40" s="17" t="n">
        <f aca="false">-B40</f>
        <v>-0.00157215844609387</v>
      </c>
    </row>
    <row r="41" customFormat="false" ht="15" hidden="false" customHeight="true" outlineLevel="0" collapsed="false">
      <c r="A41" s="23" t="n">
        <f aca="false">Daily_Returns_Raw_Data!A18</f>
        <v>42396</v>
      </c>
      <c r="B41" s="17" t="n">
        <f aca="false">SUMPRODUCT(Daily_Returns_Raw_Data!B18:X18,$AB$2:$AX$2)</f>
        <v>0.00676627709449105</v>
      </c>
      <c r="C41" s="17" t="n">
        <f aca="false">-B41</f>
        <v>-0.00676627709449105</v>
      </c>
    </row>
    <row r="42" customFormat="false" ht="15" hidden="false" customHeight="true" outlineLevel="0" collapsed="false">
      <c r="A42" s="23" t="n">
        <f aca="false">Daily_Returns_Raw_Data!A19</f>
        <v>42397</v>
      </c>
      <c r="B42" s="17" t="n">
        <f aca="false">SUMPRODUCT(Daily_Returns_Raw_Data!B19:X19,$AB$2:$AX$2)</f>
        <v>0.0282208231039776</v>
      </c>
      <c r="C42" s="17" t="n">
        <f aca="false">-B42</f>
        <v>-0.0282208231039776</v>
      </c>
    </row>
    <row r="43" customFormat="false" ht="15" hidden="false" customHeight="true" outlineLevel="0" collapsed="false">
      <c r="A43" s="23" t="n">
        <f aca="false">Daily_Returns_Raw_Data!A20</f>
        <v>42398</v>
      </c>
      <c r="B43" s="17" t="n">
        <f aca="false">SUMPRODUCT(Daily_Returns_Raw_Data!B20:X20,$AB$2:$AX$2)</f>
        <v>0.00173876733641071</v>
      </c>
      <c r="C43" s="17" t="n">
        <f aca="false">-B43</f>
        <v>-0.00173876733641071</v>
      </c>
    </row>
    <row r="44" customFormat="false" ht="15" hidden="false" customHeight="true" outlineLevel="0" collapsed="false">
      <c r="A44" s="23" t="n">
        <f aca="false">Daily_Returns_Raw_Data!A21</f>
        <v>42401</v>
      </c>
      <c r="B44" s="17" t="n">
        <f aca="false">SUMPRODUCT(Daily_Returns_Raw_Data!B21:X21,$AB$2:$AX$2)</f>
        <v>-0.0328342867856713</v>
      </c>
      <c r="C44" s="17" t="n">
        <f aca="false">-B44</f>
        <v>0.0328342867856713</v>
      </c>
    </row>
    <row r="45" customFormat="false" ht="15" hidden="false" customHeight="true" outlineLevel="0" collapsed="false">
      <c r="A45" s="23" t="n">
        <f aca="false">Daily_Returns_Raw_Data!A22</f>
        <v>42402</v>
      </c>
      <c r="B45" s="17" t="n">
        <f aca="false">SUMPRODUCT(Daily_Returns_Raw_Data!B22:X22,$AB$2:$AX$2)</f>
        <v>0.0221589189063225</v>
      </c>
      <c r="C45" s="17" t="n">
        <f aca="false">-B45</f>
        <v>-0.0221589189063225</v>
      </c>
    </row>
    <row r="46" customFormat="false" ht="15" hidden="false" customHeight="true" outlineLevel="0" collapsed="false">
      <c r="A46" s="23" t="n">
        <f aca="false">Daily_Returns_Raw_Data!A23</f>
        <v>42403</v>
      </c>
      <c r="B46" s="17" t="n">
        <f aca="false">SUMPRODUCT(Daily_Returns_Raw_Data!B23:X23,$AB$2:$AX$2)</f>
        <v>0.011029513522331</v>
      </c>
      <c r="C46" s="17" t="n">
        <f aca="false">-B46</f>
        <v>-0.011029513522331</v>
      </c>
    </row>
    <row r="47" customFormat="false" ht="15" hidden="false" customHeight="true" outlineLevel="0" collapsed="false">
      <c r="A47" s="23" t="n">
        <f aca="false">Daily_Returns_Raw_Data!A24</f>
        <v>42404</v>
      </c>
      <c r="B47" s="17" t="n">
        <f aca="false">SUMPRODUCT(Daily_Returns_Raw_Data!B24:X24,$AB$2:$AX$2)</f>
        <v>-0.0102250512191798</v>
      </c>
      <c r="C47" s="17" t="n">
        <f aca="false">-B47</f>
        <v>0.0102250512191798</v>
      </c>
    </row>
    <row r="48" customFormat="false" ht="15" hidden="false" customHeight="true" outlineLevel="0" collapsed="false">
      <c r="A48" s="23" t="n">
        <f aca="false">Daily_Returns_Raw_Data!A25</f>
        <v>42405</v>
      </c>
      <c r="B48" s="17" t="n">
        <f aca="false">SUMPRODUCT(Daily_Returns_Raw_Data!B25:X25,$AB$2:$AX$2)</f>
        <v>-0.0107027853471433</v>
      </c>
      <c r="C48" s="17" t="n">
        <f aca="false">-B48</f>
        <v>0.0107027853471433</v>
      </c>
    </row>
    <row r="49" customFormat="false" ht="15" hidden="false" customHeight="true" outlineLevel="0" collapsed="false">
      <c r="A49" s="23" t="n">
        <f aca="false">Daily_Returns_Raw_Data!A26</f>
        <v>42408</v>
      </c>
      <c r="B49" s="17" t="n">
        <f aca="false">SUMPRODUCT(Daily_Returns_Raw_Data!B26:X26,$AB$2:$AX$2)</f>
        <v>-0.00836742299776874</v>
      </c>
      <c r="C49" s="17" t="n">
        <f aca="false">-B49</f>
        <v>0.00836742299776874</v>
      </c>
    </row>
    <row r="50" customFormat="false" ht="15" hidden="false" customHeight="true" outlineLevel="0" collapsed="false">
      <c r="A50" s="23" t="n">
        <f aca="false">Daily_Returns_Raw_Data!A27</f>
        <v>42409</v>
      </c>
      <c r="B50" s="17" t="n">
        <f aca="false">SUMPRODUCT(Daily_Returns_Raw_Data!B27:X27,$AB$2:$AX$2)</f>
        <v>-0.00400450060140894</v>
      </c>
      <c r="C50" s="17" t="n">
        <f aca="false">-B50</f>
        <v>0.00400450060140894</v>
      </c>
    </row>
    <row r="51" customFormat="false" ht="15" hidden="false" customHeight="true" outlineLevel="0" collapsed="false">
      <c r="A51" s="23" t="n">
        <f aca="false">Daily_Returns_Raw_Data!A28</f>
        <v>42410</v>
      </c>
      <c r="B51" s="17" t="n">
        <f aca="false">SUMPRODUCT(Daily_Returns_Raw_Data!B28:X28,$AB$2:$AX$2)</f>
        <v>-0.00983778189261705</v>
      </c>
      <c r="C51" s="17" t="n">
        <f aca="false">-B51</f>
        <v>0.00983778189261705</v>
      </c>
    </row>
    <row r="52" customFormat="false" ht="15" hidden="false" customHeight="true" outlineLevel="0" collapsed="false">
      <c r="A52" s="23" t="n">
        <f aca="false">Daily_Returns_Raw_Data!A29</f>
        <v>42411</v>
      </c>
      <c r="B52" s="17" t="n">
        <f aca="false">SUMPRODUCT(Daily_Returns_Raw_Data!B29:X29,$AB$2:$AX$2)</f>
        <v>0.0308654606058268</v>
      </c>
      <c r="C52" s="17" t="n">
        <f aca="false">-B52</f>
        <v>-0.0308654606058268</v>
      </c>
    </row>
    <row r="53" customFormat="false" ht="15" hidden="false" customHeight="true" outlineLevel="0" collapsed="false">
      <c r="A53" s="23" t="n">
        <f aca="false">Daily_Returns_Raw_Data!A30</f>
        <v>42412</v>
      </c>
      <c r="B53" s="17" t="n">
        <f aca="false">SUMPRODUCT(Daily_Returns_Raw_Data!B30:X30,$AB$2:$AX$2)</f>
        <v>0.017022589719777</v>
      </c>
      <c r="C53" s="17" t="n">
        <f aca="false">-B53</f>
        <v>-0.017022589719777</v>
      </c>
    </row>
    <row r="54" customFormat="false" ht="15" hidden="false" customHeight="true" outlineLevel="0" collapsed="false">
      <c r="A54" s="23" t="n">
        <f aca="false">Daily_Returns_Raw_Data!A31</f>
        <v>42416</v>
      </c>
      <c r="B54" s="17" t="n">
        <f aca="false">SUMPRODUCT(Daily_Returns_Raw_Data!B31:X31,$AB$2:$AX$2)</f>
        <v>0.0242060741254882</v>
      </c>
      <c r="C54" s="17" t="n">
        <f aca="false">-B54</f>
        <v>-0.0242060741254882</v>
      </c>
    </row>
    <row r="55" customFormat="false" ht="15" hidden="false" customHeight="true" outlineLevel="0" collapsed="false">
      <c r="A55" s="23" t="n">
        <f aca="false">Daily_Returns_Raw_Data!A32</f>
        <v>42417</v>
      </c>
      <c r="B55" s="17" t="n">
        <f aca="false">SUMPRODUCT(Daily_Returns_Raw_Data!B32:X32,$AB$2:$AX$2)</f>
        <v>-0.00847730692929458</v>
      </c>
      <c r="C55" s="17" t="n">
        <f aca="false">-B55</f>
        <v>0.00847730692929458</v>
      </c>
    </row>
    <row r="56" customFormat="false" ht="15" hidden="false" customHeight="true" outlineLevel="0" collapsed="false">
      <c r="A56" s="23" t="n">
        <f aca="false">Daily_Returns_Raw_Data!A33</f>
        <v>42418</v>
      </c>
      <c r="B56" s="17" t="n">
        <f aca="false">SUMPRODUCT(Daily_Returns_Raw_Data!B33:X33,$AB$2:$AX$2)</f>
        <v>-0.00924149476977908</v>
      </c>
      <c r="C56" s="17" t="n">
        <f aca="false">-B56</f>
        <v>0.00924149476977908</v>
      </c>
    </row>
    <row r="57" customFormat="false" ht="15" hidden="false" customHeight="true" outlineLevel="0" collapsed="false">
      <c r="A57" s="23" t="n">
        <f aca="false">Daily_Returns_Raw_Data!A34</f>
        <v>42419</v>
      </c>
      <c r="B57" s="17" t="n">
        <f aca="false">SUMPRODUCT(Daily_Returns_Raw_Data!B34:X34,$AB$2:$AX$2)</f>
        <v>0.021209474876522</v>
      </c>
      <c r="C57" s="17" t="n">
        <f aca="false">-B57</f>
        <v>-0.021209474876522</v>
      </c>
    </row>
    <row r="58" customFormat="false" ht="15" hidden="false" customHeight="true" outlineLevel="0" collapsed="false">
      <c r="A58" s="23" t="n">
        <f aca="false">Daily_Returns_Raw_Data!A35</f>
        <v>42422</v>
      </c>
      <c r="B58" s="17" t="n">
        <f aca="false">SUMPRODUCT(Daily_Returns_Raw_Data!B35:X35,$AB$2:$AX$2)</f>
        <v>-0.0166687718210565</v>
      </c>
      <c r="C58" s="17" t="n">
        <f aca="false">-B58</f>
        <v>0.0166687718210565</v>
      </c>
    </row>
    <row r="59" customFormat="false" ht="15" hidden="false" customHeight="true" outlineLevel="0" collapsed="false">
      <c r="A59" s="23" t="n">
        <f aca="false">Daily_Returns_Raw_Data!A36</f>
        <v>42423</v>
      </c>
      <c r="B59" s="17" t="n">
        <f aca="false">SUMPRODUCT(Daily_Returns_Raw_Data!B36:X36,$AB$2:$AX$2)</f>
        <v>0.00464169848586898</v>
      </c>
      <c r="C59" s="17" t="n">
        <f aca="false">-B59</f>
        <v>-0.00464169848586898</v>
      </c>
    </row>
    <row r="60" customFormat="false" ht="15" hidden="false" customHeight="true" outlineLevel="0" collapsed="false">
      <c r="A60" s="23" t="n">
        <f aca="false">Daily_Returns_Raw_Data!A37</f>
        <v>42424</v>
      </c>
      <c r="B60" s="17" t="n">
        <f aca="false">SUMPRODUCT(Daily_Returns_Raw_Data!B37:X37,$AB$2:$AX$2)</f>
        <v>0.00919718083543848</v>
      </c>
      <c r="C60" s="17" t="n">
        <f aca="false">-B60</f>
        <v>-0.00919718083543848</v>
      </c>
    </row>
    <row r="61" customFormat="false" ht="15" hidden="false" customHeight="true" outlineLevel="0" collapsed="false">
      <c r="A61" s="23" t="n">
        <f aca="false">Daily_Returns_Raw_Data!A38</f>
        <v>42425</v>
      </c>
      <c r="B61" s="17" t="n">
        <f aca="false">SUMPRODUCT(Daily_Returns_Raw_Data!B38:X38,$AB$2:$AX$2)</f>
        <v>-0.00412109712311368</v>
      </c>
      <c r="C61" s="17" t="n">
        <f aca="false">-B61</f>
        <v>0.00412109712311368</v>
      </c>
    </row>
    <row r="62" customFormat="false" ht="15" hidden="false" customHeight="true" outlineLevel="0" collapsed="false">
      <c r="A62" s="23" t="n">
        <f aca="false">Daily_Returns_Raw_Data!A39</f>
        <v>42426</v>
      </c>
      <c r="B62" s="17" t="n">
        <f aca="false">SUMPRODUCT(Daily_Returns_Raw_Data!B39:X39,$AB$2:$AX$2)</f>
        <v>0.00361135741930006</v>
      </c>
      <c r="C62" s="17" t="n">
        <f aca="false">-B62</f>
        <v>-0.00361135741930006</v>
      </c>
    </row>
    <row r="63" customFormat="false" ht="15" hidden="false" customHeight="true" outlineLevel="0" collapsed="false">
      <c r="A63" s="23" t="n">
        <f aca="false">Daily_Returns_Raw_Data!A40</f>
        <v>42429</v>
      </c>
      <c r="B63" s="17" t="n">
        <f aca="false">SUMPRODUCT(Daily_Returns_Raw_Data!B40:X40,$AB$2:$AX$2)</f>
        <v>0.0251796218620422</v>
      </c>
      <c r="C63" s="17" t="n">
        <f aca="false">-B63</f>
        <v>-0.0251796218620422</v>
      </c>
    </row>
    <row r="64" customFormat="false" ht="15" hidden="false" customHeight="true" outlineLevel="0" collapsed="false">
      <c r="A64" s="23" t="n">
        <f aca="false">Daily_Returns_Raw_Data!A41</f>
        <v>42430</v>
      </c>
      <c r="B64" s="17" t="n">
        <f aca="false">SUMPRODUCT(Daily_Returns_Raw_Data!B41:X41,$AB$2:$AX$2)</f>
        <v>0.0191603185991407</v>
      </c>
      <c r="C64" s="17" t="n">
        <f aca="false">-B64</f>
        <v>-0.0191603185991407</v>
      </c>
    </row>
    <row r="65" customFormat="false" ht="15" hidden="false" customHeight="true" outlineLevel="0" collapsed="false">
      <c r="A65" s="23" t="n">
        <f aca="false">Daily_Returns_Raw_Data!A42</f>
        <v>42431</v>
      </c>
      <c r="B65" s="17" t="n">
        <f aca="false">SUMPRODUCT(Daily_Returns_Raw_Data!B42:X42,$AB$2:$AX$2)</f>
        <v>0.0182421865763889</v>
      </c>
      <c r="C65" s="17" t="n">
        <f aca="false">-B65</f>
        <v>-0.0182421865763889</v>
      </c>
    </row>
    <row r="66" customFormat="false" ht="15" hidden="false" customHeight="true" outlineLevel="0" collapsed="false">
      <c r="A66" s="23" t="n">
        <f aca="false">Daily_Returns_Raw_Data!A43</f>
        <v>42432</v>
      </c>
      <c r="B66" s="17" t="n">
        <f aca="false">SUMPRODUCT(Daily_Returns_Raw_Data!B43:X43,$AB$2:$AX$2)</f>
        <v>0.0133261008602807</v>
      </c>
      <c r="C66" s="17" t="n">
        <f aca="false">-B66</f>
        <v>-0.0133261008602807</v>
      </c>
    </row>
    <row r="67" customFormat="false" ht="15" hidden="false" customHeight="true" outlineLevel="0" collapsed="false">
      <c r="A67" s="23" t="n">
        <f aca="false">Daily_Returns_Raw_Data!A44</f>
        <v>42433</v>
      </c>
      <c r="B67" s="17" t="n">
        <f aca="false">SUMPRODUCT(Daily_Returns_Raw_Data!B44:X44,$AB$2:$AX$2)</f>
        <v>0.00936998990882762</v>
      </c>
      <c r="C67" s="17" t="n">
        <f aca="false">-B67</f>
        <v>-0.00936998990882762</v>
      </c>
    </row>
    <row r="68" customFormat="false" ht="15" hidden="false" customHeight="true" outlineLevel="0" collapsed="false">
      <c r="A68" s="23" t="n">
        <f aca="false">Daily_Returns_Raw_Data!A45</f>
        <v>42436</v>
      </c>
      <c r="B68" s="17" t="n">
        <f aca="false">SUMPRODUCT(Daily_Returns_Raw_Data!B45:X45,$AB$2:$AX$2)</f>
        <v>-0.0203735064280979</v>
      </c>
      <c r="C68" s="17" t="n">
        <f aca="false">-B68</f>
        <v>0.0203735064280979</v>
      </c>
    </row>
    <row r="69" customFormat="false" ht="15" hidden="false" customHeight="true" outlineLevel="0" collapsed="false">
      <c r="A69" s="23" t="n">
        <f aca="false">Daily_Returns_Raw_Data!A46</f>
        <v>42437</v>
      </c>
      <c r="B69" s="17" t="n">
        <f aca="false">SUMPRODUCT(Daily_Returns_Raw_Data!B46:X46,$AB$2:$AX$2)</f>
        <v>0.00338544367426185</v>
      </c>
      <c r="C69" s="17" t="n">
        <f aca="false">-B69</f>
        <v>-0.00338544367426185</v>
      </c>
    </row>
    <row r="70" customFormat="false" ht="15" hidden="false" customHeight="true" outlineLevel="0" collapsed="false">
      <c r="A70" s="23" t="n">
        <f aca="false">Daily_Returns_Raw_Data!A47</f>
        <v>42438</v>
      </c>
      <c r="B70" s="17" t="n">
        <f aca="false">SUMPRODUCT(Daily_Returns_Raw_Data!B47:X47,$AB$2:$AX$2)</f>
        <v>0.00264379926091864</v>
      </c>
      <c r="C70" s="17" t="n">
        <f aca="false">-B70</f>
        <v>-0.00264379926091864</v>
      </c>
    </row>
    <row r="71" customFormat="false" ht="15" hidden="false" customHeight="true" outlineLevel="0" collapsed="false">
      <c r="A71" s="23" t="n">
        <f aca="false">Daily_Returns_Raw_Data!A48</f>
        <v>42439</v>
      </c>
      <c r="B71" s="17" t="n">
        <f aca="false">SUMPRODUCT(Daily_Returns_Raw_Data!B48:X48,$AB$2:$AX$2)</f>
        <v>0.012867943510225</v>
      </c>
      <c r="C71" s="17" t="n">
        <f aca="false">-B71</f>
        <v>-0.012867943510225</v>
      </c>
    </row>
    <row r="72" customFormat="false" ht="15" hidden="false" customHeight="true" outlineLevel="0" collapsed="false">
      <c r="A72" s="23" t="n">
        <f aca="false">Daily_Returns_Raw_Data!A49</f>
        <v>42440</v>
      </c>
      <c r="B72" s="17" t="n">
        <f aca="false">SUMPRODUCT(Daily_Returns_Raw_Data!B49:X49,$AB$2:$AX$2)</f>
        <v>-0.00562834174071586</v>
      </c>
      <c r="C72" s="17" t="n">
        <f aca="false">-B72</f>
        <v>0.00562834174071586</v>
      </c>
    </row>
    <row r="73" customFormat="false" ht="15" hidden="false" customHeight="true" outlineLevel="0" collapsed="false">
      <c r="A73" s="23" t="n">
        <f aca="false">Daily_Returns_Raw_Data!A50</f>
        <v>42443</v>
      </c>
      <c r="B73" s="17" t="n">
        <f aca="false">SUMPRODUCT(Daily_Returns_Raw_Data!B50:X50,$AB$2:$AX$2)</f>
        <v>-0.0115083910905362</v>
      </c>
      <c r="C73" s="17" t="n">
        <f aca="false">-B73</f>
        <v>0.0115083910905362</v>
      </c>
    </row>
    <row r="74" customFormat="false" ht="15" hidden="false" customHeight="true" outlineLevel="0" collapsed="false">
      <c r="A74" s="23" t="n">
        <f aca="false">Daily_Returns_Raw_Data!A51</f>
        <v>42444</v>
      </c>
      <c r="B74" s="17" t="n">
        <f aca="false">SUMPRODUCT(Daily_Returns_Raw_Data!B51:X51,$AB$2:$AX$2)</f>
        <v>0.0128998065993111</v>
      </c>
      <c r="C74" s="17" t="n">
        <f aca="false">-B74</f>
        <v>-0.0128998065993111</v>
      </c>
    </row>
    <row r="75" customFormat="false" ht="15" hidden="false" customHeight="true" outlineLevel="0" collapsed="false">
      <c r="A75" s="23" t="n">
        <f aca="false">Daily_Returns_Raw_Data!A52</f>
        <v>42445</v>
      </c>
      <c r="B75" s="17" t="n">
        <f aca="false">SUMPRODUCT(Daily_Returns_Raw_Data!B52:X52,$AB$2:$AX$2)</f>
        <v>0.00837383783680225</v>
      </c>
      <c r="C75" s="17" t="n">
        <f aca="false">-B75</f>
        <v>-0.00837383783680225</v>
      </c>
    </row>
    <row r="76" customFormat="false" ht="15" hidden="false" customHeight="true" outlineLevel="0" collapsed="false">
      <c r="A76" s="23" t="n">
        <f aca="false">Daily_Returns_Raw_Data!A53</f>
        <v>42446</v>
      </c>
      <c r="B76" s="17" t="n">
        <f aca="false">SUMPRODUCT(Daily_Returns_Raw_Data!B53:X53,$AB$2:$AX$2)</f>
        <v>0.0064597084365352</v>
      </c>
      <c r="C76" s="17" t="n">
        <f aca="false">-B76</f>
        <v>-0.0064597084365352</v>
      </c>
    </row>
    <row r="77" customFormat="false" ht="15" hidden="false" customHeight="true" outlineLevel="0" collapsed="false">
      <c r="A77" s="23" t="n">
        <f aca="false">Daily_Returns_Raw_Data!A54</f>
        <v>42447</v>
      </c>
      <c r="B77" s="17" t="n">
        <f aca="false">SUMPRODUCT(Daily_Returns_Raw_Data!B54:X54,$AB$2:$AX$2)</f>
        <v>0.00168110502140495</v>
      </c>
      <c r="C77" s="17" t="n">
        <f aca="false">-B77</f>
        <v>-0.00168110502140495</v>
      </c>
    </row>
    <row r="78" customFormat="false" ht="15" hidden="false" customHeight="true" outlineLevel="0" collapsed="false">
      <c r="A78" s="23" t="n">
        <f aca="false">Daily_Returns_Raw_Data!A55</f>
        <v>42450</v>
      </c>
      <c r="B78" s="17" t="n">
        <f aca="false">SUMPRODUCT(Daily_Returns_Raw_Data!B55:X55,$AB$2:$AX$2)</f>
        <v>-0.00148187750003008</v>
      </c>
      <c r="C78" s="17" t="n">
        <f aca="false">-B78</f>
        <v>0.00148187750003008</v>
      </c>
    </row>
    <row r="79" customFormat="false" ht="15" hidden="false" customHeight="true" outlineLevel="0" collapsed="false">
      <c r="A79" s="23" t="n">
        <f aca="false">Daily_Returns_Raw_Data!A56</f>
        <v>42451</v>
      </c>
      <c r="B79" s="17" t="n">
        <f aca="false">SUMPRODUCT(Daily_Returns_Raw_Data!B56:X56,$AB$2:$AX$2)</f>
        <v>-0.0200140588286642</v>
      </c>
      <c r="C79" s="17" t="n">
        <f aca="false">-B79</f>
        <v>0.0200140588286642</v>
      </c>
    </row>
    <row r="80" customFormat="false" ht="15" hidden="false" customHeight="true" outlineLevel="0" collapsed="false">
      <c r="A80" s="23" t="n">
        <f aca="false">Daily_Returns_Raw_Data!A57</f>
        <v>42452</v>
      </c>
      <c r="B80" s="17" t="n">
        <f aca="false">SUMPRODUCT(Daily_Returns_Raw_Data!B57:X57,$AB$2:$AX$2)</f>
        <v>0.00243056662027634</v>
      </c>
      <c r="C80" s="17" t="n">
        <f aca="false">-B80</f>
        <v>-0.00243056662027634</v>
      </c>
    </row>
    <row r="81" customFormat="false" ht="15" hidden="false" customHeight="true" outlineLevel="0" collapsed="false">
      <c r="A81" s="23" t="n">
        <f aca="false">Daily_Returns_Raw_Data!A58</f>
        <v>42453</v>
      </c>
      <c r="B81" s="17" t="n">
        <f aca="false">SUMPRODUCT(Daily_Returns_Raw_Data!B58:X58,$AB$2:$AX$2)</f>
        <v>0.00475236609439417</v>
      </c>
      <c r="C81" s="17" t="n">
        <f aca="false">-B81</f>
        <v>-0.00475236609439417</v>
      </c>
    </row>
    <row r="82" customFormat="false" ht="15" hidden="false" customHeight="true" outlineLevel="0" collapsed="false">
      <c r="A82" s="23" t="n">
        <f aca="false">Daily_Returns_Raw_Data!A59</f>
        <v>42457</v>
      </c>
      <c r="B82" s="17" t="n">
        <f aca="false">SUMPRODUCT(Daily_Returns_Raw_Data!B59:X59,$AB$2:$AX$2)</f>
        <v>0.00494377434253154</v>
      </c>
      <c r="C82" s="17" t="n">
        <f aca="false">-B82</f>
        <v>-0.00494377434253154</v>
      </c>
    </row>
    <row r="83" customFormat="false" ht="15" hidden="false" customHeight="true" outlineLevel="0" collapsed="false">
      <c r="A83" s="23" t="n">
        <f aca="false">Daily_Returns_Raw_Data!A60</f>
        <v>42458</v>
      </c>
      <c r="B83" s="17" t="n">
        <f aca="false">SUMPRODUCT(Daily_Returns_Raw_Data!B60:X60,$AB$2:$AX$2)</f>
        <v>0.00751783439599195</v>
      </c>
      <c r="C83" s="17" t="n">
        <f aca="false">-B83</f>
        <v>-0.00751783439599195</v>
      </c>
    </row>
    <row r="84" customFormat="false" ht="15" hidden="false" customHeight="true" outlineLevel="0" collapsed="false">
      <c r="A84" s="23" t="n">
        <f aca="false">Daily_Returns_Raw_Data!A61</f>
        <v>42459</v>
      </c>
      <c r="B84" s="17" t="n">
        <f aca="false">SUMPRODUCT(Daily_Returns_Raw_Data!B61:X61,$AB$2:$AX$2)</f>
        <v>-0.000372218406100088</v>
      </c>
      <c r="C84" s="17" t="n">
        <f aca="false">-B84</f>
        <v>0.000372218406100088</v>
      </c>
    </row>
    <row r="85" customFormat="false" ht="15" hidden="false" customHeight="true" outlineLevel="0" collapsed="false">
      <c r="A85" s="23" t="n">
        <f aca="false">Daily_Returns_Raw_Data!A62</f>
        <v>42460</v>
      </c>
      <c r="B85" s="17" t="n">
        <f aca="false">SUMPRODUCT(Daily_Returns_Raw_Data!B62:X62,$AB$2:$AX$2)</f>
        <v>0.00230810536628069</v>
      </c>
      <c r="C85" s="17" t="n">
        <f aca="false">-B85</f>
        <v>-0.00230810536628069</v>
      </c>
    </row>
    <row r="86" customFormat="false" ht="15" hidden="false" customHeight="true" outlineLevel="0" collapsed="false">
      <c r="A86" s="23" t="n">
        <f aca="false">Daily_Returns_Raw_Data!A63</f>
        <v>42461</v>
      </c>
      <c r="B86" s="17" t="n">
        <f aca="false">SUMPRODUCT(Daily_Returns_Raw_Data!B63:X63,$AB$2:$AX$2)</f>
        <v>-0.0106585881293707</v>
      </c>
      <c r="C86" s="17" t="n">
        <f aca="false">-B86</f>
        <v>0.0106585881293707</v>
      </c>
    </row>
    <row r="87" customFormat="false" ht="15" hidden="false" customHeight="true" outlineLevel="0" collapsed="false">
      <c r="A87" s="23" t="n">
        <f aca="false">Daily_Returns_Raw_Data!A64</f>
        <v>42464</v>
      </c>
      <c r="B87" s="17" t="n">
        <f aca="false">SUMPRODUCT(Daily_Returns_Raw_Data!B64:X64,$AB$2:$AX$2)</f>
        <v>0.000739427751355482</v>
      </c>
      <c r="C87" s="17" t="n">
        <f aca="false">-B87</f>
        <v>-0.000739427751355482</v>
      </c>
    </row>
    <row r="88" customFormat="false" ht="15" hidden="false" customHeight="true" outlineLevel="0" collapsed="false">
      <c r="A88" s="23" t="n">
        <f aca="false">Daily_Returns_Raw_Data!A65</f>
        <v>42465</v>
      </c>
      <c r="B88" s="17" t="n">
        <f aca="false">SUMPRODUCT(Daily_Returns_Raw_Data!B65:X65,$AB$2:$AX$2)</f>
        <v>0.00608086914031065</v>
      </c>
      <c r="C88" s="17" t="n">
        <f aca="false">-B88</f>
        <v>-0.00608086914031065</v>
      </c>
    </row>
    <row r="89" customFormat="false" ht="15" hidden="false" customHeight="true" outlineLevel="0" collapsed="false">
      <c r="A89" s="23" t="n">
        <f aca="false">Daily_Returns_Raw_Data!A66</f>
        <v>42466</v>
      </c>
      <c r="B89" s="17" t="n">
        <f aca="false">SUMPRODUCT(Daily_Returns_Raw_Data!B66:X66,$AB$2:$AX$2)</f>
        <v>-0.0140038112962614</v>
      </c>
      <c r="C89" s="17" t="n">
        <f aca="false">-B89</f>
        <v>0.0140038112962614</v>
      </c>
    </row>
    <row r="90" customFormat="false" ht="15" hidden="false" customHeight="true" outlineLevel="0" collapsed="false">
      <c r="A90" s="23" t="n">
        <f aca="false">Daily_Returns_Raw_Data!A67</f>
        <v>42467</v>
      </c>
      <c r="B90" s="17" t="n">
        <f aca="false">SUMPRODUCT(Daily_Returns_Raw_Data!B67:X67,$AB$2:$AX$2)</f>
        <v>0.0134710114976246</v>
      </c>
      <c r="C90" s="17" t="n">
        <f aca="false">-B90</f>
        <v>-0.0134710114976246</v>
      </c>
    </row>
    <row r="91" customFormat="false" ht="15" hidden="false" customHeight="true" outlineLevel="0" collapsed="false">
      <c r="A91" s="23" t="n">
        <f aca="false">Daily_Returns_Raw_Data!A68</f>
        <v>42468</v>
      </c>
      <c r="B91" s="17" t="n">
        <f aca="false">SUMPRODUCT(Daily_Returns_Raw_Data!B68:X68,$AB$2:$AX$2)</f>
        <v>0.00864218054564736</v>
      </c>
      <c r="C91" s="17" t="n">
        <f aca="false">-B91</f>
        <v>-0.00864218054564736</v>
      </c>
    </row>
    <row r="92" customFormat="false" ht="15" hidden="false" customHeight="true" outlineLevel="0" collapsed="false">
      <c r="A92" s="23" t="n">
        <f aca="false">Daily_Returns_Raw_Data!A69</f>
        <v>42471</v>
      </c>
      <c r="B92" s="17" t="n">
        <f aca="false">SUMPRODUCT(Daily_Returns_Raw_Data!B69:X69,$AB$2:$AX$2)</f>
        <v>0.0168364889583432</v>
      </c>
      <c r="C92" s="17" t="n">
        <f aca="false">-B92</f>
        <v>-0.0168364889583432</v>
      </c>
    </row>
    <row r="93" customFormat="false" ht="15" hidden="false" customHeight="true" outlineLevel="0" collapsed="false">
      <c r="A93" s="23" t="n">
        <f aca="false">Daily_Returns_Raw_Data!A70</f>
        <v>42472</v>
      </c>
      <c r="B93" s="17" t="n">
        <f aca="false">SUMPRODUCT(Daily_Returns_Raw_Data!B70:X70,$AB$2:$AX$2)</f>
        <v>0.011369552582698</v>
      </c>
      <c r="C93" s="17" t="n">
        <f aca="false">-B93</f>
        <v>-0.011369552582698</v>
      </c>
    </row>
    <row r="94" customFormat="false" ht="15" hidden="false" customHeight="true" outlineLevel="0" collapsed="false">
      <c r="A94" s="23" t="n">
        <f aca="false">Daily_Returns_Raw_Data!A71</f>
        <v>42473</v>
      </c>
      <c r="B94" s="17" t="n">
        <f aca="false">SUMPRODUCT(Daily_Returns_Raw_Data!B71:X71,$AB$2:$AX$2)</f>
        <v>-0.00545650185206981</v>
      </c>
      <c r="C94" s="17" t="n">
        <f aca="false">-B94</f>
        <v>0.00545650185206981</v>
      </c>
    </row>
    <row r="95" customFormat="false" ht="15" hidden="false" customHeight="true" outlineLevel="0" collapsed="false">
      <c r="A95" s="23" t="n">
        <f aca="false">Daily_Returns_Raw_Data!A72</f>
        <v>42474</v>
      </c>
      <c r="B95" s="17" t="n">
        <f aca="false">SUMPRODUCT(Daily_Returns_Raw_Data!B72:X72,$AB$2:$AX$2)</f>
        <v>-0.00482469985207773</v>
      </c>
      <c r="C95" s="17" t="n">
        <f aca="false">-B95</f>
        <v>0.00482469985207773</v>
      </c>
    </row>
    <row r="96" customFormat="false" ht="15" hidden="false" customHeight="true" outlineLevel="0" collapsed="false">
      <c r="A96" s="23" t="n">
        <f aca="false">Daily_Returns_Raw_Data!A73</f>
        <v>42475</v>
      </c>
      <c r="B96" s="17" t="n">
        <f aca="false">SUMPRODUCT(Daily_Returns_Raw_Data!B73:X73,$AB$2:$AX$2)</f>
        <v>0.00192683861019797</v>
      </c>
      <c r="C96" s="17" t="n">
        <f aca="false">-B96</f>
        <v>-0.00192683861019797</v>
      </c>
    </row>
    <row r="97" customFormat="false" ht="15" hidden="false" customHeight="true" outlineLevel="0" collapsed="false">
      <c r="A97" s="23" t="n">
        <f aca="false">Daily_Returns_Raw_Data!A74</f>
        <v>42478</v>
      </c>
      <c r="B97" s="17" t="n">
        <f aca="false">SUMPRODUCT(Daily_Returns_Raw_Data!B74:X74,$AB$2:$AX$2)</f>
        <v>0.0106850959698739</v>
      </c>
      <c r="C97" s="17" t="n">
        <f aca="false">-B97</f>
        <v>-0.0106850959698739</v>
      </c>
    </row>
    <row r="98" customFormat="false" ht="15" hidden="false" customHeight="true" outlineLevel="0" collapsed="false">
      <c r="A98" s="23" t="n">
        <f aca="false">Daily_Returns_Raw_Data!A75</f>
        <v>42479</v>
      </c>
      <c r="B98" s="17" t="n">
        <f aca="false">SUMPRODUCT(Daily_Returns_Raw_Data!B75:X75,$AB$2:$AX$2)</f>
        <v>0.0116368145081087</v>
      </c>
      <c r="C98" s="17" t="n">
        <f aca="false">-B98</f>
        <v>-0.0116368145081087</v>
      </c>
    </row>
    <row r="99" customFormat="false" ht="15" hidden="false" customHeight="true" outlineLevel="0" collapsed="false">
      <c r="A99" s="23" t="n">
        <f aca="false">Daily_Returns_Raw_Data!A76</f>
        <v>42480</v>
      </c>
      <c r="B99" s="17" t="n">
        <f aca="false">SUMPRODUCT(Daily_Returns_Raw_Data!B76:X76,$AB$2:$AX$2)</f>
        <v>-0.0124261407691882</v>
      </c>
      <c r="C99" s="17" t="n">
        <f aca="false">-B99</f>
        <v>0.0124261407691882</v>
      </c>
    </row>
    <row r="100" customFormat="false" ht="15" hidden="false" customHeight="true" outlineLevel="0" collapsed="false">
      <c r="A100" s="23" t="n">
        <f aca="false">Daily_Returns_Raw_Data!A77</f>
        <v>42481</v>
      </c>
      <c r="B100" s="17" t="n">
        <f aca="false">SUMPRODUCT(Daily_Returns_Raw_Data!B77:X77,$AB$2:$AX$2)</f>
        <v>0.00113396817699618</v>
      </c>
      <c r="C100" s="17" t="n">
        <f aca="false">-B100</f>
        <v>-0.00113396817699618</v>
      </c>
    </row>
    <row r="101" customFormat="false" ht="15" hidden="false" customHeight="true" outlineLevel="0" collapsed="false">
      <c r="A101" s="23" t="n">
        <f aca="false">Daily_Returns_Raw_Data!A78</f>
        <v>42482</v>
      </c>
      <c r="B101" s="17" t="n">
        <f aca="false">SUMPRODUCT(Daily_Returns_Raw_Data!B78:X78,$AB$2:$AX$2)</f>
        <v>-0.00589577876668334</v>
      </c>
      <c r="C101" s="17" t="n">
        <f aca="false">-B101</f>
        <v>0.00589577876668334</v>
      </c>
    </row>
    <row r="102" customFormat="false" ht="15" hidden="false" customHeight="true" outlineLevel="0" collapsed="false">
      <c r="A102" s="23" t="n">
        <f aca="false">Daily_Returns_Raw_Data!A79</f>
        <v>42485</v>
      </c>
      <c r="B102" s="17" t="n">
        <f aca="false">SUMPRODUCT(Daily_Returns_Raw_Data!B79:X79,$AB$2:$AX$2)</f>
        <v>0.0116507964600009</v>
      </c>
      <c r="C102" s="17" t="n">
        <f aca="false">-B102</f>
        <v>-0.0116507964600009</v>
      </c>
    </row>
    <row r="103" customFormat="false" ht="15" hidden="false" customHeight="true" outlineLevel="0" collapsed="false">
      <c r="A103" s="23" t="n">
        <f aca="false">Daily_Returns_Raw_Data!A80</f>
        <v>42486</v>
      </c>
      <c r="B103" s="17" t="n">
        <f aca="false">SUMPRODUCT(Daily_Returns_Raw_Data!B80:X80,$AB$2:$AX$2)</f>
        <v>0.00763704519630121</v>
      </c>
      <c r="C103" s="17" t="n">
        <f aca="false">-B103</f>
        <v>-0.00763704519630121</v>
      </c>
    </row>
    <row r="104" customFormat="false" ht="15" hidden="false" customHeight="true" outlineLevel="0" collapsed="false">
      <c r="A104" s="23" t="n">
        <f aca="false">Daily_Returns_Raw_Data!A81</f>
        <v>42487</v>
      </c>
      <c r="B104" s="17" t="n">
        <f aca="false">SUMPRODUCT(Daily_Returns_Raw_Data!B81:X81,$AB$2:$AX$2)</f>
        <v>-0.000272535986388734</v>
      </c>
      <c r="C104" s="17" t="n">
        <f aca="false">-B104</f>
        <v>0.000272535986388734</v>
      </c>
    </row>
    <row r="105" customFormat="false" ht="15" hidden="false" customHeight="true" outlineLevel="0" collapsed="false">
      <c r="A105" s="23" t="n">
        <f aca="false">Daily_Returns_Raw_Data!A82</f>
        <v>42488</v>
      </c>
      <c r="B105" s="17" t="n">
        <f aca="false">SUMPRODUCT(Daily_Returns_Raw_Data!B82:X82,$AB$2:$AX$2)</f>
        <v>-0.00268558195670502</v>
      </c>
      <c r="C105" s="17" t="n">
        <f aca="false">-B105</f>
        <v>0.00268558195670502</v>
      </c>
    </row>
    <row r="106" customFormat="false" ht="15" hidden="false" customHeight="true" outlineLevel="0" collapsed="false">
      <c r="A106" s="23" t="n">
        <f aca="false">Daily_Returns_Raw_Data!A83</f>
        <v>42489</v>
      </c>
      <c r="B106" s="17" t="n">
        <f aca="false">SUMPRODUCT(Daily_Returns_Raw_Data!B83:X83,$AB$2:$AX$2)</f>
        <v>-0.00227101078790845</v>
      </c>
      <c r="C106" s="17" t="n">
        <f aca="false">-B106</f>
        <v>0.00227101078790845</v>
      </c>
    </row>
    <row r="107" customFormat="false" ht="15" hidden="false" customHeight="true" outlineLevel="0" collapsed="false">
      <c r="A107" s="23" t="n">
        <f aca="false">Daily_Returns_Raw_Data!A84</f>
        <v>42492</v>
      </c>
      <c r="B107" s="17" t="n">
        <f aca="false">SUMPRODUCT(Daily_Returns_Raw_Data!B84:X84,$AB$2:$AX$2)</f>
        <v>-0.0215089511873056</v>
      </c>
      <c r="C107" s="17" t="n">
        <f aca="false">-B107</f>
        <v>0.0215089511873056</v>
      </c>
    </row>
    <row r="108" customFormat="false" ht="15" hidden="false" customHeight="true" outlineLevel="0" collapsed="false">
      <c r="A108" s="23" t="n">
        <f aca="false">Daily_Returns_Raw_Data!A85</f>
        <v>42493</v>
      </c>
      <c r="B108" s="17" t="n">
        <f aca="false">SUMPRODUCT(Daily_Returns_Raw_Data!B85:X85,$AB$2:$AX$2)</f>
        <v>-0.0128754506713758</v>
      </c>
      <c r="C108" s="17" t="n">
        <f aca="false">-B108</f>
        <v>0.0128754506713758</v>
      </c>
    </row>
    <row r="109" customFormat="false" ht="15" hidden="false" customHeight="true" outlineLevel="0" collapsed="false">
      <c r="A109" s="23" t="n">
        <f aca="false">Daily_Returns_Raw_Data!A86</f>
        <v>42494</v>
      </c>
      <c r="B109" s="17" t="n">
        <f aca="false">SUMPRODUCT(Daily_Returns_Raw_Data!B86:X86,$AB$2:$AX$2)</f>
        <v>-0.00645904692097318</v>
      </c>
      <c r="C109" s="17" t="n">
        <f aca="false">-B109</f>
        <v>0.00645904692097318</v>
      </c>
    </row>
    <row r="110" customFormat="false" ht="15" hidden="false" customHeight="true" outlineLevel="0" collapsed="false">
      <c r="A110" s="23" t="n">
        <f aca="false">Daily_Returns_Raw_Data!A87</f>
        <v>42495</v>
      </c>
      <c r="B110" s="17" t="n">
        <f aca="false">SUMPRODUCT(Daily_Returns_Raw_Data!B87:X87,$AB$2:$AX$2)</f>
        <v>0.00194426940081122</v>
      </c>
      <c r="C110" s="17" t="n">
        <f aca="false">-B110</f>
        <v>-0.00194426940081122</v>
      </c>
    </row>
    <row r="111" customFormat="false" ht="15" hidden="false" customHeight="true" outlineLevel="0" collapsed="false">
      <c r="A111" s="23" t="n">
        <f aca="false">Daily_Returns_Raw_Data!A88</f>
        <v>42496</v>
      </c>
      <c r="B111" s="17" t="n">
        <f aca="false">SUMPRODUCT(Daily_Returns_Raw_Data!B88:X88,$AB$2:$AX$2)</f>
        <v>-0.00923085619219844</v>
      </c>
      <c r="C111" s="17" t="n">
        <f aca="false">-B111</f>
        <v>0.00923085619219844</v>
      </c>
    </row>
    <row r="112" customFormat="false" ht="15" hidden="false" customHeight="true" outlineLevel="0" collapsed="false">
      <c r="A112" s="23" t="n">
        <f aca="false">Daily_Returns_Raw_Data!A89</f>
        <v>42499</v>
      </c>
      <c r="B112" s="17" t="n">
        <f aca="false">SUMPRODUCT(Daily_Returns_Raw_Data!B89:X89,$AB$2:$AX$2)</f>
        <v>0.0181544246051664</v>
      </c>
      <c r="C112" s="17" t="n">
        <f aca="false">-B112</f>
        <v>-0.0181544246051664</v>
      </c>
    </row>
    <row r="113" customFormat="false" ht="15" hidden="false" customHeight="true" outlineLevel="0" collapsed="false">
      <c r="A113" s="23" t="n">
        <f aca="false">Daily_Returns_Raw_Data!A90</f>
        <v>42500</v>
      </c>
      <c r="B113" s="17" t="n">
        <f aca="false">SUMPRODUCT(Daily_Returns_Raw_Data!B90:X90,$AB$2:$AX$2)</f>
        <v>0.00136753941174399</v>
      </c>
      <c r="C113" s="17" t="n">
        <f aca="false">-B113</f>
        <v>-0.00136753941174399</v>
      </c>
    </row>
    <row r="114" customFormat="false" ht="15" hidden="false" customHeight="true" outlineLevel="0" collapsed="false">
      <c r="A114" s="23" t="n">
        <f aca="false">Daily_Returns_Raw_Data!A91</f>
        <v>42501</v>
      </c>
      <c r="B114" s="17" t="n">
        <f aca="false">SUMPRODUCT(Daily_Returns_Raw_Data!B91:X91,$AB$2:$AX$2)</f>
        <v>-0.00670989252804996</v>
      </c>
      <c r="C114" s="17" t="n">
        <f aca="false">-B114</f>
        <v>0.00670989252804996</v>
      </c>
    </row>
    <row r="115" customFormat="false" ht="15" hidden="false" customHeight="true" outlineLevel="0" collapsed="false">
      <c r="A115" s="23" t="n">
        <f aca="false">Daily_Returns_Raw_Data!A92</f>
        <v>42502</v>
      </c>
      <c r="B115" s="17" t="n">
        <f aca="false">SUMPRODUCT(Daily_Returns_Raw_Data!B92:X92,$AB$2:$AX$2)</f>
        <v>-0.0126630539971239</v>
      </c>
      <c r="C115" s="17" t="n">
        <f aca="false">-B115</f>
        <v>0.0126630539971239</v>
      </c>
    </row>
    <row r="116" customFormat="false" ht="15" hidden="false" customHeight="true" outlineLevel="0" collapsed="false">
      <c r="A116" s="23" t="n">
        <f aca="false">Daily_Returns_Raw_Data!A93</f>
        <v>42503</v>
      </c>
      <c r="B116" s="17" t="n">
        <f aca="false">SUMPRODUCT(Daily_Returns_Raw_Data!B93:X93,$AB$2:$AX$2)</f>
        <v>0.0101676929244242</v>
      </c>
      <c r="C116" s="17" t="n">
        <f aca="false">-B116</f>
        <v>-0.0101676929244242</v>
      </c>
    </row>
    <row r="117" customFormat="false" ht="15" hidden="false" customHeight="true" outlineLevel="0" collapsed="false">
      <c r="A117" s="23" t="n">
        <f aca="false">Daily_Returns_Raw_Data!A94</f>
        <v>42506</v>
      </c>
      <c r="B117" s="17" t="n">
        <f aca="false">SUMPRODUCT(Daily_Returns_Raw_Data!B94:X94,$AB$2:$AX$2)</f>
        <v>-0.0088154437642403</v>
      </c>
      <c r="C117" s="17" t="n">
        <f aca="false">-B117</f>
        <v>0.0088154437642403</v>
      </c>
    </row>
    <row r="118" customFormat="false" ht="15" hidden="false" customHeight="true" outlineLevel="0" collapsed="false">
      <c r="A118" s="23" t="n">
        <f aca="false">Daily_Returns_Raw_Data!A95</f>
        <v>42507</v>
      </c>
      <c r="B118" s="17" t="n">
        <f aca="false">SUMPRODUCT(Daily_Returns_Raw_Data!B95:X95,$AB$2:$AX$2)</f>
        <v>-0.00479572860481801</v>
      </c>
      <c r="C118" s="17" t="n">
        <f aca="false">-B118</f>
        <v>0.00479572860481801</v>
      </c>
    </row>
    <row r="119" customFormat="false" ht="15" hidden="false" customHeight="true" outlineLevel="0" collapsed="false">
      <c r="A119" s="23" t="n">
        <f aca="false">Daily_Returns_Raw_Data!A96</f>
        <v>42508</v>
      </c>
      <c r="B119" s="17" t="n">
        <f aca="false">SUMPRODUCT(Daily_Returns_Raw_Data!B96:X96,$AB$2:$AX$2)</f>
        <v>-0.00277090227307392</v>
      </c>
      <c r="C119" s="17" t="n">
        <f aca="false">-B119</f>
        <v>0.00277090227307392</v>
      </c>
    </row>
    <row r="120" customFormat="false" ht="15" hidden="false" customHeight="true" outlineLevel="0" collapsed="false">
      <c r="A120" s="23" t="n">
        <f aca="false">Daily_Returns_Raw_Data!A97</f>
        <v>42509</v>
      </c>
      <c r="B120" s="17" t="n">
        <f aca="false">SUMPRODUCT(Daily_Returns_Raw_Data!B97:X97,$AB$2:$AX$2)</f>
        <v>0.003639835945814</v>
      </c>
      <c r="C120" s="17" t="n">
        <f aca="false">-B120</f>
        <v>-0.003639835945814</v>
      </c>
    </row>
    <row r="121" customFormat="false" ht="15" hidden="false" customHeight="true" outlineLevel="0" collapsed="false">
      <c r="A121" s="23" t="n">
        <f aca="false">Daily_Returns_Raw_Data!A98</f>
        <v>42510</v>
      </c>
      <c r="B121" s="17" t="n">
        <f aca="false">SUMPRODUCT(Daily_Returns_Raw_Data!B98:X98,$AB$2:$AX$2)</f>
        <v>-0.00495756348604819</v>
      </c>
      <c r="C121" s="17" t="n">
        <f aca="false">-B121</f>
        <v>0.00495756348604819</v>
      </c>
    </row>
    <row r="122" customFormat="false" ht="15" hidden="false" customHeight="true" outlineLevel="0" collapsed="false">
      <c r="A122" s="23" t="n">
        <f aca="false">Daily_Returns_Raw_Data!A99</f>
        <v>42513</v>
      </c>
      <c r="B122" s="17" t="n">
        <f aca="false">SUMPRODUCT(Daily_Returns_Raw_Data!B99:X99,$AB$2:$AX$2)</f>
        <v>0.00941504360828938</v>
      </c>
      <c r="C122" s="17" t="n">
        <f aca="false">-B122</f>
        <v>-0.00941504360828938</v>
      </c>
    </row>
    <row r="123" customFormat="false" ht="15" hidden="false" customHeight="true" outlineLevel="0" collapsed="false">
      <c r="A123" s="23" t="n">
        <f aca="false">Daily_Returns_Raw_Data!A100</f>
        <v>42514</v>
      </c>
      <c r="B123" s="17" t="n">
        <f aca="false">SUMPRODUCT(Daily_Returns_Raw_Data!B100:X100,$AB$2:$AX$2)</f>
        <v>0.0103092525068861</v>
      </c>
      <c r="C123" s="17" t="n">
        <f aca="false">-B123</f>
        <v>-0.0103092525068861</v>
      </c>
    </row>
    <row r="124" customFormat="false" ht="15" hidden="false" customHeight="true" outlineLevel="0" collapsed="false">
      <c r="A124" s="23" t="n">
        <f aca="false">Daily_Returns_Raw_Data!A101</f>
        <v>42515</v>
      </c>
      <c r="B124" s="17" t="n">
        <f aca="false">SUMPRODUCT(Daily_Returns_Raw_Data!B101:X101,$AB$2:$AX$2)</f>
        <v>0.0022153023121078</v>
      </c>
      <c r="C124" s="17" t="n">
        <f aca="false">-B124</f>
        <v>-0.0022153023121078</v>
      </c>
    </row>
    <row r="125" customFormat="false" ht="15" hidden="false" customHeight="true" outlineLevel="0" collapsed="false">
      <c r="A125" s="23" t="n">
        <f aca="false">Daily_Returns_Raw_Data!A102</f>
        <v>42516</v>
      </c>
      <c r="B125" s="17" t="n">
        <f aca="false">SUMPRODUCT(Daily_Returns_Raw_Data!B102:X102,$AB$2:$AX$2)</f>
        <v>-0.000860771636586506</v>
      </c>
      <c r="C125" s="17" t="n">
        <f aca="false">-B125</f>
        <v>0.000860771636586506</v>
      </c>
    </row>
    <row r="126" customFormat="false" ht="15" hidden="false" customHeight="true" outlineLevel="0" collapsed="false">
      <c r="A126" s="23" t="n">
        <f aca="false">Daily_Returns_Raw_Data!A103</f>
        <v>42517</v>
      </c>
      <c r="B126" s="17" t="n">
        <f aca="false">SUMPRODUCT(Daily_Returns_Raw_Data!B103:X103,$AB$2:$AX$2)</f>
        <v>0.0023757091078079</v>
      </c>
      <c r="C126" s="17" t="n">
        <f aca="false">-B126</f>
        <v>-0.0023757091078079</v>
      </c>
    </row>
    <row r="127" customFormat="false" ht="15" hidden="false" customHeight="true" outlineLevel="0" collapsed="false">
      <c r="A127" s="23" t="n">
        <f aca="false">Daily_Returns_Raw_Data!A104</f>
        <v>42521</v>
      </c>
      <c r="B127" s="17" t="n">
        <f aca="false">SUMPRODUCT(Daily_Returns_Raw_Data!B104:X104,$AB$2:$AX$2)</f>
        <v>0.00618936344192267</v>
      </c>
      <c r="C127" s="17" t="n">
        <f aca="false">-B127</f>
        <v>-0.00618936344192267</v>
      </c>
    </row>
    <row r="128" customFormat="false" ht="15" hidden="false" customHeight="true" outlineLevel="0" collapsed="false">
      <c r="A128" s="23" t="n">
        <f aca="false">Daily_Returns_Raw_Data!A105</f>
        <v>42522</v>
      </c>
      <c r="B128" s="17" t="n">
        <f aca="false">SUMPRODUCT(Daily_Returns_Raw_Data!B105:X105,$AB$2:$AX$2)</f>
        <v>0.00395924935952248</v>
      </c>
      <c r="C128" s="17" t="n">
        <f aca="false">-B128</f>
        <v>-0.00395924935952248</v>
      </c>
    </row>
    <row r="129" customFormat="false" ht="15" hidden="false" customHeight="true" outlineLevel="0" collapsed="false">
      <c r="A129" s="23" t="n">
        <f aca="false">Daily_Returns_Raw_Data!A106</f>
        <v>42523</v>
      </c>
      <c r="B129" s="17" t="n">
        <f aca="false">SUMPRODUCT(Daily_Returns_Raw_Data!B106:X106,$AB$2:$AX$2)</f>
        <v>0.00433822547081979</v>
      </c>
      <c r="C129" s="17" t="n">
        <f aca="false">-B129</f>
        <v>-0.00433822547081979</v>
      </c>
    </row>
    <row r="130" customFormat="false" ht="15" hidden="false" customHeight="true" outlineLevel="0" collapsed="false">
      <c r="A130" s="23" t="n">
        <f aca="false">Daily_Returns_Raw_Data!A107</f>
        <v>42524</v>
      </c>
      <c r="B130" s="17" t="n">
        <f aca="false">SUMPRODUCT(Daily_Returns_Raw_Data!B107:X107,$AB$2:$AX$2)</f>
        <v>0.0085864247841314</v>
      </c>
      <c r="C130" s="17" t="n">
        <f aca="false">-B130</f>
        <v>-0.0085864247841314</v>
      </c>
    </row>
    <row r="131" customFormat="false" ht="15" hidden="false" customHeight="true" outlineLevel="0" collapsed="false">
      <c r="A131" s="23" t="n">
        <f aca="false">Daily_Returns_Raw_Data!A108</f>
        <v>42527</v>
      </c>
      <c r="B131" s="17" t="n">
        <f aca="false">SUMPRODUCT(Daily_Returns_Raw_Data!B108:X108,$AB$2:$AX$2)</f>
        <v>0.00210610614342677</v>
      </c>
      <c r="C131" s="17" t="n">
        <f aca="false">-B131</f>
        <v>-0.00210610614342677</v>
      </c>
    </row>
    <row r="132" customFormat="false" ht="15" hidden="false" customHeight="true" outlineLevel="0" collapsed="false">
      <c r="A132" s="23" t="n">
        <f aca="false">Daily_Returns_Raw_Data!A109</f>
        <v>42528</v>
      </c>
      <c r="B132" s="17" t="n">
        <f aca="false">SUMPRODUCT(Daily_Returns_Raw_Data!B109:X109,$AB$2:$AX$2)</f>
        <v>0.010108194381493</v>
      </c>
      <c r="C132" s="17" t="n">
        <f aca="false">-B132</f>
        <v>-0.010108194381493</v>
      </c>
    </row>
    <row r="133" customFormat="false" ht="15" hidden="false" customHeight="true" outlineLevel="0" collapsed="false">
      <c r="A133" s="23" t="n">
        <f aca="false">Daily_Returns_Raw_Data!A110</f>
        <v>42529</v>
      </c>
      <c r="B133" s="17" t="n">
        <f aca="false">SUMPRODUCT(Daily_Returns_Raw_Data!B110:X110,$AB$2:$AX$2)</f>
        <v>-0.0103711166931076</v>
      </c>
      <c r="C133" s="17" t="n">
        <f aca="false">-B133</f>
        <v>0.0103711166931076</v>
      </c>
    </row>
    <row r="134" customFormat="false" ht="15" hidden="false" customHeight="true" outlineLevel="0" collapsed="false">
      <c r="A134" s="23" t="n">
        <f aca="false">Daily_Returns_Raw_Data!A111</f>
        <v>42530</v>
      </c>
      <c r="B134" s="17" t="n">
        <f aca="false">SUMPRODUCT(Daily_Returns_Raw_Data!B111:X111,$AB$2:$AX$2)</f>
        <v>-0.0183006920391874</v>
      </c>
      <c r="C134" s="17" t="n">
        <f aca="false">-B134</f>
        <v>0.0183006920391874</v>
      </c>
    </row>
    <row r="135" customFormat="false" ht="15" hidden="false" customHeight="true" outlineLevel="0" collapsed="false">
      <c r="A135" s="23" t="n">
        <f aca="false">Daily_Returns_Raw_Data!A112</f>
        <v>42531</v>
      </c>
      <c r="B135" s="17" t="n">
        <f aca="false">SUMPRODUCT(Daily_Returns_Raw_Data!B112:X112,$AB$2:$AX$2)</f>
        <v>-0.00931280257099566</v>
      </c>
      <c r="C135" s="17" t="n">
        <f aca="false">-B135</f>
        <v>0.00931280257099566</v>
      </c>
    </row>
    <row r="136" customFormat="false" ht="15" hidden="false" customHeight="true" outlineLevel="0" collapsed="false">
      <c r="A136" s="23" t="n">
        <f aca="false">Daily_Returns_Raw_Data!A113</f>
        <v>42534</v>
      </c>
      <c r="B136" s="17" t="n">
        <f aca="false">SUMPRODUCT(Daily_Returns_Raw_Data!B113:X113,$AB$2:$AX$2)</f>
        <v>-0.00303010643157738</v>
      </c>
      <c r="C136" s="17" t="n">
        <f aca="false">-B136</f>
        <v>0.00303010643157738</v>
      </c>
    </row>
    <row r="137" customFormat="false" ht="15" hidden="false" customHeight="true" outlineLevel="0" collapsed="false">
      <c r="A137" s="23" t="n">
        <f aca="false">Daily_Returns_Raw_Data!A114</f>
        <v>42535</v>
      </c>
      <c r="B137" s="17" t="n">
        <f aca="false">SUMPRODUCT(Daily_Returns_Raw_Data!B114:X114,$AB$2:$AX$2)</f>
        <v>0.000487751417112585</v>
      </c>
      <c r="C137" s="17" t="n">
        <f aca="false">-B137</f>
        <v>-0.000487751417112585</v>
      </c>
    </row>
    <row r="138" customFormat="false" ht="15" hidden="false" customHeight="true" outlineLevel="0" collapsed="false">
      <c r="A138" s="23" t="n">
        <f aca="false">Daily_Returns_Raw_Data!A115</f>
        <v>42536</v>
      </c>
      <c r="B138" s="17" t="n">
        <f aca="false">SUMPRODUCT(Daily_Returns_Raw_Data!B115:X115,$AB$2:$AX$2)</f>
        <v>0.00114614130271558</v>
      </c>
      <c r="C138" s="17" t="n">
        <f aca="false">-B138</f>
        <v>-0.00114614130271558</v>
      </c>
    </row>
    <row r="139" customFormat="false" ht="15" hidden="false" customHeight="true" outlineLevel="0" collapsed="false">
      <c r="A139" s="23" t="n">
        <f aca="false">Daily_Returns_Raw_Data!A116</f>
        <v>42537</v>
      </c>
      <c r="B139" s="17" t="n">
        <f aca="false">SUMPRODUCT(Daily_Returns_Raw_Data!B116:X116,$AB$2:$AX$2)</f>
        <v>0.00122243743048166</v>
      </c>
      <c r="C139" s="17" t="n">
        <f aca="false">-B139</f>
        <v>-0.00122243743048166</v>
      </c>
    </row>
    <row r="140" customFormat="false" ht="15" hidden="false" customHeight="true" outlineLevel="0" collapsed="false">
      <c r="A140" s="23" t="n">
        <f aca="false">Daily_Returns_Raw_Data!A117</f>
        <v>42538</v>
      </c>
      <c r="B140" s="17" t="n">
        <f aca="false">SUMPRODUCT(Daily_Returns_Raw_Data!B117:X117,$AB$2:$AX$2)</f>
        <v>0.00491385932542399</v>
      </c>
      <c r="C140" s="17" t="n">
        <f aca="false">-B140</f>
        <v>-0.00491385932542399</v>
      </c>
    </row>
    <row r="141" customFormat="false" ht="15" hidden="false" customHeight="true" outlineLevel="0" collapsed="false">
      <c r="A141" s="23" t="n">
        <f aca="false">Daily_Returns_Raw_Data!A118</f>
        <v>42541</v>
      </c>
      <c r="B141" s="17" t="n">
        <f aca="false">SUMPRODUCT(Daily_Returns_Raw_Data!B118:X118,$AB$2:$AX$2)</f>
        <v>0.0023511779429904</v>
      </c>
      <c r="C141" s="17" t="n">
        <f aca="false">-B141</f>
        <v>-0.0023511779429904</v>
      </c>
    </row>
    <row r="142" customFormat="false" ht="15" hidden="false" customHeight="true" outlineLevel="0" collapsed="false">
      <c r="A142" s="23" t="n">
        <f aca="false">Daily_Returns_Raw_Data!A119</f>
        <v>42542</v>
      </c>
      <c r="B142" s="17" t="n">
        <f aca="false">SUMPRODUCT(Daily_Returns_Raw_Data!B119:X119,$AB$2:$AX$2)</f>
        <v>-0.00209401307765162</v>
      </c>
      <c r="C142" s="17" t="n">
        <f aca="false">-B142</f>
        <v>0.00209401307765162</v>
      </c>
    </row>
    <row r="143" customFormat="false" ht="15" hidden="false" customHeight="true" outlineLevel="0" collapsed="false">
      <c r="A143" s="23" t="n">
        <f aca="false">Daily_Returns_Raw_Data!A120</f>
        <v>42543</v>
      </c>
      <c r="B143" s="17" t="n">
        <f aca="false">SUMPRODUCT(Daily_Returns_Raw_Data!B120:X120,$AB$2:$AX$2)</f>
        <v>0.0162919657757824</v>
      </c>
      <c r="C143" s="17" t="n">
        <f aca="false">-B143</f>
        <v>-0.0162919657757824</v>
      </c>
    </row>
    <row r="144" customFormat="false" ht="15" hidden="false" customHeight="true" outlineLevel="0" collapsed="false">
      <c r="A144" s="23" t="n">
        <f aca="false">Daily_Returns_Raw_Data!A121</f>
        <v>42544</v>
      </c>
      <c r="B144" s="17" t="n">
        <f aca="false">SUMPRODUCT(Daily_Returns_Raw_Data!B121:X121,$AB$2:$AX$2)</f>
        <v>-0.0341605962577653</v>
      </c>
      <c r="C144" s="17" t="n">
        <f aca="false">-B144</f>
        <v>0.0341605962577653</v>
      </c>
    </row>
    <row r="145" customFormat="false" ht="15" hidden="false" customHeight="true" outlineLevel="0" collapsed="false">
      <c r="A145" s="23" t="n">
        <f aca="false">Daily_Returns_Raw_Data!A122</f>
        <v>42545</v>
      </c>
      <c r="B145" s="17" t="n">
        <f aca="false">SUMPRODUCT(Daily_Returns_Raw_Data!B122:X122,$AB$2:$AX$2)</f>
        <v>-0.0196774168789821</v>
      </c>
      <c r="C145" s="17" t="n">
        <f aca="false">-B145</f>
        <v>0.0196774168789821</v>
      </c>
    </row>
    <row r="146" customFormat="false" ht="15" hidden="false" customHeight="true" outlineLevel="0" collapsed="false">
      <c r="A146" s="23" t="n">
        <f aca="false">Daily_Returns_Raw_Data!A123</f>
        <v>42548</v>
      </c>
      <c r="B146" s="17" t="n">
        <f aca="false">SUMPRODUCT(Daily_Returns_Raw_Data!B123:X123,$AB$2:$AX$2)</f>
        <v>0.0209865901743758</v>
      </c>
      <c r="C146" s="17" t="n">
        <f aca="false">-B146</f>
        <v>-0.0209865901743758</v>
      </c>
    </row>
    <row r="147" customFormat="false" ht="15" hidden="false" customHeight="true" outlineLevel="0" collapsed="false">
      <c r="A147" s="23" t="n">
        <f aca="false">Daily_Returns_Raw_Data!A124</f>
        <v>42549</v>
      </c>
      <c r="B147" s="17" t="n">
        <f aca="false">SUMPRODUCT(Daily_Returns_Raw_Data!B124:X124,$AB$2:$AX$2)</f>
        <v>0.0213465439864959</v>
      </c>
      <c r="C147" s="17" t="n">
        <f aca="false">-B147</f>
        <v>-0.0213465439864959</v>
      </c>
    </row>
    <row r="148" customFormat="false" ht="15" hidden="false" customHeight="true" outlineLevel="0" collapsed="false">
      <c r="A148" s="23" t="n">
        <f aca="false">Daily_Returns_Raw_Data!A125</f>
        <v>42550</v>
      </c>
      <c r="B148" s="17" t="n">
        <f aca="false">SUMPRODUCT(Daily_Returns_Raw_Data!B125:X125,$AB$2:$AX$2)</f>
        <v>0.0145360681395814</v>
      </c>
      <c r="C148" s="17" t="n">
        <f aca="false">-B148</f>
        <v>-0.0145360681395814</v>
      </c>
    </row>
    <row r="149" customFormat="false" ht="15" hidden="false" customHeight="true" outlineLevel="0" collapsed="false">
      <c r="A149" s="23" t="n">
        <f aca="false">Daily_Returns_Raw_Data!A126</f>
        <v>42551</v>
      </c>
      <c r="B149" s="17" t="n">
        <f aca="false">SUMPRODUCT(Daily_Returns_Raw_Data!B126:X126,$AB$2:$AX$2)</f>
        <v>0.00121501494432287</v>
      </c>
      <c r="C149" s="17" t="n">
        <f aca="false">-B149</f>
        <v>-0.00121501494432287</v>
      </c>
    </row>
    <row r="150" customFormat="false" ht="15" hidden="false" customHeight="true" outlineLevel="0" collapsed="false">
      <c r="A150" s="23" t="n">
        <f aca="false">Daily_Returns_Raw_Data!A127</f>
        <v>42552</v>
      </c>
      <c r="B150" s="17" t="n">
        <f aca="false">SUMPRODUCT(Daily_Returns_Raw_Data!B127:X127,$AB$2:$AX$2)</f>
        <v>-0.00795641532933224</v>
      </c>
      <c r="C150" s="17" t="n">
        <f aca="false">-B150</f>
        <v>0.00795641532933224</v>
      </c>
    </row>
    <row r="151" customFormat="false" ht="15" hidden="false" customHeight="true" outlineLevel="0" collapsed="false">
      <c r="A151" s="23" t="n">
        <f aca="false">Daily_Returns_Raw_Data!A128</f>
        <v>42556</v>
      </c>
      <c r="B151" s="17" t="n">
        <f aca="false">SUMPRODUCT(Daily_Returns_Raw_Data!B128:X128,$AB$2:$AX$2)</f>
        <v>0.00559253168174399</v>
      </c>
      <c r="C151" s="17" t="n">
        <f aca="false">-B151</f>
        <v>-0.00559253168174399</v>
      </c>
    </row>
    <row r="152" customFormat="false" ht="15" hidden="false" customHeight="true" outlineLevel="0" collapsed="false">
      <c r="A152" s="23" t="n">
        <f aca="false">Daily_Returns_Raw_Data!A129</f>
        <v>42557</v>
      </c>
      <c r="B152" s="17" t="n">
        <f aca="false">SUMPRODUCT(Daily_Returns_Raw_Data!B129:X129,$AB$2:$AX$2)</f>
        <v>-0.00342418686438049</v>
      </c>
      <c r="C152" s="17" t="n">
        <f aca="false">-B152</f>
        <v>0.00342418686438049</v>
      </c>
    </row>
    <row r="153" customFormat="false" ht="15" hidden="false" customHeight="true" outlineLevel="0" collapsed="false">
      <c r="A153" s="23" t="n">
        <f aca="false">Daily_Returns_Raw_Data!A130</f>
        <v>42558</v>
      </c>
      <c r="B153" s="17" t="n">
        <f aca="false">SUMPRODUCT(Daily_Returns_Raw_Data!B130:X130,$AB$2:$AX$2)</f>
        <v>0.0164783659691577</v>
      </c>
      <c r="C153" s="17" t="n">
        <f aca="false">-B153</f>
        <v>-0.0164783659691577</v>
      </c>
    </row>
    <row r="154" customFormat="false" ht="15" hidden="false" customHeight="true" outlineLevel="0" collapsed="false">
      <c r="A154" s="23" t="n">
        <f aca="false">Daily_Returns_Raw_Data!A131</f>
        <v>42559</v>
      </c>
      <c r="B154" s="17" t="n">
        <f aca="false">SUMPRODUCT(Daily_Returns_Raw_Data!B131:X131,$AB$2:$AX$2)</f>
        <v>0.00250125690820792</v>
      </c>
      <c r="C154" s="17" t="n">
        <f aca="false">-B154</f>
        <v>-0.00250125690820792</v>
      </c>
    </row>
    <row r="155" customFormat="false" ht="15" hidden="false" customHeight="true" outlineLevel="0" collapsed="false">
      <c r="A155" s="23" t="n">
        <f aca="false">Daily_Returns_Raw_Data!A132</f>
        <v>42562</v>
      </c>
      <c r="B155" s="17" t="n">
        <f aca="false">SUMPRODUCT(Daily_Returns_Raw_Data!B132:X132,$AB$2:$AX$2)</f>
        <v>0.00940209051062114</v>
      </c>
      <c r="C155" s="17" t="n">
        <f aca="false">-B155</f>
        <v>-0.00940209051062114</v>
      </c>
    </row>
    <row r="156" customFormat="false" ht="15" hidden="false" customHeight="true" outlineLevel="0" collapsed="false">
      <c r="A156" s="23" t="n">
        <f aca="false">Daily_Returns_Raw_Data!A133</f>
        <v>42563</v>
      </c>
      <c r="B156" s="17" t="n">
        <f aca="false">SUMPRODUCT(Daily_Returns_Raw_Data!B133:X133,$AB$2:$AX$2)</f>
        <v>0.00114504798915341</v>
      </c>
      <c r="C156" s="17" t="n">
        <f aca="false">-B156</f>
        <v>-0.00114504798915341</v>
      </c>
    </row>
    <row r="157" customFormat="false" ht="15" hidden="false" customHeight="true" outlineLevel="0" collapsed="false">
      <c r="A157" s="23" t="n">
        <f aca="false">Daily_Returns_Raw_Data!A134</f>
        <v>42564</v>
      </c>
      <c r="B157" s="17" t="n">
        <f aca="false">SUMPRODUCT(Daily_Returns_Raw_Data!B134:X134,$AB$2:$AX$2)</f>
        <v>0.00824516750799343</v>
      </c>
      <c r="C157" s="17" t="n">
        <f aca="false">-B157</f>
        <v>-0.00824516750799343</v>
      </c>
    </row>
    <row r="158" customFormat="false" ht="15" hidden="false" customHeight="true" outlineLevel="0" collapsed="false">
      <c r="A158" s="23" t="n">
        <f aca="false">Daily_Returns_Raw_Data!A135</f>
        <v>42565</v>
      </c>
      <c r="B158" s="17" t="n">
        <f aca="false">SUMPRODUCT(Daily_Returns_Raw_Data!B135:X135,$AB$2:$AX$2)</f>
        <v>-0.00338307648088937</v>
      </c>
      <c r="C158" s="17" t="n">
        <f aca="false">-B158</f>
        <v>0.00338307648088937</v>
      </c>
    </row>
    <row r="159" customFormat="false" ht="15" hidden="false" customHeight="true" outlineLevel="0" collapsed="false">
      <c r="A159" s="23" t="n">
        <f aca="false">Daily_Returns_Raw_Data!A136</f>
        <v>42566</v>
      </c>
      <c r="B159" s="17" t="n">
        <f aca="false">SUMPRODUCT(Daily_Returns_Raw_Data!B136:X136,$AB$2:$AX$2)</f>
        <v>-0.000155236737560399</v>
      </c>
      <c r="C159" s="17" t="n">
        <f aca="false">-B159</f>
        <v>0.000155236737560399</v>
      </c>
    </row>
    <row r="160" customFormat="false" ht="15" hidden="false" customHeight="true" outlineLevel="0" collapsed="false">
      <c r="A160" s="23" t="n">
        <f aca="false">Daily_Returns_Raw_Data!A137</f>
        <v>42569</v>
      </c>
      <c r="B160" s="17" t="n">
        <f aca="false">SUMPRODUCT(Daily_Returns_Raw_Data!B137:X137,$AB$2:$AX$2)</f>
        <v>-0.00498134521395764</v>
      </c>
      <c r="C160" s="17" t="n">
        <f aca="false">-B160</f>
        <v>0.00498134521395764</v>
      </c>
    </row>
    <row r="161" customFormat="false" ht="15" hidden="false" customHeight="true" outlineLevel="0" collapsed="false">
      <c r="A161" s="23" t="n">
        <f aca="false">Daily_Returns_Raw_Data!A138</f>
        <v>42570</v>
      </c>
      <c r="B161" s="17" t="n">
        <f aca="false">SUMPRODUCT(Daily_Returns_Raw_Data!B138:X138,$AB$2:$AX$2)</f>
        <v>0.00856383303332657</v>
      </c>
      <c r="C161" s="17" t="n">
        <f aca="false">-B161</f>
        <v>-0.00856383303332657</v>
      </c>
    </row>
    <row r="162" customFormat="false" ht="15" hidden="false" customHeight="true" outlineLevel="0" collapsed="false">
      <c r="A162" s="23" t="n">
        <f aca="false">Daily_Returns_Raw_Data!A139</f>
        <v>42571</v>
      </c>
      <c r="B162" s="17" t="n">
        <f aca="false">SUMPRODUCT(Daily_Returns_Raw_Data!B139:X139,$AB$2:$AX$2)</f>
        <v>0.00071698929730185</v>
      </c>
      <c r="C162" s="17" t="n">
        <f aca="false">-B162</f>
        <v>-0.00071698929730185</v>
      </c>
    </row>
    <row r="163" customFormat="false" ht="15" hidden="false" customHeight="true" outlineLevel="0" collapsed="false">
      <c r="A163" s="23" t="n">
        <f aca="false">Daily_Returns_Raw_Data!A140</f>
        <v>42572</v>
      </c>
      <c r="B163" s="17" t="n">
        <f aca="false">SUMPRODUCT(Daily_Returns_Raw_Data!B140:X140,$AB$2:$AX$2)</f>
        <v>0.00500198918852159</v>
      </c>
      <c r="C163" s="17" t="n">
        <f aca="false">-B163</f>
        <v>-0.00500198918852159</v>
      </c>
    </row>
    <row r="164" customFormat="false" ht="15" hidden="false" customHeight="true" outlineLevel="0" collapsed="false">
      <c r="A164" s="23" t="n">
        <f aca="false">Daily_Returns_Raw_Data!A141</f>
        <v>42573</v>
      </c>
      <c r="B164" s="17" t="n">
        <f aca="false">SUMPRODUCT(Daily_Returns_Raw_Data!B141:X141,$AB$2:$AX$2)</f>
        <v>-0.00819369184887915</v>
      </c>
      <c r="C164" s="17" t="n">
        <f aca="false">-B164</f>
        <v>0.00819369184887915</v>
      </c>
    </row>
    <row r="165" customFormat="false" ht="15" hidden="false" customHeight="true" outlineLevel="0" collapsed="false">
      <c r="A165" s="23" t="n">
        <f aca="false">Daily_Returns_Raw_Data!A142</f>
        <v>42576</v>
      </c>
      <c r="B165" s="17" t="n">
        <f aca="false">SUMPRODUCT(Daily_Returns_Raw_Data!B142:X142,$AB$2:$AX$2)</f>
        <v>0.00768906123181518</v>
      </c>
      <c r="C165" s="17" t="n">
        <f aca="false">-B165</f>
        <v>-0.00768906123181518</v>
      </c>
    </row>
    <row r="166" customFormat="false" ht="15" hidden="false" customHeight="true" outlineLevel="0" collapsed="false">
      <c r="A166" s="23" t="n">
        <f aca="false">Daily_Returns_Raw_Data!A143</f>
        <v>42577</v>
      </c>
      <c r="B166" s="17" t="n">
        <f aca="false">SUMPRODUCT(Daily_Returns_Raw_Data!B143:X143,$AB$2:$AX$2)</f>
        <v>-0.00268768712060772</v>
      </c>
      <c r="C166" s="17" t="n">
        <f aca="false">-B166</f>
        <v>0.00268768712060772</v>
      </c>
    </row>
    <row r="167" customFormat="false" ht="15" hidden="false" customHeight="true" outlineLevel="0" collapsed="false">
      <c r="A167" s="23" t="n">
        <f aca="false">Daily_Returns_Raw_Data!A144</f>
        <v>42578</v>
      </c>
      <c r="B167" s="17" t="n">
        <f aca="false">SUMPRODUCT(Daily_Returns_Raw_Data!B144:X144,$AB$2:$AX$2)</f>
        <v>-0.00586839580229644</v>
      </c>
      <c r="C167" s="17" t="n">
        <f aca="false">-B167</f>
        <v>0.00586839580229644</v>
      </c>
    </row>
    <row r="168" customFormat="false" ht="15" hidden="false" customHeight="true" outlineLevel="0" collapsed="false">
      <c r="A168" s="23" t="n">
        <f aca="false">Daily_Returns_Raw_Data!A145</f>
        <v>42579</v>
      </c>
      <c r="B168" s="17" t="n">
        <f aca="false">SUMPRODUCT(Daily_Returns_Raw_Data!B145:X145,$AB$2:$AX$2)</f>
        <v>0.00360294857901019</v>
      </c>
      <c r="C168" s="17" t="n">
        <f aca="false">-B168</f>
        <v>-0.00360294857901019</v>
      </c>
    </row>
    <row r="169" customFormat="false" ht="15" hidden="false" customHeight="true" outlineLevel="0" collapsed="false">
      <c r="A169" s="23" t="n">
        <f aca="false">Daily_Returns_Raw_Data!A146</f>
        <v>42580</v>
      </c>
      <c r="B169" s="17" t="n">
        <f aca="false">SUMPRODUCT(Daily_Returns_Raw_Data!B146:X146,$AB$2:$AX$2)</f>
        <v>-0.0055031936461134</v>
      </c>
      <c r="C169" s="17" t="n">
        <f aca="false">-B169</f>
        <v>0.0055031936461134</v>
      </c>
    </row>
    <row r="170" customFormat="false" ht="15" hidden="false" customHeight="true" outlineLevel="0" collapsed="false">
      <c r="A170" s="23" t="n">
        <f aca="false">Daily_Returns_Raw_Data!A147</f>
        <v>42583</v>
      </c>
      <c r="B170" s="17" t="n">
        <f aca="false">SUMPRODUCT(Daily_Returns_Raw_Data!B147:X147,$AB$2:$AX$2)</f>
        <v>-0.00720156994880774</v>
      </c>
      <c r="C170" s="17" t="n">
        <f aca="false">-B170</f>
        <v>0.00720156994880774</v>
      </c>
    </row>
    <row r="171" customFormat="false" ht="15" hidden="false" customHeight="true" outlineLevel="0" collapsed="false">
      <c r="A171" s="23" t="n">
        <f aca="false">Daily_Returns_Raw_Data!A148</f>
        <v>42584</v>
      </c>
      <c r="B171" s="17" t="n">
        <f aca="false">SUMPRODUCT(Daily_Returns_Raw_Data!B148:X148,$AB$2:$AX$2)</f>
        <v>0.00849105291131871</v>
      </c>
      <c r="C171" s="17" t="n">
        <f aca="false">-B171</f>
        <v>-0.00849105291131871</v>
      </c>
    </row>
    <row r="172" customFormat="false" ht="15" hidden="false" customHeight="true" outlineLevel="0" collapsed="false">
      <c r="A172" s="23" t="n">
        <f aca="false">Daily_Returns_Raw_Data!A149</f>
        <v>42585</v>
      </c>
      <c r="B172" s="17" t="n">
        <f aca="false">SUMPRODUCT(Daily_Returns_Raw_Data!B149:X149,$AB$2:$AX$2)</f>
        <v>0.0103398703988909</v>
      </c>
      <c r="C172" s="17" t="n">
        <f aca="false">-B172</f>
        <v>-0.0103398703988909</v>
      </c>
    </row>
    <row r="173" customFormat="false" ht="15" hidden="false" customHeight="true" outlineLevel="0" collapsed="false">
      <c r="A173" s="23" t="n">
        <f aca="false">Daily_Returns_Raw_Data!A150</f>
        <v>42586</v>
      </c>
      <c r="B173" s="17" t="n">
        <f aca="false">SUMPRODUCT(Daily_Returns_Raw_Data!B150:X150,$AB$2:$AX$2)</f>
        <v>0.00506729201162632</v>
      </c>
      <c r="C173" s="17" t="n">
        <f aca="false">-B173</f>
        <v>-0.00506729201162632</v>
      </c>
    </row>
    <row r="174" customFormat="false" ht="15" hidden="false" customHeight="true" outlineLevel="0" collapsed="false">
      <c r="A174" s="23" t="n">
        <f aca="false">Daily_Returns_Raw_Data!A151</f>
        <v>42587</v>
      </c>
      <c r="B174" s="17" t="n">
        <f aca="false">SUMPRODUCT(Daily_Returns_Raw_Data!B151:X151,$AB$2:$AX$2)</f>
        <v>-0.00281018056018583</v>
      </c>
      <c r="C174" s="17" t="n">
        <f aca="false">-B174</f>
        <v>0.00281018056018583</v>
      </c>
    </row>
    <row r="175" customFormat="false" ht="15" hidden="false" customHeight="true" outlineLevel="0" collapsed="false">
      <c r="A175" s="23" t="n">
        <f aca="false">Daily_Returns_Raw_Data!A152</f>
        <v>42590</v>
      </c>
      <c r="B175" s="17" t="n">
        <f aca="false">SUMPRODUCT(Daily_Returns_Raw_Data!B152:X152,$AB$2:$AX$2)</f>
        <v>0.00481120819412664</v>
      </c>
      <c r="C175" s="17" t="n">
        <f aca="false">-B175</f>
        <v>-0.00481120819412664</v>
      </c>
    </row>
    <row r="176" customFormat="false" ht="15" hidden="false" customHeight="true" outlineLevel="0" collapsed="false">
      <c r="A176" s="23" t="n">
        <f aca="false">Daily_Returns_Raw_Data!A153</f>
        <v>42591</v>
      </c>
      <c r="B176" s="17" t="n">
        <f aca="false">SUMPRODUCT(Daily_Returns_Raw_Data!B153:X153,$AB$2:$AX$2)</f>
        <v>-0.00219867257795846</v>
      </c>
      <c r="C176" s="17" t="n">
        <f aca="false">-B176</f>
        <v>0.00219867257795846</v>
      </c>
    </row>
    <row r="177" customFormat="false" ht="15" hidden="false" customHeight="true" outlineLevel="0" collapsed="false">
      <c r="A177" s="23" t="n">
        <f aca="false">Daily_Returns_Raw_Data!A154</f>
        <v>42592</v>
      </c>
      <c r="B177" s="17" t="n">
        <f aca="false">SUMPRODUCT(Daily_Returns_Raw_Data!B154:X154,$AB$2:$AX$2)</f>
        <v>0.00611487245664879</v>
      </c>
      <c r="C177" s="17" t="n">
        <f aca="false">-B177</f>
        <v>-0.00611487245664879</v>
      </c>
    </row>
    <row r="178" customFormat="false" ht="15" hidden="false" customHeight="true" outlineLevel="0" collapsed="false">
      <c r="A178" s="23" t="n">
        <f aca="false">Daily_Returns_Raw_Data!A155</f>
        <v>42593</v>
      </c>
      <c r="B178" s="17" t="n">
        <f aca="false">SUMPRODUCT(Daily_Returns_Raw_Data!B155:X155,$AB$2:$AX$2)</f>
        <v>-0.00698579945682107</v>
      </c>
      <c r="C178" s="17" t="n">
        <f aca="false">-B178</f>
        <v>0.00698579945682107</v>
      </c>
    </row>
    <row r="179" customFormat="false" ht="15" hidden="false" customHeight="true" outlineLevel="0" collapsed="false">
      <c r="A179" s="23" t="n">
        <f aca="false">Daily_Returns_Raw_Data!A156</f>
        <v>42594</v>
      </c>
      <c r="B179" s="17" t="n">
        <f aca="false">SUMPRODUCT(Daily_Returns_Raw_Data!B156:X156,$AB$2:$AX$2)</f>
        <v>0.00951721614209634</v>
      </c>
      <c r="C179" s="17" t="n">
        <f aca="false">-B179</f>
        <v>-0.00951721614209634</v>
      </c>
    </row>
    <row r="180" customFormat="false" ht="15" hidden="false" customHeight="true" outlineLevel="0" collapsed="false">
      <c r="A180" s="23" t="n">
        <f aca="false">Daily_Returns_Raw_Data!A157</f>
        <v>42597</v>
      </c>
      <c r="B180" s="17" t="n">
        <f aca="false">SUMPRODUCT(Daily_Returns_Raw_Data!B157:X157,$AB$2:$AX$2)</f>
        <v>-0.00330068929707344</v>
      </c>
      <c r="C180" s="17" t="n">
        <f aca="false">-B180</f>
        <v>0.00330068929707344</v>
      </c>
    </row>
    <row r="181" customFormat="false" ht="15" hidden="false" customHeight="true" outlineLevel="0" collapsed="false">
      <c r="A181" s="23" t="n">
        <f aca="false">Daily_Returns_Raw_Data!A158</f>
        <v>42598</v>
      </c>
      <c r="B181" s="17" t="n">
        <f aca="false">SUMPRODUCT(Daily_Returns_Raw_Data!B158:X158,$AB$2:$AX$2)</f>
        <v>-0.00317751169805498</v>
      </c>
      <c r="C181" s="17" t="n">
        <f aca="false">-B181</f>
        <v>0.00317751169805498</v>
      </c>
    </row>
    <row r="182" customFormat="false" ht="15" hidden="false" customHeight="true" outlineLevel="0" collapsed="false">
      <c r="A182" s="23" t="n">
        <f aca="false">Daily_Returns_Raw_Data!A159</f>
        <v>42599</v>
      </c>
      <c r="B182" s="17" t="n">
        <f aca="false">SUMPRODUCT(Daily_Returns_Raw_Data!B159:X159,$AB$2:$AX$2)</f>
        <v>0.00167974671407837</v>
      </c>
      <c r="C182" s="17" t="n">
        <f aca="false">-B182</f>
        <v>-0.00167974671407837</v>
      </c>
    </row>
    <row r="183" customFormat="false" ht="15" hidden="false" customHeight="true" outlineLevel="0" collapsed="false">
      <c r="A183" s="23" t="n">
        <f aca="false">Daily_Returns_Raw_Data!A160</f>
        <v>42600</v>
      </c>
      <c r="B183" s="17" t="n">
        <f aca="false">SUMPRODUCT(Daily_Returns_Raw_Data!B160:X160,$AB$2:$AX$2)</f>
        <v>0.000174380981255313</v>
      </c>
      <c r="C183" s="17" t="n">
        <f aca="false">-B183</f>
        <v>-0.000174380981255313</v>
      </c>
    </row>
    <row r="184" customFormat="false" ht="15" hidden="false" customHeight="true" outlineLevel="0" collapsed="false">
      <c r="A184" s="23" t="n">
        <f aca="false">Daily_Returns_Raw_Data!A161</f>
        <v>42601</v>
      </c>
      <c r="B184" s="17" t="n">
        <f aca="false">SUMPRODUCT(Daily_Returns_Raw_Data!B161:X161,$AB$2:$AX$2)</f>
        <v>-0.0033592187323311</v>
      </c>
      <c r="C184" s="17" t="n">
        <f aca="false">-B184</f>
        <v>0.0033592187323311</v>
      </c>
    </row>
    <row r="185" customFormat="false" ht="15" hidden="false" customHeight="true" outlineLevel="0" collapsed="false">
      <c r="A185" s="23" t="n">
        <f aca="false">Daily_Returns_Raw_Data!A162</f>
        <v>42604</v>
      </c>
      <c r="B185" s="17" t="n">
        <f aca="false">SUMPRODUCT(Daily_Returns_Raw_Data!B162:X162,$AB$2:$AX$2)</f>
        <v>0.00356636350294436</v>
      </c>
      <c r="C185" s="17" t="n">
        <f aca="false">-B185</f>
        <v>-0.00356636350294436</v>
      </c>
    </row>
    <row r="186" customFormat="false" ht="15" hidden="false" customHeight="true" outlineLevel="0" collapsed="false">
      <c r="A186" s="23" t="n">
        <f aca="false">Daily_Returns_Raw_Data!A163</f>
        <v>42605</v>
      </c>
      <c r="B186" s="17" t="n">
        <f aca="false">SUMPRODUCT(Daily_Returns_Raw_Data!B163:X163,$AB$2:$AX$2)</f>
        <v>-0.00780631835554571</v>
      </c>
      <c r="C186" s="17" t="n">
        <f aca="false">-B186</f>
        <v>0.00780631835554571</v>
      </c>
    </row>
    <row r="187" customFormat="false" ht="15" hidden="false" customHeight="true" outlineLevel="0" collapsed="false">
      <c r="A187" s="23" t="n">
        <f aca="false">Daily_Returns_Raw_Data!A164</f>
        <v>42606</v>
      </c>
      <c r="B187" s="17" t="n">
        <f aca="false">SUMPRODUCT(Daily_Returns_Raw_Data!B164:X164,$AB$2:$AX$2)</f>
        <v>0.000848385309761523</v>
      </c>
      <c r="C187" s="17" t="n">
        <f aca="false">-B187</f>
        <v>-0.000848385309761523</v>
      </c>
    </row>
    <row r="188" customFormat="false" ht="15" hidden="false" customHeight="true" outlineLevel="0" collapsed="false">
      <c r="A188" s="23" t="n">
        <f aca="false">Daily_Returns_Raw_Data!A165</f>
        <v>42607</v>
      </c>
      <c r="B188" s="17" t="n">
        <f aca="false">SUMPRODUCT(Daily_Returns_Raw_Data!B165:X165,$AB$2:$AX$2)</f>
        <v>0.0030449850395727</v>
      </c>
      <c r="C188" s="17" t="n">
        <f aca="false">-B188</f>
        <v>-0.0030449850395727</v>
      </c>
    </row>
    <row r="189" customFormat="false" ht="15" hidden="false" customHeight="true" outlineLevel="0" collapsed="false">
      <c r="A189" s="23" t="n">
        <f aca="false">Daily_Returns_Raw_Data!A166</f>
        <v>42608</v>
      </c>
      <c r="B189" s="17" t="n">
        <f aca="false">SUMPRODUCT(Daily_Returns_Raw_Data!B166:X166,$AB$2:$AX$2)</f>
        <v>0.0165102773785098</v>
      </c>
      <c r="C189" s="17" t="n">
        <f aca="false">-B189</f>
        <v>-0.0165102773785098</v>
      </c>
    </row>
    <row r="190" customFormat="false" ht="15" hidden="false" customHeight="true" outlineLevel="0" collapsed="false">
      <c r="A190" s="23" t="n">
        <f aca="false">Daily_Returns_Raw_Data!A167</f>
        <v>42611</v>
      </c>
      <c r="B190" s="17" t="n">
        <f aca="false">SUMPRODUCT(Daily_Returns_Raw_Data!B167:X167,$AB$2:$AX$2)</f>
        <v>-0.0111968383184292</v>
      </c>
      <c r="C190" s="17" t="n">
        <f aca="false">-B190</f>
        <v>0.0111968383184292</v>
      </c>
    </row>
    <row r="191" customFormat="false" ht="15" hidden="false" customHeight="true" outlineLevel="0" collapsed="false">
      <c r="A191" s="23" t="n">
        <f aca="false">Daily_Returns_Raw_Data!A168</f>
        <v>42612</v>
      </c>
      <c r="B191" s="17" t="n">
        <f aca="false">SUMPRODUCT(Daily_Returns_Raw_Data!B168:X168,$AB$2:$AX$2)</f>
        <v>-0.0084028575046131</v>
      </c>
      <c r="C191" s="17" t="n">
        <f aca="false">-B191</f>
        <v>0.0084028575046131</v>
      </c>
    </row>
    <row r="192" customFormat="false" ht="15" hidden="false" customHeight="true" outlineLevel="0" collapsed="false">
      <c r="A192" s="23" t="n">
        <f aca="false">Daily_Returns_Raw_Data!A169</f>
        <v>42613</v>
      </c>
      <c r="B192" s="17" t="n">
        <f aca="false">SUMPRODUCT(Daily_Returns_Raw_Data!B169:X169,$AB$2:$AX$2)</f>
        <v>0.00527180315718715</v>
      </c>
      <c r="C192" s="17" t="n">
        <f aca="false">-B192</f>
        <v>-0.00527180315718715</v>
      </c>
    </row>
    <row r="193" customFormat="false" ht="15" hidden="false" customHeight="true" outlineLevel="0" collapsed="false">
      <c r="A193" s="23" t="n">
        <f aca="false">Daily_Returns_Raw_Data!A170</f>
        <v>42614</v>
      </c>
      <c r="B193" s="17" t="n">
        <f aca="false">SUMPRODUCT(Daily_Returns_Raw_Data!B170:X170,$AB$2:$AX$2)</f>
        <v>0.0122345478917948</v>
      </c>
      <c r="C193" s="17" t="n">
        <f aca="false">-B193</f>
        <v>-0.0122345478917948</v>
      </c>
    </row>
    <row r="194" customFormat="false" ht="15" hidden="false" customHeight="true" outlineLevel="0" collapsed="false">
      <c r="A194" s="23" t="n">
        <f aca="false">Daily_Returns_Raw_Data!A171</f>
        <v>42615</v>
      </c>
      <c r="B194" s="17" t="n">
        <f aca="false">SUMPRODUCT(Daily_Returns_Raw_Data!B171:X171,$AB$2:$AX$2)</f>
        <v>0.00780030268808911</v>
      </c>
      <c r="C194" s="17" t="n">
        <f aca="false">-B194</f>
        <v>-0.00780030268808911</v>
      </c>
    </row>
    <row r="195" customFormat="false" ht="15" hidden="false" customHeight="true" outlineLevel="0" collapsed="false">
      <c r="A195" s="23" t="n">
        <f aca="false">Daily_Returns_Raw_Data!A172</f>
        <v>42619</v>
      </c>
      <c r="B195" s="17" t="n">
        <f aca="false">SUMPRODUCT(Daily_Returns_Raw_Data!B172:X172,$AB$2:$AX$2)</f>
        <v>-0.000104503237555246</v>
      </c>
      <c r="C195" s="17" t="n">
        <f aca="false">-B195</f>
        <v>0.000104503237555246</v>
      </c>
    </row>
    <row r="196" customFormat="false" ht="15" hidden="false" customHeight="true" outlineLevel="0" collapsed="false">
      <c r="A196" s="23" t="n">
        <f aca="false">Daily_Returns_Raw_Data!A173</f>
        <v>42620</v>
      </c>
      <c r="B196" s="17" t="n">
        <f aca="false">SUMPRODUCT(Daily_Returns_Raw_Data!B173:X173,$AB$2:$AX$2)</f>
        <v>0.00049096959736268</v>
      </c>
      <c r="C196" s="17" t="n">
        <f aca="false">-B196</f>
        <v>-0.00049096959736268</v>
      </c>
    </row>
    <row r="197" customFormat="false" ht="15" hidden="false" customHeight="true" outlineLevel="0" collapsed="false">
      <c r="A197" s="23" t="n">
        <f aca="false">Daily_Returns_Raw_Data!A174</f>
        <v>42621</v>
      </c>
      <c r="B197" s="17" t="n">
        <f aca="false">SUMPRODUCT(Daily_Returns_Raw_Data!B174:X174,$AB$2:$AX$2)</f>
        <v>-0.0262544082530587</v>
      </c>
      <c r="C197" s="17" t="n">
        <f aca="false">-B197</f>
        <v>0.0262544082530587</v>
      </c>
    </row>
    <row r="198" customFormat="false" ht="15" hidden="false" customHeight="true" outlineLevel="0" collapsed="false">
      <c r="A198" s="23" t="n">
        <f aca="false">Daily_Returns_Raw_Data!A175</f>
        <v>42622</v>
      </c>
      <c r="B198" s="17" t="n">
        <f aca="false">SUMPRODUCT(Daily_Returns_Raw_Data!B175:X175,$AB$2:$AX$2)</f>
        <v>0.0146310293517694</v>
      </c>
      <c r="C198" s="17" t="n">
        <f aca="false">-B198</f>
        <v>-0.0146310293517694</v>
      </c>
    </row>
    <row r="199" customFormat="false" ht="15" hidden="false" customHeight="true" outlineLevel="0" collapsed="false">
      <c r="A199" s="23" t="n">
        <f aca="false">Daily_Returns_Raw_Data!A176</f>
        <v>42625</v>
      </c>
      <c r="B199" s="17" t="n">
        <f aca="false">SUMPRODUCT(Daily_Returns_Raw_Data!B176:X176,$AB$2:$AX$2)</f>
        <v>-0.0246344641874124</v>
      </c>
      <c r="C199" s="17" t="n">
        <f aca="false">-B199</f>
        <v>0.0246344641874124</v>
      </c>
    </row>
    <row r="200" customFormat="false" ht="15" hidden="false" customHeight="true" outlineLevel="0" collapsed="false">
      <c r="A200" s="23" t="n">
        <f aca="false">Daily_Returns_Raw_Data!A177</f>
        <v>42626</v>
      </c>
      <c r="B200" s="17" t="n">
        <f aca="false">SUMPRODUCT(Daily_Returns_Raw_Data!B177:X177,$AB$2:$AX$2)</f>
        <v>-0.0042299932164604</v>
      </c>
      <c r="C200" s="17" t="n">
        <f aca="false">-B200</f>
        <v>0.0042299932164604</v>
      </c>
    </row>
    <row r="201" customFormat="false" ht="15" hidden="false" customHeight="true" outlineLevel="0" collapsed="false">
      <c r="A201" s="23" t="n">
        <f aca="false">Daily_Returns_Raw_Data!A178</f>
        <v>42627</v>
      </c>
      <c r="B201" s="17" t="n">
        <f aca="false">SUMPRODUCT(Daily_Returns_Raw_Data!B178:X178,$AB$2:$AX$2)</f>
        <v>0.0111076270229102</v>
      </c>
      <c r="C201" s="17" t="n">
        <f aca="false">-B201</f>
        <v>-0.0111076270229102</v>
      </c>
    </row>
    <row r="202" customFormat="false" ht="15" hidden="false" customHeight="true" outlineLevel="0" collapsed="false">
      <c r="A202" s="23" t="n">
        <f aca="false">Daily_Returns_Raw_Data!A179</f>
        <v>42628</v>
      </c>
      <c r="B202" s="17" t="n">
        <f aca="false">SUMPRODUCT(Daily_Returns_Raw_Data!B179:X179,$AB$2:$AX$2)</f>
        <v>-0.00510149341600297</v>
      </c>
      <c r="C202" s="17" t="n">
        <f aca="false">-B202</f>
        <v>0.00510149341600297</v>
      </c>
    </row>
    <row r="203" customFormat="false" ht="15" hidden="false" customHeight="true" outlineLevel="0" collapsed="false">
      <c r="A203" s="23" t="n">
        <f aca="false">Daily_Returns_Raw_Data!A180</f>
        <v>42629</v>
      </c>
      <c r="B203" s="17" t="n">
        <f aca="false">SUMPRODUCT(Daily_Returns_Raw_Data!B180:X180,$AB$2:$AX$2)</f>
        <v>0.00403200563056283</v>
      </c>
      <c r="C203" s="17" t="n">
        <f aca="false">-B203</f>
        <v>-0.00403200563056283</v>
      </c>
    </row>
    <row r="204" customFormat="false" ht="15" hidden="false" customHeight="true" outlineLevel="0" collapsed="false">
      <c r="A204" s="23" t="n">
        <f aca="false">Daily_Returns_Raw_Data!A181</f>
        <v>42632</v>
      </c>
      <c r="B204" s="17" t="n">
        <f aca="false">SUMPRODUCT(Daily_Returns_Raw_Data!B181:X181,$AB$2:$AX$2)</f>
        <v>0.00128775329255775</v>
      </c>
      <c r="C204" s="17" t="n">
        <f aca="false">-B204</f>
        <v>-0.00128775329255775</v>
      </c>
    </row>
    <row r="205" customFormat="false" ht="15" hidden="false" customHeight="true" outlineLevel="0" collapsed="false">
      <c r="A205" s="23" t="n">
        <f aca="false">Daily_Returns_Raw_Data!A182</f>
        <v>42633</v>
      </c>
      <c r="B205" s="17" t="n">
        <f aca="false">SUMPRODUCT(Daily_Returns_Raw_Data!B182:X182,$AB$2:$AX$2)</f>
        <v>0.016801836780321</v>
      </c>
      <c r="C205" s="17" t="n">
        <f aca="false">-B205</f>
        <v>-0.016801836780321</v>
      </c>
    </row>
    <row r="206" customFormat="false" ht="15" hidden="false" customHeight="true" outlineLevel="0" collapsed="false">
      <c r="A206" s="23" t="n">
        <f aca="false">Daily_Returns_Raw_Data!A183</f>
        <v>42634</v>
      </c>
      <c r="B206" s="17" t="n">
        <f aca="false">SUMPRODUCT(Daily_Returns_Raw_Data!B183:X183,$AB$2:$AX$2)</f>
        <v>0.00287745008619448</v>
      </c>
      <c r="C206" s="17" t="n">
        <f aca="false">-B206</f>
        <v>-0.00287745008619448</v>
      </c>
    </row>
    <row r="207" customFormat="false" ht="15" hidden="false" customHeight="true" outlineLevel="0" collapsed="false">
      <c r="A207" s="23" t="n">
        <f aca="false">Daily_Returns_Raw_Data!A184</f>
        <v>42635</v>
      </c>
      <c r="B207" s="17" t="n">
        <f aca="false">SUMPRODUCT(Daily_Returns_Raw_Data!B184:X184,$AB$2:$AX$2)</f>
        <v>-0.00491407234031301</v>
      </c>
      <c r="C207" s="17" t="n">
        <f aca="false">-B207</f>
        <v>0.00491407234031301</v>
      </c>
    </row>
    <row r="208" customFormat="false" ht="15" hidden="false" customHeight="true" outlineLevel="0" collapsed="false">
      <c r="A208" s="23" t="n">
        <f aca="false">Daily_Returns_Raw_Data!A185</f>
        <v>42636</v>
      </c>
      <c r="B208" s="17" t="n">
        <f aca="false">SUMPRODUCT(Daily_Returns_Raw_Data!B185:X185,$AB$2:$AX$2)</f>
        <v>-0.0105395999684321</v>
      </c>
      <c r="C208" s="17" t="n">
        <f aca="false">-B208</f>
        <v>0.0105395999684321</v>
      </c>
    </row>
    <row r="209" customFormat="false" ht="15" hidden="false" customHeight="true" outlineLevel="0" collapsed="false">
      <c r="A209" s="23" t="n">
        <f aca="false">Daily_Returns_Raw_Data!A186</f>
        <v>42639</v>
      </c>
      <c r="B209" s="17" t="n">
        <f aca="false">SUMPRODUCT(Daily_Returns_Raw_Data!B186:X186,$AB$2:$AX$2)</f>
        <v>0.0053991194928266</v>
      </c>
      <c r="C209" s="17" t="n">
        <f aca="false">-B209</f>
        <v>-0.0053991194928266</v>
      </c>
    </row>
    <row r="210" customFormat="false" ht="15" hidden="false" customHeight="true" outlineLevel="0" collapsed="false">
      <c r="A210" s="23" t="n">
        <f aca="false">Daily_Returns_Raw_Data!A187</f>
        <v>42640</v>
      </c>
      <c r="B210" s="17" t="n">
        <f aca="false">SUMPRODUCT(Daily_Returns_Raw_Data!B187:X187,$AB$2:$AX$2)</f>
        <v>0.00826437492203742</v>
      </c>
      <c r="C210" s="17" t="n">
        <f aca="false">-B210</f>
        <v>-0.00826437492203742</v>
      </c>
    </row>
    <row r="211" customFormat="false" ht="15" hidden="false" customHeight="true" outlineLevel="0" collapsed="false">
      <c r="A211" s="23" t="n">
        <f aca="false">Daily_Returns_Raw_Data!A188</f>
        <v>42641</v>
      </c>
      <c r="B211" s="17" t="n">
        <f aca="false">SUMPRODUCT(Daily_Returns_Raw_Data!B188:X188,$AB$2:$AX$2)</f>
        <v>-0.00774294451011108</v>
      </c>
      <c r="C211" s="17" t="n">
        <f aca="false">-B211</f>
        <v>0.00774294451011108</v>
      </c>
    </row>
    <row r="212" customFormat="false" ht="15" hidden="false" customHeight="true" outlineLevel="0" collapsed="false">
      <c r="A212" s="23" t="n">
        <f aca="false">Daily_Returns_Raw_Data!A189</f>
        <v>42642</v>
      </c>
      <c r="B212" s="17" t="n">
        <f aca="false">SUMPRODUCT(Daily_Returns_Raw_Data!B189:X189,$AB$2:$AX$2)</f>
        <v>0.00684941297447608</v>
      </c>
      <c r="C212" s="17" t="n">
        <f aca="false">-B212</f>
        <v>-0.00684941297447608</v>
      </c>
    </row>
    <row r="213" customFormat="false" ht="15" hidden="false" customHeight="true" outlineLevel="0" collapsed="false">
      <c r="A213" s="23" t="n">
        <f aca="false">Daily_Returns_Raw_Data!A190</f>
        <v>42643</v>
      </c>
      <c r="B213" s="17" t="n">
        <f aca="false">SUMPRODUCT(Daily_Returns_Raw_Data!B190:X190,$AB$2:$AX$2)</f>
        <v>0.00169577461682056</v>
      </c>
      <c r="C213" s="17" t="n">
        <f aca="false">-B213</f>
        <v>-0.00169577461682056</v>
      </c>
    </row>
    <row r="214" customFormat="false" ht="15" hidden="false" customHeight="true" outlineLevel="0" collapsed="false">
      <c r="A214" s="23" t="n">
        <f aca="false">Daily_Returns_Raw_Data!A191</f>
        <v>42646</v>
      </c>
      <c r="B214" s="17" t="n">
        <f aca="false">SUMPRODUCT(Daily_Returns_Raw_Data!B191:X191,$AB$2:$AX$2)</f>
        <v>-0.00894645327668129</v>
      </c>
      <c r="C214" s="17" t="n">
        <f aca="false">-B214</f>
        <v>0.00894645327668129</v>
      </c>
    </row>
    <row r="215" customFormat="false" ht="15" hidden="false" customHeight="true" outlineLevel="0" collapsed="false">
      <c r="A215" s="23" t="n">
        <f aca="false">Daily_Returns_Raw_Data!A192</f>
        <v>42647</v>
      </c>
      <c r="B215" s="17" t="n">
        <f aca="false">SUMPRODUCT(Daily_Returns_Raw_Data!B192:X192,$AB$2:$AX$2)</f>
        <v>0.0154405522081314</v>
      </c>
      <c r="C215" s="17" t="n">
        <f aca="false">-B215</f>
        <v>-0.0154405522081314</v>
      </c>
    </row>
    <row r="216" customFormat="false" ht="15" hidden="false" customHeight="true" outlineLevel="0" collapsed="false">
      <c r="A216" s="23" t="n">
        <f aca="false">Daily_Returns_Raw_Data!A193</f>
        <v>42648</v>
      </c>
      <c r="B216" s="17" t="n">
        <f aca="false">SUMPRODUCT(Daily_Returns_Raw_Data!B193:X193,$AB$2:$AX$2)</f>
        <v>0.00398207011536711</v>
      </c>
      <c r="C216" s="17" t="n">
        <f aca="false">-B216</f>
        <v>-0.00398207011536711</v>
      </c>
    </row>
    <row r="217" customFormat="false" ht="15" hidden="false" customHeight="true" outlineLevel="0" collapsed="false">
      <c r="A217" s="23" t="n">
        <f aca="false">Daily_Returns_Raw_Data!A194</f>
        <v>42649</v>
      </c>
      <c r="B217" s="17" t="n">
        <f aca="false">SUMPRODUCT(Daily_Returns_Raw_Data!B194:X194,$AB$2:$AX$2)</f>
        <v>0.00580818259733055</v>
      </c>
      <c r="C217" s="17" t="n">
        <f aca="false">-B217</f>
        <v>-0.00580818259733055</v>
      </c>
    </row>
    <row r="218" customFormat="false" ht="15" hidden="false" customHeight="true" outlineLevel="0" collapsed="false">
      <c r="A218" s="23" t="n">
        <f aca="false">Daily_Returns_Raw_Data!A195</f>
        <v>42650</v>
      </c>
      <c r="B218" s="17" t="n">
        <f aca="false">SUMPRODUCT(Daily_Returns_Raw_Data!B195:X195,$AB$2:$AX$2)</f>
        <v>0.00293347524780477</v>
      </c>
      <c r="C218" s="17" t="n">
        <f aca="false">-B218</f>
        <v>-0.00293347524780477</v>
      </c>
    </row>
    <row r="219" customFormat="false" ht="15" hidden="false" customHeight="true" outlineLevel="0" collapsed="false">
      <c r="A219" s="23" t="n">
        <f aca="false">Daily_Returns_Raw_Data!A196</f>
        <v>42653</v>
      </c>
      <c r="B219" s="17" t="n">
        <f aca="false">SUMPRODUCT(Daily_Returns_Raw_Data!B196:X196,$AB$2:$AX$2)</f>
        <v>-0.00662957610798801</v>
      </c>
      <c r="C219" s="17" t="n">
        <f aca="false">-B219</f>
        <v>0.00662957610798801</v>
      </c>
    </row>
    <row r="220" customFormat="false" ht="15" hidden="false" customHeight="true" outlineLevel="0" collapsed="false">
      <c r="A220" s="23" t="n">
        <f aca="false">Daily_Returns_Raw_Data!A197</f>
        <v>42654</v>
      </c>
      <c r="B220" s="17" t="n">
        <f aca="false">SUMPRODUCT(Daily_Returns_Raw_Data!B197:X197,$AB$2:$AX$2)</f>
        <v>-0.00273433658034253</v>
      </c>
      <c r="C220" s="17" t="n">
        <f aca="false">-B220</f>
        <v>0.00273433658034253</v>
      </c>
    </row>
    <row r="221" customFormat="false" ht="15" hidden="false" customHeight="true" outlineLevel="0" collapsed="false">
      <c r="A221" s="23" t="n">
        <f aca="false">Daily_Returns_Raw_Data!A198</f>
        <v>42655</v>
      </c>
      <c r="B221" s="17" t="n">
        <f aca="false">SUMPRODUCT(Daily_Returns_Raw_Data!B198:X198,$AB$2:$AX$2)</f>
        <v>-0.00592932130339099</v>
      </c>
      <c r="C221" s="17" t="n">
        <f aca="false">-B221</f>
        <v>0.00592932130339099</v>
      </c>
    </row>
    <row r="222" customFormat="false" ht="15" hidden="false" customHeight="true" outlineLevel="0" collapsed="false">
      <c r="A222" s="23" t="n">
        <f aca="false">Daily_Returns_Raw_Data!A199</f>
        <v>42656</v>
      </c>
      <c r="B222" s="17" t="n">
        <f aca="false">SUMPRODUCT(Daily_Returns_Raw_Data!B199:X199,$AB$2:$AX$2)</f>
        <v>0.00208255285145499</v>
      </c>
      <c r="C222" s="17" t="n">
        <f aca="false">-B222</f>
        <v>-0.00208255285145499</v>
      </c>
    </row>
    <row r="223" customFormat="false" ht="15" hidden="false" customHeight="true" outlineLevel="0" collapsed="false">
      <c r="A223" s="23" t="n">
        <f aca="false">Daily_Returns_Raw_Data!A200</f>
        <v>42657</v>
      </c>
      <c r="B223" s="17" t="n">
        <f aca="false">SUMPRODUCT(Daily_Returns_Raw_Data!B200:X200,$AB$2:$AX$2)</f>
        <v>-0.00105968294490657</v>
      </c>
      <c r="C223" s="17" t="n">
        <f aca="false">-B223</f>
        <v>0.00105968294490657</v>
      </c>
    </row>
    <row r="224" customFormat="false" ht="15" hidden="false" customHeight="true" outlineLevel="0" collapsed="false">
      <c r="A224" s="23" t="n">
        <f aca="false">Daily_Returns_Raw_Data!A201</f>
        <v>42660</v>
      </c>
      <c r="B224" s="17" t="n">
        <f aca="false">SUMPRODUCT(Daily_Returns_Raw_Data!B201:X201,$AB$2:$AX$2)</f>
        <v>0.0101503250980661</v>
      </c>
      <c r="C224" s="17" t="n">
        <f aca="false">-B224</f>
        <v>-0.0101503250980661</v>
      </c>
    </row>
    <row r="225" customFormat="false" ht="15" hidden="false" customHeight="true" outlineLevel="0" collapsed="false">
      <c r="A225" s="23" t="n">
        <f aca="false">Daily_Returns_Raw_Data!A202</f>
        <v>42661</v>
      </c>
      <c r="B225" s="17" t="n">
        <f aca="false">SUMPRODUCT(Daily_Returns_Raw_Data!B202:X202,$AB$2:$AX$2)</f>
        <v>0.00356588602492809</v>
      </c>
      <c r="C225" s="17" t="n">
        <f aca="false">-B225</f>
        <v>-0.00356588602492809</v>
      </c>
    </row>
    <row r="226" customFormat="false" ht="15" hidden="false" customHeight="true" outlineLevel="0" collapsed="false">
      <c r="A226" s="23" t="n">
        <f aca="false">Daily_Returns_Raw_Data!A203</f>
        <v>42662</v>
      </c>
      <c r="B226" s="17" t="n">
        <f aca="false">SUMPRODUCT(Daily_Returns_Raw_Data!B203:X203,$AB$2:$AX$2)</f>
        <v>0.00306839807119367</v>
      </c>
      <c r="C226" s="17" t="n">
        <f aca="false">-B226</f>
        <v>-0.00306839807119367</v>
      </c>
    </row>
    <row r="227" customFormat="false" ht="15" hidden="false" customHeight="true" outlineLevel="0" collapsed="false">
      <c r="A227" s="23" t="n">
        <f aca="false">Daily_Returns_Raw_Data!A204</f>
        <v>42663</v>
      </c>
      <c r="B227" s="17" t="n">
        <f aca="false">SUMPRODUCT(Daily_Returns_Raw_Data!B204:X204,$AB$2:$AX$2)</f>
        <v>-0.00128132142486777</v>
      </c>
      <c r="C227" s="17" t="n">
        <f aca="false">-B227</f>
        <v>0.00128132142486777</v>
      </c>
    </row>
    <row r="228" customFormat="false" ht="15" hidden="false" customHeight="true" outlineLevel="0" collapsed="false">
      <c r="A228" s="23" t="n">
        <f aca="false">Daily_Returns_Raw_Data!A205</f>
        <v>42664</v>
      </c>
      <c r="B228" s="17" t="n">
        <f aca="false">SUMPRODUCT(Daily_Returns_Raw_Data!B205:X205,$AB$2:$AX$2)</f>
        <v>0.00466668774807068</v>
      </c>
      <c r="C228" s="17" t="n">
        <f aca="false">-B228</f>
        <v>-0.00466668774807068</v>
      </c>
    </row>
    <row r="229" customFormat="false" ht="15" hidden="false" customHeight="true" outlineLevel="0" collapsed="false">
      <c r="A229" s="23" t="n">
        <f aca="false">Daily_Returns_Raw_Data!A206</f>
        <v>42667</v>
      </c>
      <c r="B229" s="17" t="n">
        <f aca="false">SUMPRODUCT(Daily_Returns_Raw_Data!B206:X206,$AB$2:$AX$2)</f>
        <v>-0.00183256990174911</v>
      </c>
      <c r="C229" s="17" t="n">
        <f aca="false">-B229</f>
        <v>0.00183256990174911</v>
      </c>
    </row>
    <row r="230" customFormat="false" ht="15" hidden="false" customHeight="true" outlineLevel="0" collapsed="false">
      <c r="A230" s="23" t="n">
        <f aca="false">Daily_Returns_Raw_Data!A207</f>
        <v>42668</v>
      </c>
      <c r="B230" s="17" t="n">
        <f aca="false">SUMPRODUCT(Daily_Returns_Raw_Data!B207:X207,$AB$2:$AX$2)</f>
        <v>0.00253044822574061</v>
      </c>
      <c r="C230" s="17" t="n">
        <f aca="false">-B230</f>
        <v>-0.00253044822574061</v>
      </c>
    </row>
    <row r="231" customFormat="false" ht="15" hidden="false" customHeight="true" outlineLevel="0" collapsed="false">
      <c r="A231" s="23" t="n">
        <f aca="false">Daily_Returns_Raw_Data!A208</f>
        <v>42669</v>
      </c>
      <c r="B231" s="17" t="n">
        <f aca="false">SUMPRODUCT(Daily_Returns_Raw_Data!B208:X208,$AB$2:$AX$2)</f>
        <v>0.00400334112723401</v>
      </c>
      <c r="C231" s="17" t="n">
        <f aca="false">-B231</f>
        <v>-0.00400334112723401</v>
      </c>
    </row>
    <row r="232" customFormat="false" ht="15" hidden="false" customHeight="true" outlineLevel="0" collapsed="false">
      <c r="A232" s="23" t="n">
        <f aca="false">Daily_Returns_Raw_Data!A209</f>
        <v>42670</v>
      </c>
      <c r="B232" s="17" t="n">
        <f aca="false">SUMPRODUCT(Daily_Returns_Raw_Data!B209:X209,$AB$2:$AX$2)</f>
        <v>-0.00867940743461172</v>
      </c>
      <c r="C232" s="17" t="n">
        <f aca="false">-B232</f>
        <v>0.00867940743461172</v>
      </c>
    </row>
    <row r="233" customFormat="false" ht="15" hidden="false" customHeight="true" outlineLevel="0" collapsed="false">
      <c r="A233" s="23" t="n">
        <f aca="false">Daily_Returns_Raw_Data!A210</f>
        <v>42671</v>
      </c>
      <c r="B233" s="17" t="n">
        <f aca="false">SUMPRODUCT(Daily_Returns_Raw_Data!B210:X210,$AB$2:$AX$2)</f>
        <v>-0.00637568927579799</v>
      </c>
      <c r="C233" s="17" t="n">
        <f aca="false">-B233</f>
        <v>0.00637568927579799</v>
      </c>
    </row>
    <row r="234" customFormat="false" ht="15" hidden="false" customHeight="true" outlineLevel="0" collapsed="false">
      <c r="A234" s="23" t="n">
        <f aca="false">Daily_Returns_Raw_Data!A211</f>
        <v>42674</v>
      </c>
      <c r="B234" s="17" t="n">
        <f aca="false">SUMPRODUCT(Daily_Returns_Raw_Data!B211:X211,$AB$2:$AX$2)</f>
        <v>-0.0111776191436117</v>
      </c>
      <c r="C234" s="17" t="n">
        <f aca="false">-B234</f>
        <v>0.0111776191436117</v>
      </c>
    </row>
    <row r="235" customFormat="false" ht="15" hidden="false" customHeight="true" outlineLevel="0" collapsed="false">
      <c r="A235" s="23" t="n">
        <f aca="false">Daily_Returns_Raw_Data!A212</f>
        <v>42675</v>
      </c>
      <c r="B235" s="17" t="n">
        <f aca="false">SUMPRODUCT(Daily_Returns_Raw_Data!B212:X212,$AB$2:$AX$2)</f>
        <v>-0.00992942136557998</v>
      </c>
      <c r="C235" s="17" t="n">
        <f aca="false">-B235</f>
        <v>0.00992942136557998</v>
      </c>
    </row>
    <row r="236" customFormat="false" ht="15" hidden="false" customHeight="true" outlineLevel="0" collapsed="false">
      <c r="A236" s="23" t="n">
        <f aca="false">Daily_Returns_Raw_Data!A213</f>
        <v>42676</v>
      </c>
      <c r="B236" s="17" t="n">
        <f aca="false">SUMPRODUCT(Daily_Returns_Raw_Data!B213:X213,$AB$2:$AX$2)</f>
        <v>-0.0117428629374387</v>
      </c>
      <c r="C236" s="17" t="n">
        <f aca="false">-B236</f>
        <v>0.0117428629374387</v>
      </c>
    </row>
    <row r="237" customFormat="false" ht="15" hidden="false" customHeight="true" outlineLevel="0" collapsed="false">
      <c r="A237" s="23" t="n">
        <f aca="false">Daily_Returns_Raw_Data!A214</f>
        <v>42677</v>
      </c>
      <c r="B237" s="17" t="n">
        <f aca="false">SUMPRODUCT(Daily_Returns_Raw_Data!B214:X214,$AB$2:$AX$2)</f>
        <v>0.00101879901866619</v>
      </c>
      <c r="C237" s="17" t="n">
        <f aca="false">-B237</f>
        <v>-0.00101879901866619</v>
      </c>
    </row>
    <row r="238" customFormat="false" ht="15" hidden="false" customHeight="true" outlineLevel="0" collapsed="false">
      <c r="A238" s="23" t="n">
        <f aca="false">Daily_Returns_Raw_Data!A215</f>
        <v>42678</v>
      </c>
      <c r="B238" s="17" t="n">
        <f aca="false">SUMPRODUCT(Daily_Returns_Raw_Data!B215:X215,$AB$2:$AX$2)</f>
        <v>0.0260662708037011</v>
      </c>
      <c r="C238" s="17" t="n">
        <f aca="false">-B238</f>
        <v>-0.0260662708037011</v>
      </c>
    </row>
    <row r="239" customFormat="false" ht="15" hidden="false" customHeight="true" outlineLevel="0" collapsed="false">
      <c r="A239" s="23" t="n">
        <f aca="false">Daily_Returns_Raw_Data!A216</f>
        <v>42681</v>
      </c>
      <c r="B239" s="17" t="n">
        <f aca="false">SUMPRODUCT(Daily_Returns_Raw_Data!B216:X216,$AB$2:$AX$2)</f>
        <v>-0.00237742194610528</v>
      </c>
      <c r="C239" s="17" t="n">
        <f aca="false">-B239</f>
        <v>0.00237742194610528</v>
      </c>
    </row>
    <row r="240" customFormat="false" ht="15" hidden="false" customHeight="true" outlineLevel="0" collapsed="false">
      <c r="A240" s="23" t="n">
        <f aca="false">Daily_Returns_Raw_Data!A217</f>
        <v>42682</v>
      </c>
      <c r="B240" s="17" t="n">
        <f aca="false">SUMPRODUCT(Daily_Returns_Raw_Data!B217:X217,$AB$2:$AX$2)</f>
        <v>0.0173217912736767</v>
      </c>
      <c r="C240" s="17" t="n">
        <f aca="false">-B240</f>
        <v>-0.0173217912736767</v>
      </c>
    </row>
    <row r="241" customFormat="false" ht="15" hidden="false" customHeight="true" outlineLevel="0" collapsed="false">
      <c r="A241" s="23" t="n">
        <f aca="false">Daily_Returns_Raw_Data!A218</f>
        <v>42683</v>
      </c>
      <c r="B241" s="17" t="n">
        <f aca="false">SUMPRODUCT(Daily_Returns_Raw_Data!B218:X218,$AB$2:$AX$2)</f>
        <v>0.00464258046955713</v>
      </c>
      <c r="C241" s="17" t="n">
        <f aca="false">-B241</f>
        <v>-0.00464258046955713</v>
      </c>
    </row>
    <row r="242" customFormat="false" ht="15" hidden="false" customHeight="true" outlineLevel="0" collapsed="false">
      <c r="A242" s="23" t="n">
        <f aca="false">Daily_Returns_Raw_Data!A219</f>
        <v>42684</v>
      </c>
      <c r="B242" s="17" t="n">
        <f aca="false">SUMPRODUCT(Daily_Returns_Raw_Data!B219:X219,$AB$2:$AX$2)</f>
        <v>-0.00487654599745197</v>
      </c>
      <c r="C242" s="17" t="n">
        <f aca="false">-B242</f>
        <v>0.00487654599745197</v>
      </c>
    </row>
    <row r="243" customFormat="false" ht="15" hidden="false" customHeight="true" outlineLevel="0" collapsed="false">
      <c r="A243" s="23" t="n">
        <f aca="false">Daily_Returns_Raw_Data!A220</f>
        <v>42685</v>
      </c>
      <c r="B243" s="17" t="n">
        <f aca="false">SUMPRODUCT(Daily_Returns_Raw_Data!B220:X220,$AB$2:$AX$2)</f>
        <v>0.00680735218549594</v>
      </c>
      <c r="C243" s="17" t="n">
        <f aca="false">-B243</f>
        <v>-0.00680735218549594</v>
      </c>
    </row>
    <row r="244" customFormat="false" ht="15" hidden="false" customHeight="true" outlineLevel="0" collapsed="false">
      <c r="A244" s="23" t="n">
        <f aca="false">Daily_Returns_Raw_Data!A221</f>
        <v>42688</v>
      </c>
      <c r="B244" s="17" t="n">
        <f aca="false">SUMPRODUCT(Daily_Returns_Raw_Data!B221:X221,$AB$2:$AX$2)</f>
        <v>0.0187628632849168</v>
      </c>
      <c r="C244" s="17" t="n">
        <f aca="false">-B244</f>
        <v>-0.0187628632849168</v>
      </c>
    </row>
    <row r="245" customFormat="false" ht="15" hidden="false" customHeight="true" outlineLevel="0" collapsed="false">
      <c r="A245" s="23" t="n">
        <f aca="false">Daily_Returns_Raw_Data!A222</f>
        <v>42689</v>
      </c>
      <c r="B245" s="17" t="n">
        <f aca="false">SUMPRODUCT(Daily_Returns_Raw_Data!B222:X222,$AB$2:$AX$2)</f>
        <v>1.65812634903985E-005</v>
      </c>
      <c r="C245" s="17" t="n">
        <f aca="false">-B245</f>
        <v>-1.65812634903985E-005</v>
      </c>
    </row>
    <row r="246" customFormat="false" ht="15" hidden="false" customHeight="true" outlineLevel="0" collapsed="false">
      <c r="A246" s="23" t="n">
        <f aca="false">Daily_Returns_Raw_Data!A223</f>
        <v>42690</v>
      </c>
      <c r="B246" s="17" t="n">
        <f aca="false">SUMPRODUCT(Daily_Returns_Raw_Data!B223:X223,$AB$2:$AX$2)</f>
        <v>0.00161184265375703</v>
      </c>
      <c r="C246" s="17" t="n">
        <f aca="false">-B246</f>
        <v>-0.00161184265375703</v>
      </c>
    </row>
    <row r="247" customFormat="false" ht="15" hidden="false" customHeight="true" outlineLevel="0" collapsed="false">
      <c r="A247" s="23" t="n">
        <f aca="false">Daily_Returns_Raw_Data!A224</f>
        <v>42691</v>
      </c>
      <c r="B247" s="17" t="n">
        <f aca="false">SUMPRODUCT(Daily_Returns_Raw_Data!B224:X224,$AB$2:$AX$2)</f>
        <v>0.00622225466029804</v>
      </c>
      <c r="C247" s="17" t="n">
        <f aca="false">-B247</f>
        <v>-0.00622225466029804</v>
      </c>
    </row>
    <row r="248" customFormat="false" ht="15" hidden="false" customHeight="true" outlineLevel="0" collapsed="false">
      <c r="A248" s="23" t="n">
        <f aca="false">Daily_Returns_Raw_Data!A225</f>
        <v>42692</v>
      </c>
      <c r="B248" s="17" t="n">
        <f aca="false">SUMPRODUCT(Daily_Returns_Raw_Data!B225:X225,$AB$2:$AX$2)</f>
        <v>0.00431734903679074</v>
      </c>
      <c r="C248" s="17" t="n">
        <f aca="false">-B248</f>
        <v>-0.00431734903679074</v>
      </c>
    </row>
    <row r="249" customFormat="false" ht="15" hidden="false" customHeight="true" outlineLevel="0" collapsed="false">
      <c r="A249" s="23" t="n">
        <f aca="false">Daily_Returns_Raw_Data!A226</f>
        <v>42695</v>
      </c>
      <c r="B249" s="17" t="n">
        <f aca="false">SUMPRODUCT(Daily_Returns_Raw_Data!B226:X226,$AB$2:$AX$2)</f>
        <v>-0.00299612570144512</v>
      </c>
      <c r="C249" s="17" t="n">
        <f aca="false">-B249</f>
        <v>0.00299612570144512</v>
      </c>
    </row>
    <row r="250" customFormat="false" ht="15" hidden="false" customHeight="true" outlineLevel="0" collapsed="false">
      <c r="A250" s="23" t="n">
        <f aca="false">Daily_Returns_Raw_Data!A227</f>
        <v>42696</v>
      </c>
      <c r="B250" s="17" t="n">
        <f aca="false">SUMPRODUCT(Daily_Returns_Raw_Data!B227:X227,$AB$2:$AX$2)</f>
        <v>0.000284148567888958</v>
      </c>
      <c r="C250" s="17" t="n">
        <f aca="false">-B250</f>
        <v>-0.000284148567888958</v>
      </c>
    </row>
    <row r="251" customFormat="false" ht="15" hidden="false" customHeight="true" outlineLevel="0" collapsed="false">
      <c r="A251" s="23" t="n">
        <f aca="false">Daily_Returns_Raw_Data!A228</f>
        <v>42697</v>
      </c>
      <c r="B251" s="17" t="n">
        <f aca="false">SUMPRODUCT(Daily_Returns_Raw_Data!B228:X228,$AB$2:$AX$2)</f>
        <v>0.000713599305436809</v>
      </c>
      <c r="C251" s="17" t="n">
        <f aca="false">-B251</f>
        <v>-0.000713599305436809</v>
      </c>
    </row>
    <row r="252" customFormat="false" ht="15" hidden="false" customHeight="true" outlineLevel="0" collapsed="false">
      <c r="A252" s="23" t="n">
        <f aca="false">Daily_Returns_Raw_Data!A229</f>
        <v>42699</v>
      </c>
      <c r="B252" s="17" t="n">
        <f aca="false">SUMPRODUCT(Daily_Returns_Raw_Data!B229:X229,$AB$2:$AX$2)</f>
        <v>-0.000184461827606519</v>
      </c>
      <c r="C252" s="17" t="n">
        <f aca="false">-B252</f>
        <v>0.000184461827606519</v>
      </c>
    </row>
    <row r="253" customFormat="false" ht="15" hidden="false" customHeight="true" outlineLevel="0" collapsed="false">
      <c r="A253" s="23" t="n">
        <f aca="false">Daily_Returns_Raw_Data!A230</f>
        <v>42702</v>
      </c>
      <c r="B253" s="17" t="n">
        <f aca="false">SUMPRODUCT(Daily_Returns_Raw_Data!B230:X230,$AB$2:$AX$2)</f>
        <v>-0.0078998859665382</v>
      </c>
      <c r="C253" s="17" t="n">
        <f aca="false">-B253</f>
        <v>0.0078998859665382</v>
      </c>
    </row>
    <row r="254" customFormat="false" ht="15" hidden="false" customHeight="true" outlineLevel="0" collapsed="false">
      <c r="A254" s="23" t="n">
        <f aca="false">Daily_Returns_Raw_Data!A231</f>
        <v>42703</v>
      </c>
      <c r="B254" s="17" t="n">
        <f aca="false">SUMPRODUCT(Daily_Returns_Raw_Data!B231:X231,$AB$2:$AX$2)</f>
        <v>0.00348026224370757</v>
      </c>
      <c r="C254" s="17" t="n">
        <f aca="false">-B254</f>
        <v>-0.00348026224370757</v>
      </c>
    </row>
    <row r="255" customFormat="false" ht="15" hidden="false" customHeight="true" outlineLevel="0" collapsed="false">
      <c r="A255" s="23" t="n">
        <f aca="false">Daily_Returns_Raw_Data!A232</f>
        <v>42704</v>
      </c>
      <c r="B255" s="17" t="n">
        <f aca="false">SUMPRODUCT(Daily_Returns_Raw_Data!B232:X232,$AB$2:$AX$2)</f>
        <v>-0.00389987317446486</v>
      </c>
      <c r="C255" s="17" t="n">
        <f aca="false">-B255</f>
        <v>0.00389987317446486</v>
      </c>
    </row>
    <row r="256" customFormat="false" ht="15" hidden="false" customHeight="true" outlineLevel="0" collapsed="false">
      <c r="A256" s="23" t="n">
        <f aca="false">Daily_Returns_Raw_Data!A233</f>
        <v>42705</v>
      </c>
      <c r="B256" s="17" t="n">
        <f aca="false">SUMPRODUCT(Daily_Returns_Raw_Data!B233:X233,$AB$2:$AX$2)</f>
        <v>-0.00242190956575186</v>
      </c>
      <c r="C256" s="17" t="n">
        <f aca="false">-B256</f>
        <v>0.00242190956575186</v>
      </c>
    </row>
    <row r="257" customFormat="false" ht="15" hidden="false" customHeight="true" outlineLevel="0" collapsed="false">
      <c r="A257" s="23" t="n">
        <f aca="false">Daily_Returns_Raw_Data!A234</f>
        <v>42706</v>
      </c>
      <c r="B257" s="17" t="n">
        <f aca="false">SUMPRODUCT(Daily_Returns_Raw_Data!B234:X234,$AB$2:$AX$2)</f>
        <v>0.000461592999258099</v>
      </c>
      <c r="C257" s="17" t="n">
        <f aca="false">-B257</f>
        <v>-0.000461592999258099</v>
      </c>
    </row>
    <row r="258" customFormat="false" ht="15" hidden="false" customHeight="true" outlineLevel="0" collapsed="false">
      <c r="A258" s="23" t="n">
        <f aca="false">Daily_Returns_Raw_Data!A235</f>
        <v>42709</v>
      </c>
      <c r="B258" s="17" t="n">
        <f aca="false">SUMPRODUCT(Daily_Returns_Raw_Data!B235:X235,$AB$2:$AX$2)</f>
        <v>0.00430779275899977</v>
      </c>
      <c r="C258" s="17" t="n">
        <f aca="false">-B258</f>
        <v>-0.00430779275899977</v>
      </c>
    </row>
    <row r="259" customFormat="false" ht="15" hidden="false" customHeight="true" outlineLevel="0" collapsed="false">
      <c r="A259" s="23" t="n">
        <f aca="false">Daily_Returns_Raw_Data!A236</f>
        <v>42710</v>
      </c>
      <c r="B259" s="17" t="n">
        <f aca="false">SUMPRODUCT(Daily_Returns_Raw_Data!B236:X236,$AB$2:$AX$2)</f>
        <v>0.0145910215412473</v>
      </c>
      <c r="C259" s="17" t="n">
        <f aca="false">-B259</f>
        <v>-0.0145910215412473</v>
      </c>
    </row>
    <row r="260" customFormat="false" ht="15" hidden="false" customHeight="true" outlineLevel="0" collapsed="false">
      <c r="A260" s="23" t="n">
        <f aca="false">Daily_Returns_Raw_Data!A237</f>
        <v>42711</v>
      </c>
      <c r="B260" s="17" t="n">
        <f aca="false">SUMPRODUCT(Daily_Returns_Raw_Data!B237:X237,$AB$2:$AX$2)</f>
        <v>-0.00317825872358133</v>
      </c>
      <c r="C260" s="17" t="n">
        <f aca="false">-B260</f>
        <v>0.00317825872358133</v>
      </c>
    </row>
    <row r="261" customFormat="false" ht="15" hidden="false" customHeight="true" outlineLevel="0" collapsed="false">
      <c r="A261" s="23" t="n">
        <f aca="false">Daily_Returns_Raw_Data!A238</f>
        <v>42712</v>
      </c>
      <c r="B261" s="17" t="n">
        <f aca="false">SUMPRODUCT(Daily_Returns_Raw_Data!B238:X238,$AB$2:$AX$2)</f>
        <v>0.00683448901737443</v>
      </c>
      <c r="C261" s="17" t="n">
        <f aca="false">-B261</f>
        <v>-0.00683448901737443</v>
      </c>
    </row>
    <row r="262" customFormat="false" ht="15" hidden="false" customHeight="true" outlineLevel="0" collapsed="false">
      <c r="A262" s="23" t="n">
        <f aca="false">Daily_Returns_Raw_Data!A239</f>
        <v>42713</v>
      </c>
      <c r="B262" s="17" t="n">
        <f aca="false">SUMPRODUCT(Daily_Returns_Raw_Data!B239:X239,$AB$2:$AX$2)</f>
        <v>-0.00228427578087151</v>
      </c>
      <c r="C262" s="17" t="n">
        <f aca="false">-B262</f>
        <v>0.00228427578087151</v>
      </c>
    </row>
    <row r="263" customFormat="false" ht="15" hidden="false" customHeight="true" outlineLevel="0" collapsed="false">
      <c r="A263" s="23" t="n">
        <f aca="false">Daily_Returns_Raw_Data!A240</f>
        <v>42716</v>
      </c>
      <c r="B263" s="17" t="n">
        <f aca="false">SUMPRODUCT(Daily_Returns_Raw_Data!B240:X240,$AB$2:$AX$2)</f>
        <v>0.00829743132939743</v>
      </c>
      <c r="C263" s="17" t="n">
        <f aca="false">-B263</f>
        <v>-0.00829743132939743</v>
      </c>
    </row>
    <row r="264" customFormat="false" ht="15" hidden="false" customHeight="true" outlineLevel="0" collapsed="false">
      <c r="A264" s="23" t="n">
        <f aca="false">Daily_Returns_Raw_Data!A241</f>
        <v>42717</v>
      </c>
      <c r="B264" s="17" t="n">
        <f aca="false">SUMPRODUCT(Daily_Returns_Raw_Data!B241:X241,$AB$2:$AX$2)</f>
        <v>-0.0151980584827081</v>
      </c>
      <c r="C264" s="17" t="n">
        <f aca="false">-B264</f>
        <v>0.0151980584827081</v>
      </c>
    </row>
    <row r="265" customFormat="false" ht="15" hidden="false" customHeight="true" outlineLevel="0" collapsed="false">
      <c r="A265" s="23" t="n">
        <f aca="false">Daily_Returns_Raw_Data!A242</f>
        <v>42718</v>
      </c>
      <c r="B265" s="17" t="n">
        <f aca="false">SUMPRODUCT(Daily_Returns_Raw_Data!B242:X242,$AB$2:$AX$2)</f>
        <v>0.0076968358908261</v>
      </c>
      <c r="C265" s="17" t="n">
        <f aca="false">-B265</f>
        <v>-0.0076968358908261</v>
      </c>
    </row>
    <row r="266" customFormat="false" ht="15" hidden="false" customHeight="true" outlineLevel="0" collapsed="false">
      <c r="A266" s="23" t="n">
        <f aca="false">Daily_Returns_Raw_Data!A243</f>
        <v>42719</v>
      </c>
      <c r="B266" s="17" t="n">
        <f aca="false">SUMPRODUCT(Daily_Returns_Raw_Data!B243:X243,$AB$2:$AX$2)</f>
        <v>0.000527850512125395</v>
      </c>
      <c r="C266" s="17" t="n">
        <f aca="false">-B266</f>
        <v>-0.000527850512125395</v>
      </c>
    </row>
    <row r="267" customFormat="false" ht="15" hidden="false" customHeight="true" outlineLevel="0" collapsed="false">
      <c r="A267" s="23" t="n">
        <f aca="false">Daily_Returns_Raw_Data!A244</f>
        <v>42720</v>
      </c>
      <c r="B267" s="17" t="n">
        <f aca="false">SUMPRODUCT(Daily_Returns_Raw_Data!B244:X244,$AB$2:$AX$2)</f>
        <v>-0.00590885018671536</v>
      </c>
      <c r="C267" s="17" t="n">
        <f aca="false">-B267</f>
        <v>0.00590885018671536</v>
      </c>
    </row>
    <row r="268" customFormat="false" ht="15" hidden="false" customHeight="true" outlineLevel="0" collapsed="false">
      <c r="A268" s="23" t="n">
        <f aca="false">Daily_Returns_Raw_Data!A245</f>
        <v>42723</v>
      </c>
      <c r="B268" s="17" t="n">
        <f aca="false">SUMPRODUCT(Daily_Returns_Raw_Data!B245:X245,$AB$2:$AX$2)</f>
        <v>0.0039016077411301</v>
      </c>
      <c r="C268" s="17" t="n">
        <f aca="false">-B268</f>
        <v>-0.0039016077411301</v>
      </c>
    </row>
    <row r="269" customFormat="false" ht="15" hidden="false" customHeight="true" outlineLevel="0" collapsed="false">
      <c r="A269" s="23" t="n">
        <f aca="false">Daily_Returns_Raw_Data!A246</f>
        <v>42724</v>
      </c>
      <c r="B269" s="17" t="n">
        <f aca="false">SUMPRODUCT(Daily_Returns_Raw_Data!B246:X246,$AB$2:$AX$2)</f>
        <v>-0.00396569411646149</v>
      </c>
      <c r="C269" s="17" t="n">
        <f aca="false">-B269</f>
        <v>0.00396569411646149</v>
      </c>
    </row>
    <row r="270" customFormat="false" ht="15" hidden="false" customHeight="true" outlineLevel="0" collapsed="false">
      <c r="A270" s="23" t="n">
        <f aca="false">Daily_Returns_Raw_Data!A247</f>
        <v>42725</v>
      </c>
      <c r="B270" s="17" t="n">
        <f aca="false">SUMPRODUCT(Daily_Returns_Raw_Data!B247:X247,$AB$2:$AX$2)</f>
        <v>-0.000336135565700883</v>
      </c>
      <c r="C270" s="17" t="n">
        <f aca="false">-B270</f>
        <v>0.000336135565700883</v>
      </c>
    </row>
    <row r="271" customFormat="false" ht="15" hidden="false" customHeight="true" outlineLevel="0" collapsed="false">
      <c r="A271" s="23" t="n">
        <f aca="false">Daily_Returns_Raw_Data!A248</f>
        <v>42726</v>
      </c>
      <c r="B271" s="17" t="n">
        <f aca="false">SUMPRODUCT(Daily_Returns_Raw_Data!B248:X248,$AB$2:$AX$2)</f>
        <v>0.00469908181071867</v>
      </c>
      <c r="C271" s="17" t="n">
        <f aca="false">-B271</f>
        <v>-0.00469908181071867</v>
      </c>
    </row>
    <row r="272" customFormat="false" ht="15" hidden="false" customHeight="true" outlineLevel="0" collapsed="false">
      <c r="A272" s="23" t="n">
        <f aca="false">Daily_Returns_Raw_Data!A249</f>
        <v>42727</v>
      </c>
      <c r="B272" s="17" t="n">
        <f aca="false">SUMPRODUCT(Daily_Returns_Raw_Data!B249:X249,$AB$2:$AX$2)</f>
        <v>0.00469945703925593</v>
      </c>
      <c r="C272" s="17" t="n">
        <f aca="false">-B272</f>
        <v>-0.00469945703925593</v>
      </c>
    </row>
    <row r="273" customFormat="false" ht="15" hidden="false" customHeight="true" outlineLevel="0" collapsed="false">
      <c r="A273" s="23" t="n">
        <f aca="false">Daily_Returns_Raw_Data!A250</f>
        <v>42731</v>
      </c>
      <c r="B273" s="17" t="n">
        <f aca="false">SUMPRODUCT(Daily_Returns_Raw_Data!B250:X250,$AB$2:$AX$2)</f>
        <v>-0.00428917447823002</v>
      </c>
      <c r="C273" s="17" t="n">
        <f aca="false">-B273</f>
        <v>0.00428917447823002</v>
      </c>
    </row>
    <row r="274" customFormat="false" ht="15" hidden="false" customHeight="true" outlineLevel="0" collapsed="false">
      <c r="A274" s="23" t="n">
        <f aca="false">Daily_Returns_Raw_Data!A251</f>
        <v>42732</v>
      </c>
      <c r="B274" s="17" t="n">
        <f aca="false">SUMPRODUCT(Daily_Returns_Raw_Data!B251:X251,$AB$2:$AX$2)</f>
        <v>0.000896642839345281</v>
      </c>
      <c r="C274" s="17" t="n">
        <f aca="false">-B274</f>
        <v>-0.000896642839345281</v>
      </c>
    </row>
    <row r="275" customFormat="false" ht="15" hidden="false" customHeight="true" outlineLevel="0" collapsed="false">
      <c r="A275" s="23" t="n">
        <f aca="false">Daily_Returns_Raw_Data!A252</f>
        <v>42733</v>
      </c>
      <c r="B275" s="17" t="n">
        <f aca="false">SUMPRODUCT(Daily_Returns_Raw_Data!B252:X252,$AB$2:$AX$2)</f>
        <v>-0.00537637646982339</v>
      </c>
      <c r="C275" s="17" t="n">
        <f aca="false">-B275</f>
        <v>0.00537637646982339</v>
      </c>
    </row>
    <row r="276" customFormat="false" ht="15" hidden="false" customHeight="true" outlineLevel="0" collapsed="false">
      <c r="A276" s="23" t="n">
        <f aca="false">Daily_Returns_Raw_Data!A253</f>
        <v>42734</v>
      </c>
      <c r="B276" s="17" t="n">
        <f aca="false">SUMPRODUCT(Daily_Returns_Raw_Data!B253:X253,$AB$2:$AX$2)</f>
        <v>0.0191160545861366</v>
      </c>
      <c r="C276" s="17" t="n">
        <f aca="false">-B276</f>
        <v>-0.0191160545861366</v>
      </c>
    </row>
    <row r="277" customFormat="false" ht="15" hidden="false" customHeight="true" outlineLevel="0" collapsed="false">
      <c r="A277" s="23" t="n">
        <f aca="false">Daily_Returns_Raw_Data!A254</f>
        <v>42738</v>
      </c>
      <c r="B277" s="17" t="n">
        <f aca="false">SUMPRODUCT(Daily_Returns_Raw_Data!B254:X254,$AB$2:$AX$2)</f>
        <v>0.0101260790326848</v>
      </c>
      <c r="C277" s="17" t="n">
        <f aca="false">-B277</f>
        <v>-0.0101260790326848</v>
      </c>
    </row>
    <row r="278" customFormat="false" ht="15" hidden="false" customHeight="true" outlineLevel="0" collapsed="false">
      <c r="A278" s="23" t="n">
        <f aca="false">Daily_Returns_Raw_Data!A255</f>
        <v>42739</v>
      </c>
      <c r="B278" s="17" t="n">
        <f aca="false">SUMPRODUCT(Daily_Returns_Raw_Data!B255:X255,$AB$2:$AX$2)</f>
        <v>0.00475643349725318</v>
      </c>
      <c r="C278" s="17" t="n">
        <f aca="false">-B278</f>
        <v>-0.00475643349725318</v>
      </c>
    </row>
    <row r="279" customFormat="false" ht="15" hidden="false" customHeight="true" outlineLevel="0" collapsed="false">
      <c r="A279" s="23" t="n">
        <f aca="false">Daily_Returns_Raw_Data!A256</f>
        <v>42740</v>
      </c>
      <c r="B279" s="17" t="n">
        <f aca="false">SUMPRODUCT(Daily_Returns_Raw_Data!B256:X256,$AB$2:$AX$2)</f>
        <v>-0.00414770835017383</v>
      </c>
      <c r="C279" s="17" t="n">
        <f aca="false">-B279</f>
        <v>0.00414770835017383</v>
      </c>
    </row>
    <row r="280" customFormat="false" ht="15" hidden="false" customHeight="true" outlineLevel="0" collapsed="false">
      <c r="A280" s="23" t="n">
        <f aca="false">Daily_Returns_Raw_Data!A257</f>
        <v>42741</v>
      </c>
      <c r="B280" s="17" t="n">
        <f aca="false">SUMPRODUCT(Daily_Returns_Raw_Data!B257:X257,$AB$2:$AX$2)</f>
        <v>0.000505975457125362</v>
      </c>
      <c r="C280" s="17" t="n">
        <f aca="false">-B280</f>
        <v>-0.000505975457125362</v>
      </c>
    </row>
    <row r="281" customFormat="false" ht="15" hidden="false" customHeight="true" outlineLevel="0" collapsed="false">
      <c r="A281" s="23" t="n">
        <f aca="false">Daily_Returns_Raw_Data!A258</f>
        <v>42744</v>
      </c>
      <c r="B281" s="17" t="n">
        <f aca="false">SUMPRODUCT(Daily_Returns_Raw_Data!B258:X258,$AB$2:$AX$2)</f>
        <v>0.00579968584297691</v>
      </c>
      <c r="C281" s="17" t="n">
        <f aca="false">-B281</f>
        <v>-0.00579968584297691</v>
      </c>
    </row>
    <row r="282" customFormat="false" ht="15" hidden="false" customHeight="true" outlineLevel="0" collapsed="false">
      <c r="A282" s="23" t="n">
        <f aca="false">Daily_Returns_Raw_Data!A259</f>
        <v>42745</v>
      </c>
      <c r="B282" s="17" t="n">
        <f aca="false">SUMPRODUCT(Daily_Returns_Raw_Data!B259:X259,$AB$2:$AX$2)</f>
        <v>-0.00026622611852456</v>
      </c>
      <c r="C282" s="17" t="n">
        <f aca="false">-B282</f>
        <v>0.00026622611852456</v>
      </c>
    </row>
    <row r="283" customFormat="false" ht="15" hidden="false" customHeight="true" outlineLevel="0" collapsed="false">
      <c r="A283" s="23" t="n">
        <f aca="false">Daily_Returns_Raw_Data!A260</f>
        <v>42746</v>
      </c>
      <c r="B283" s="17" t="n">
        <f aca="false">SUMPRODUCT(Daily_Returns_Raw_Data!B260:X260,$AB$2:$AX$2)</f>
        <v>0.00120073446698394</v>
      </c>
      <c r="C283" s="17" t="n">
        <f aca="false">-B283</f>
        <v>-0.00120073446698394</v>
      </c>
    </row>
    <row r="284" customFormat="false" ht="15" hidden="false" customHeight="true" outlineLevel="0" collapsed="false">
      <c r="A284" s="23" t="n">
        <f aca="false">Daily_Returns_Raw_Data!A261</f>
        <v>42747</v>
      </c>
      <c r="B284" s="17" t="n">
        <f aca="false">SUMPRODUCT(Daily_Returns_Raw_Data!B261:X261,$AB$2:$AX$2)</f>
        <v>0.00264358899036458</v>
      </c>
      <c r="C284" s="17" t="n">
        <f aca="false">-B284</f>
        <v>-0.00264358899036458</v>
      </c>
    </row>
    <row r="285" customFormat="false" ht="15" hidden="false" customHeight="true" outlineLevel="0" collapsed="false">
      <c r="A285" s="23" t="n">
        <f aca="false">Daily_Returns_Raw_Data!A262</f>
        <v>42748</v>
      </c>
      <c r="B285" s="17" t="n">
        <f aca="false">SUMPRODUCT(Daily_Returns_Raw_Data!B262:X262,$AB$2:$AX$2)</f>
        <v>0.00154037712362686</v>
      </c>
      <c r="C285" s="17" t="n">
        <f aca="false">-B285</f>
        <v>-0.00154037712362686</v>
      </c>
    </row>
    <row r="286" customFormat="false" ht="15" hidden="false" customHeight="true" outlineLevel="0" collapsed="false">
      <c r="A286" s="23" t="n">
        <f aca="false">Daily_Returns_Raw_Data!A263</f>
        <v>42752</v>
      </c>
      <c r="B286" s="17" t="n">
        <f aca="false">SUMPRODUCT(Daily_Returns_Raw_Data!B263:X263,$AB$2:$AX$2)</f>
        <v>0.000905281134107147</v>
      </c>
      <c r="C286" s="17" t="n">
        <f aca="false">-B286</f>
        <v>-0.000905281134107147</v>
      </c>
    </row>
    <row r="287" customFormat="false" ht="15" hidden="false" customHeight="true" outlineLevel="0" collapsed="false">
      <c r="A287" s="23" t="n">
        <f aca="false">Daily_Returns_Raw_Data!A264</f>
        <v>42753</v>
      </c>
      <c r="B287" s="17" t="n">
        <f aca="false">SUMPRODUCT(Daily_Returns_Raw_Data!B264:X264,$AB$2:$AX$2)</f>
        <v>-0.00343954042573193</v>
      </c>
      <c r="C287" s="17" t="n">
        <f aca="false">-B287</f>
        <v>0.00343954042573193</v>
      </c>
    </row>
    <row r="288" customFormat="false" ht="15" hidden="false" customHeight="true" outlineLevel="0" collapsed="false">
      <c r="A288" s="23" t="n">
        <f aca="false">Daily_Returns_Raw_Data!A265</f>
        <v>42754</v>
      </c>
      <c r="B288" s="17" t="n">
        <f aca="false">SUMPRODUCT(Daily_Returns_Raw_Data!B265:X265,$AB$2:$AX$2)</f>
        <v>-0.000714290413877704</v>
      </c>
      <c r="C288" s="17" t="n">
        <f aca="false">-B288</f>
        <v>0.000714290413877704</v>
      </c>
    </row>
    <row r="289" customFormat="false" ht="15" hidden="false" customHeight="true" outlineLevel="0" collapsed="false">
      <c r="A289" s="23" t="n">
        <f aca="false">Daily_Returns_Raw_Data!A266</f>
        <v>42755</v>
      </c>
      <c r="B289" s="17" t="n">
        <f aca="false">SUMPRODUCT(Daily_Returns_Raw_Data!B266:X266,$AB$2:$AX$2)</f>
        <v>0.00454020561709457</v>
      </c>
      <c r="C289" s="17" t="n">
        <f aca="false">-B289</f>
        <v>-0.00454020561709457</v>
      </c>
    </row>
    <row r="290" customFormat="false" ht="15" hidden="false" customHeight="true" outlineLevel="0" collapsed="false">
      <c r="A290" s="23" t="n">
        <f aca="false">Daily_Returns_Raw_Data!A267</f>
        <v>42758</v>
      </c>
      <c r="B290" s="17" t="n">
        <f aca="false">SUMPRODUCT(Daily_Returns_Raw_Data!B267:X267,$AB$2:$AX$2)</f>
        <v>0.00536040784289176</v>
      </c>
      <c r="C290" s="17" t="n">
        <f aca="false">-B290</f>
        <v>-0.00536040784289176</v>
      </c>
    </row>
    <row r="291" customFormat="false" ht="15" hidden="false" customHeight="true" outlineLevel="0" collapsed="false">
      <c r="A291" s="23" t="n">
        <f aca="false">Daily_Returns_Raw_Data!A268</f>
        <v>42759</v>
      </c>
      <c r="B291" s="17" t="n">
        <f aca="false">SUMPRODUCT(Daily_Returns_Raw_Data!B268:X268,$AB$2:$AX$2)</f>
        <v>0.0084250488728363</v>
      </c>
      <c r="C291" s="17" t="n">
        <f aca="false">-B291</f>
        <v>-0.0084250488728363</v>
      </c>
    </row>
    <row r="292" customFormat="false" ht="15" hidden="false" customHeight="true" outlineLevel="0" collapsed="false">
      <c r="A292" s="23" t="n">
        <f aca="false">Daily_Returns_Raw_Data!A269</f>
        <v>42760</v>
      </c>
      <c r="B292" s="17" t="n">
        <f aca="false">SUMPRODUCT(Daily_Returns_Raw_Data!B269:X269,$AB$2:$AX$2)</f>
        <v>-0.0060009825850097</v>
      </c>
      <c r="C292" s="17" t="n">
        <f aca="false">-B292</f>
        <v>0.0060009825850097</v>
      </c>
    </row>
    <row r="293" customFormat="false" ht="15" hidden="false" customHeight="true" outlineLevel="0" collapsed="false">
      <c r="A293" s="23" t="n">
        <f aca="false">Daily_Returns_Raw_Data!A270</f>
        <v>42761</v>
      </c>
      <c r="B293" s="17" t="n">
        <f aca="false">SUMPRODUCT(Daily_Returns_Raw_Data!B270:X270,$AB$2:$AX$2)</f>
        <v>-0.0021638634657391</v>
      </c>
      <c r="C293" s="17" t="n">
        <f aca="false">-B293</f>
        <v>0.0021638634657391</v>
      </c>
    </row>
    <row r="294" customFormat="false" ht="15" hidden="false" customHeight="true" outlineLevel="0" collapsed="false">
      <c r="A294" s="23" t="n">
        <f aca="false">Daily_Returns_Raw_Data!A271</f>
        <v>42762</v>
      </c>
      <c r="B294" s="17" t="n">
        <f aca="false">SUMPRODUCT(Daily_Returns_Raw_Data!B271:X271,$AB$2:$AX$2)</f>
        <v>-0.00750624980606421</v>
      </c>
      <c r="C294" s="17" t="n">
        <f aca="false">-B294</f>
        <v>0.00750624980606421</v>
      </c>
    </row>
    <row r="295" customFormat="false" ht="15" hidden="false" customHeight="true" outlineLevel="0" collapsed="false">
      <c r="A295" s="23" t="n">
        <f aca="false">Daily_Returns_Raw_Data!A272</f>
        <v>42765</v>
      </c>
      <c r="B295" s="17" t="n">
        <f aca="false">SUMPRODUCT(Daily_Returns_Raw_Data!B272:X272,$AB$2:$AX$2)</f>
        <v>0.00172891378700505</v>
      </c>
      <c r="C295" s="17" t="n">
        <f aca="false">-B295</f>
        <v>-0.00172891378700505</v>
      </c>
    </row>
    <row r="296" customFormat="false" ht="15" hidden="false" customHeight="true" outlineLevel="0" collapsed="false">
      <c r="A296" s="23" t="n">
        <f aca="false">Daily_Returns_Raw_Data!A273</f>
        <v>42766</v>
      </c>
      <c r="B296" s="17" t="n">
        <f aca="false">SUMPRODUCT(Daily_Returns_Raw_Data!B273:X273,$AB$2:$AX$2)</f>
        <v>0.0022480862110652</v>
      </c>
      <c r="C296" s="17" t="n">
        <f aca="false">-B296</f>
        <v>-0.0022480862110652</v>
      </c>
    </row>
    <row r="297" customFormat="false" ht="15" hidden="false" customHeight="true" outlineLevel="0" collapsed="false">
      <c r="A297" s="23" t="n">
        <f aca="false">Daily_Returns_Raw_Data!A274</f>
        <v>42767</v>
      </c>
      <c r="B297" s="17" t="n">
        <f aca="false">SUMPRODUCT(Daily_Returns_Raw_Data!B274:X274,$AB$2:$AX$2)</f>
        <v>-0.000662863121756563</v>
      </c>
      <c r="C297" s="17" t="n">
        <f aca="false">-B297</f>
        <v>0.000662863121756563</v>
      </c>
    </row>
    <row r="298" customFormat="false" ht="15" hidden="false" customHeight="true" outlineLevel="0" collapsed="false">
      <c r="A298" s="23" t="n">
        <f aca="false">Daily_Returns_Raw_Data!A275</f>
        <v>42768</v>
      </c>
      <c r="B298" s="17" t="n">
        <f aca="false">SUMPRODUCT(Daily_Returns_Raw_Data!B275:X275,$AB$2:$AX$2)</f>
        <v>0.00432253294531623</v>
      </c>
      <c r="C298" s="17" t="n">
        <f aca="false">-B298</f>
        <v>-0.00432253294531623</v>
      </c>
    </row>
    <row r="299" customFormat="false" ht="15" hidden="false" customHeight="true" outlineLevel="0" collapsed="false">
      <c r="A299" s="23" t="n">
        <f aca="false">Daily_Returns_Raw_Data!A276</f>
        <v>42769</v>
      </c>
      <c r="B299" s="17" t="n">
        <f aca="false">SUMPRODUCT(Daily_Returns_Raw_Data!B276:X276,$AB$2:$AX$2)</f>
        <v>-0.00199147427317108</v>
      </c>
      <c r="C299" s="17" t="n">
        <f aca="false">-B299</f>
        <v>0.00199147427317108</v>
      </c>
    </row>
    <row r="300" customFormat="false" ht="15" hidden="false" customHeight="true" outlineLevel="0" collapsed="false">
      <c r="A300" s="23" t="n">
        <f aca="false">Daily_Returns_Raw_Data!A277</f>
        <v>42772</v>
      </c>
      <c r="B300" s="17" t="n">
        <f aca="false">SUMPRODUCT(Daily_Returns_Raw_Data!B277:X277,$AB$2:$AX$2)</f>
        <v>-0.00112097409690387</v>
      </c>
      <c r="C300" s="17" t="n">
        <f aca="false">-B300</f>
        <v>0.00112097409690387</v>
      </c>
    </row>
    <row r="301" customFormat="false" ht="15" hidden="false" customHeight="true" outlineLevel="0" collapsed="false">
      <c r="A301" s="23" t="n">
        <f aca="false">Daily_Returns_Raw_Data!A278</f>
        <v>42773</v>
      </c>
      <c r="B301" s="17" t="n">
        <f aca="false">SUMPRODUCT(Daily_Returns_Raw_Data!B278:X278,$AB$2:$AX$2)</f>
        <v>0.00174780886253743</v>
      </c>
      <c r="C301" s="17" t="n">
        <f aca="false">-B301</f>
        <v>-0.00174780886253743</v>
      </c>
    </row>
    <row r="302" customFormat="false" ht="15" hidden="false" customHeight="true" outlineLevel="0" collapsed="false">
      <c r="A302" s="23" t="n">
        <f aca="false">Daily_Returns_Raw_Data!A279</f>
        <v>42774</v>
      </c>
      <c r="B302" s="17" t="n">
        <f aca="false">SUMPRODUCT(Daily_Returns_Raw_Data!B279:X279,$AB$2:$AX$2)</f>
        <v>0.00752627710716059</v>
      </c>
      <c r="C302" s="17" t="n">
        <f aca="false">-B302</f>
        <v>-0.00752627710716059</v>
      </c>
    </row>
    <row r="303" customFormat="false" ht="15" hidden="false" customHeight="true" outlineLevel="0" collapsed="false">
      <c r="A303" s="23" t="n">
        <f aca="false">Daily_Returns_Raw_Data!A280</f>
        <v>42775</v>
      </c>
      <c r="B303" s="17" t="n">
        <f aca="false">SUMPRODUCT(Daily_Returns_Raw_Data!B280:X280,$AB$2:$AX$2)</f>
        <v>0.00671802322110644</v>
      </c>
      <c r="C303" s="17" t="n">
        <f aca="false">-B303</f>
        <v>-0.00671802322110644</v>
      </c>
    </row>
    <row r="304" customFormat="false" ht="15" hidden="false" customHeight="true" outlineLevel="0" collapsed="false">
      <c r="A304" s="23" t="n">
        <f aca="false">Daily_Returns_Raw_Data!A281</f>
        <v>42776</v>
      </c>
      <c r="B304" s="17" t="n">
        <f aca="false">SUMPRODUCT(Daily_Returns_Raw_Data!B281:X281,$AB$2:$AX$2)</f>
        <v>0.00604855540656833</v>
      </c>
      <c r="C304" s="17" t="n">
        <f aca="false">-B304</f>
        <v>-0.00604855540656833</v>
      </c>
    </row>
    <row r="305" customFormat="false" ht="15" hidden="false" customHeight="true" outlineLevel="0" collapsed="false">
      <c r="A305" s="23" t="n">
        <f aca="false">Daily_Returns_Raw_Data!A282</f>
        <v>42779</v>
      </c>
      <c r="B305" s="17" t="n">
        <f aca="false">SUMPRODUCT(Daily_Returns_Raw_Data!B282:X282,$AB$2:$AX$2)</f>
        <v>0.00622855466581921</v>
      </c>
      <c r="C305" s="17" t="n">
        <f aca="false">-B305</f>
        <v>-0.00622855466581921</v>
      </c>
    </row>
    <row r="306" customFormat="false" ht="15" hidden="false" customHeight="true" outlineLevel="0" collapsed="false">
      <c r="A306" s="23" t="n">
        <f aca="false">Daily_Returns_Raw_Data!A283</f>
        <v>42780</v>
      </c>
      <c r="B306" s="17" t="n">
        <f aca="false">SUMPRODUCT(Daily_Returns_Raw_Data!B283:X283,$AB$2:$AX$2)</f>
        <v>0.0121930590998111</v>
      </c>
      <c r="C306" s="17" t="n">
        <f aca="false">-B306</f>
        <v>-0.0121930590998111</v>
      </c>
    </row>
    <row r="307" customFormat="false" ht="15" hidden="false" customHeight="true" outlineLevel="0" collapsed="false">
      <c r="A307" s="23" t="n">
        <f aca="false">Daily_Returns_Raw_Data!A284</f>
        <v>42781</v>
      </c>
      <c r="B307" s="17" t="n">
        <f aca="false">SUMPRODUCT(Daily_Returns_Raw_Data!B284:X284,$AB$2:$AX$2)</f>
        <v>0.000391567588056442</v>
      </c>
      <c r="C307" s="17" t="n">
        <f aca="false">-B307</f>
        <v>-0.000391567588056442</v>
      </c>
    </row>
    <row r="308" customFormat="false" ht="15" hidden="false" customHeight="true" outlineLevel="0" collapsed="false">
      <c r="A308" s="23" t="n">
        <f aca="false">Daily_Returns_Raw_Data!A285</f>
        <v>42782</v>
      </c>
      <c r="B308" s="17" t="n">
        <f aca="false">SUMPRODUCT(Daily_Returns_Raw_Data!B285:X285,$AB$2:$AX$2)</f>
        <v>0.000253240663204457</v>
      </c>
      <c r="C308" s="17" t="n">
        <f aca="false">-B308</f>
        <v>-0.000253240663204457</v>
      </c>
    </row>
    <row r="309" customFormat="false" ht="15" hidden="false" customHeight="true" outlineLevel="0" collapsed="false">
      <c r="A309" s="23" t="n">
        <f aca="false">Daily_Returns_Raw_Data!A286</f>
        <v>42783</v>
      </c>
      <c r="B309" s="17" t="n">
        <f aca="false">SUMPRODUCT(Daily_Returns_Raw_Data!B286:X286,$AB$2:$AX$2)</f>
        <v>0.00901089479269148</v>
      </c>
      <c r="C309" s="17" t="n">
        <f aca="false">-B309</f>
        <v>-0.00901089479269148</v>
      </c>
    </row>
    <row r="310" customFormat="false" ht="15" hidden="false" customHeight="true" outlineLevel="0" collapsed="false">
      <c r="A310" s="23" t="n">
        <f aca="false">Daily_Returns_Raw_Data!A287</f>
        <v>42787</v>
      </c>
      <c r="B310" s="17" t="n">
        <f aca="false">SUMPRODUCT(Daily_Returns_Raw_Data!B287:X287,$AB$2:$AX$2)</f>
        <v>-0.00171354619060342</v>
      </c>
      <c r="C310" s="17" t="n">
        <f aca="false">-B310</f>
        <v>0.00171354619060342</v>
      </c>
    </row>
    <row r="311" customFormat="false" ht="15" hidden="false" customHeight="true" outlineLevel="0" collapsed="false">
      <c r="A311" s="23" t="n">
        <f aca="false">Daily_Returns_Raw_Data!A288</f>
        <v>42788</v>
      </c>
      <c r="B311" s="17" t="n">
        <f aca="false">SUMPRODUCT(Daily_Returns_Raw_Data!B288:X288,$AB$2:$AX$2)</f>
        <v>-0.00468527803190104</v>
      </c>
      <c r="C311" s="17" t="n">
        <f aca="false">-B311</f>
        <v>0.00468527803190104</v>
      </c>
    </row>
    <row r="312" customFormat="false" ht="15" hidden="false" customHeight="true" outlineLevel="0" collapsed="false">
      <c r="A312" s="23" t="n">
        <f aca="false">Daily_Returns_Raw_Data!A289</f>
        <v>42789</v>
      </c>
      <c r="B312" s="17" t="n">
        <f aca="false">SUMPRODUCT(Daily_Returns_Raw_Data!B289:X289,$AB$2:$AX$2)</f>
        <v>-0.0046128194908141</v>
      </c>
      <c r="C312" s="17" t="n">
        <f aca="false">-B312</f>
        <v>0.0046128194908141</v>
      </c>
    </row>
    <row r="313" customFormat="false" ht="15" hidden="false" customHeight="true" outlineLevel="0" collapsed="false">
      <c r="A313" s="23" t="n">
        <f aca="false">Daily_Returns_Raw_Data!A290</f>
        <v>42790</v>
      </c>
      <c r="B313" s="17" t="n">
        <f aca="false">SUMPRODUCT(Daily_Returns_Raw_Data!B290:X290,$AB$2:$AX$2)</f>
        <v>-0.000693115865551345</v>
      </c>
      <c r="C313" s="17" t="n">
        <f aca="false">-B313</f>
        <v>0.000693115865551345</v>
      </c>
    </row>
    <row r="314" customFormat="false" ht="15" hidden="false" customHeight="true" outlineLevel="0" collapsed="false">
      <c r="A314" s="23" t="n">
        <f aca="false">Daily_Returns_Raw_Data!A291</f>
        <v>42793</v>
      </c>
      <c r="B314" s="17" t="n">
        <f aca="false">SUMPRODUCT(Daily_Returns_Raw_Data!B291:X291,$AB$2:$AX$2)</f>
        <v>-0.008692815263625</v>
      </c>
      <c r="C314" s="17" t="n">
        <f aca="false">-B314</f>
        <v>0.008692815263625</v>
      </c>
    </row>
    <row r="315" customFormat="false" ht="15" hidden="false" customHeight="true" outlineLevel="0" collapsed="false">
      <c r="A315" s="23" t="n">
        <f aca="false">Daily_Returns_Raw_Data!A292</f>
        <v>42794</v>
      </c>
      <c r="B315" s="17" t="n">
        <f aca="false">SUMPRODUCT(Daily_Returns_Raw_Data!B292:X292,$AB$2:$AX$2)</f>
        <v>0.0133269224706036</v>
      </c>
      <c r="C315" s="17" t="n">
        <f aca="false">-B315</f>
        <v>-0.0133269224706036</v>
      </c>
    </row>
    <row r="316" customFormat="false" ht="15" hidden="false" customHeight="true" outlineLevel="0" collapsed="false">
      <c r="A316" s="23" t="n">
        <f aca="false">Daily_Returns_Raw_Data!A293</f>
        <v>42795</v>
      </c>
      <c r="B316" s="17" t="n">
        <f aca="false">SUMPRODUCT(Daily_Returns_Raw_Data!B293:X293,$AB$2:$AX$2)</f>
        <v>-0.016819579166304</v>
      </c>
      <c r="C316" s="17" t="n">
        <f aca="false">-B316</f>
        <v>0.016819579166304</v>
      </c>
    </row>
    <row r="317" customFormat="false" ht="15" hidden="false" customHeight="true" outlineLevel="0" collapsed="false">
      <c r="A317" s="23" t="n">
        <f aca="false">Daily_Returns_Raw_Data!A294</f>
        <v>42796</v>
      </c>
      <c r="B317" s="17" t="n">
        <f aca="false">SUMPRODUCT(Daily_Returns_Raw_Data!B294:X294,$AB$2:$AX$2)</f>
        <v>0.00401994490201994</v>
      </c>
      <c r="C317" s="17" t="n">
        <f aca="false">-B317</f>
        <v>-0.00401994490201994</v>
      </c>
    </row>
    <row r="318" customFormat="false" ht="15" hidden="false" customHeight="true" outlineLevel="0" collapsed="false">
      <c r="A318" s="23" t="n">
        <f aca="false">Daily_Returns_Raw_Data!A295</f>
        <v>42797</v>
      </c>
      <c r="B318" s="17" t="n">
        <f aca="false">SUMPRODUCT(Daily_Returns_Raw_Data!B295:X295,$AB$2:$AX$2)</f>
        <v>-0.00610037328455397</v>
      </c>
      <c r="C318" s="17" t="n">
        <f aca="false">-B318</f>
        <v>0.00610037328455397</v>
      </c>
    </row>
    <row r="319" customFormat="false" ht="15" hidden="false" customHeight="true" outlineLevel="0" collapsed="false">
      <c r="A319" s="23" t="n">
        <f aca="false">Daily_Returns_Raw_Data!A296</f>
        <v>42800</v>
      </c>
      <c r="B319" s="17" t="n">
        <f aca="false">SUMPRODUCT(Daily_Returns_Raw_Data!B296:X296,$AB$2:$AX$2)</f>
        <v>-0.010024500287837</v>
      </c>
      <c r="C319" s="17" t="n">
        <f aca="false">-B319</f>
        <v>0.010024500287837</v>
      </c>
    </row>
    <row r="320" customFormat="false" ht="15" hidden="false" customHeight="true" outlineLevel="0" collapsed="false">
      <c r="A320" s="23" t="n">
        <f aca="false">Daily_Returns_Raw_Data!A297</f>
        <v>42801</v>
      </c>
      <c r="B320" s="17" t="n">
        <f aca="false">SUMPRODUCT(Daily_Returns_Raw_Data!B297:X297,$AB$2:$AX$2)</f>
        <v>-0.00805895304333403</v>
      </c>
      <c r="C320" s="17" t="n">
        <f aca="false">-B320</f>
        <v>0.00805895304333403</v>
      </c>
    </row>
    <row r="321" customFormat="false" ht="15" hidden="false" customHeight="true" outlineLevel="0" collapsed="false">
      <c r="A321" s="23" t="n">
        <f aca="false">Daily_Returns_Raw_Data!A298</f>
        <v>42802</v>
      </c>
      <c r="B321" s="17" t="n">
        <f aca="false">SUMPRODUCT(Daily_Returns_Raw_Data!B298:X298,$AB$2:$AX$2)</f>
        <v>0.0033128983574707</v>
      </c>
      <c r="C321" s="17" t="n">
        <f aca="false">-B321</f>
        <v>-0.0033128983574707</v>
      </c>
    </row>
    <row r="322" customFormat="false" ht="15" hidden="false" customHeight="true" outlineLevel="0" collapsed="false">
      <c r="A322" s="23" t="n">
        <f aca="false">Daily_Returns_Raw_Data!A299</f>
        <v>42803</v>
      </c>
      <c r="B322" s="17" t="n">
        <f aca="false">SUMPRODUCT(Daily_Returns_Raw_Data!B299:X299,$AB$2:$AX$2)</f>
        <v>0.00635022491370418</v>
      </c>
      <c r="C322" s="17" t="n">
        <f aca="false">-B322</f>
        <v>-0.00635022491370418</v>
      </c>
    </row>
    <row r="323" customFormat="false" ht="15" hidden="false" customHeight="true" outlineLevel="0" collapsed="false">
      <c r="A323" s="23" t="n">
        <f aca="false">Daily_Returns_Raw_Data!A300</f>
        <v>42804</v>
      </c>
      <c r="B323" s="17" t="n">
        <f aca="false">SUMPRODUCT(Daily_Returns_Raw_Data!B300:X300,$AB$2:$AX$2)</f>
        <v>0.00330275514258401</v>
      </c>
      <c r="C323" s="17" t="n">
        <f aca="false">-B323</f>
        <v>-0.00330275514258401</v>
      </c>
    </row>
    <row r="324" customFormat="false" ht="15" hidden="false" customHeight="true" outlineLevel="0" collapsed="false">
      <c r="A324" s="23" t="n">
        <f aca="false">Daily_Returns_Raw_Data!A301</f>
        <v>42807</v>
      </c>
      <c r="B324" s="17" t="n">
        <f aca="false">SUMPRODUCT(Daily_Returns_Raw_Data!B301:X301,$AB$2:$AX$2)</f>
        <v>-0.00687190020044882</v>
      </c>
      <c r="C324" s="17" t="n">
        <f aca="false">-B324</f>
        <v>0.00687190020044882</v>
      </c>
    </row>
    <row r="325" customFormat="false" ht="15" hidden="false" customHeight="true" outlineLevel="0" collapsed="false">
      <c r="A325" s="23" t="n">
        <f aca="false">Daily_Returns_Raw_Data!A302</f>
        <v>42808</v>
      </c>
      <c r="B325" s="17" t="n">
        <f aca="false">SUMPRODUCT(Daily_Returns_Raw_Data!B302:X302,$AB$2:$AX$2)</f>
        <v>0.0145993683823655</v>
      </c>
      <c r="C325" s="17" t="n">
        <f aca="false">-B325</f>
        <v>-0.0145993683823655</v>
      </c>
    </row>
    <row r="326" customFormat="false" ht="15" hidden="false" customHeight="true" outlineLevel="0" collapsed="false">
      <c r="A326" s="23" t="n">
        <f aca="false">Daily_Returns_Raw_Data!A303</f>
        <v>42809</v>
      </c>
      <c r="B326" s="17" t="n">
        <f aca="false">SUMPRODUCT(Daily_Returns_Raw_Data!B303:X303,$AB$2:$AX$2)</f>
        <v>-0.00277564145200652</v>
      </c>
      <c r="C326" s="17" t="n">
        <f aca="false">-B326</f>
        <v>0.00277564145200652</v>
      </c>
    </row>
    <row r="327" customFormat="false" ht="15" hidden="false" customHeight="true" outlineLevel="0" collapsed="false">
      <c r="A327" s="23" t="n">
        <f aca="false">Daily_Returns_Raw_Data!A304</f>
        <v>42810</v>
      </c>
      <c r="B327" s="17" t="n">
        <f aca="false">SUMPRODUCT(Daily_Returns_Raw_Data!B304:X304,$AB$2:$AX$2)</f>
        <v>-0.00662424065676194</v>
      </c>
      <c r="C327" s="17" t="n">
        <f aca="false">-B327</f>
        <v>0.00662424065676194</v>
      </c>
    </row>
    <row r="328" customFormat="false" ht="15" hidden="false" customHeight="true" outlineLevel="0" collapsed="false">
      <c r="A328" s="23" t="n">
        <f aca="false">Daily_Returns_Raw_Data!A305</f>
        <v>42811</v>
      </c>
      <c r="B328" s="17" t="n">
        <f aca="false">SUMPRODUCT(Daily_Returns_Raw_Data!B305:X305,$AB$2:$AX$2)</f>
        <v>-0.0011345280401081</v>
      </c>
      <c r="C328" s="17" t="n">
        <f aca="false">-B328</f>
        <v>0.0011345280401081</v>
      </c>
    </row>
    <row r="329" customFormat="false" ht="15" hidden="false" customHeight="true" outlineLevel="0" collapsed="false">
      <c r="A329" s="23" t="n">
        <f aca="false">Daily_Returns_Raw_Data!A306</f>
        <v>42814</v>
      </c>
      <c r="B329" s="17" t="n">
        <f aca="false">SUMPRODUCT(Daily_Returns_Raw_Data!B306:X306,$AB$2:$AX$2)</f>
        <v>-0.0206366351657191</v>
      </c>
      <c r="C329" s="17" t="n">
        <f aca="false">-B329</f>
        <v>0.0206366351657191</v>
      </c>
    </row>
    <row r="330" customFormat="false" ht="15" hidden="false" customHeight="true" outlineLevel="0" collapsed="false">
      <c r="A330" s="23" t="n">
        <f aca="false">Daily_Returns_Raw_Data!A307</f>
        <v>42815</v>
      </c>
      <c r="B330" s="17" t="n">
        <f aca="false">SUMPRODUCT(Daily_Returns_Raw_Data!B307:X307,$AB$2:$AX$2)</f>
        <v>-0.00017741350333084</v>
      </c>
      <c r="C330" s="17" t="n">
        <f aca="false">-B330</f>
        <v>0.00017741350333084</v>
      </c>
    </row>
    <row r="331" customFormat="false" ht="15" hidden="false" customHeight="true" outlineLevel="0" collapsed="false">
      <c r="A331" s="23" t="n">
        <f aca="false">Daily_Returns_Raw_Data!A308</f>
        <v>42816</v>
      </c>
      <c r="B331" s="17" t="n">
        <f aca="false">SUMPRODUCT(Daily_Returns_Raw_Data!B308:X308,$AB$2:$AX$2)</f>
        <v>-0.0011005077832069</v>
      </c>
      <c r="C331" s="17" t="n">
        <f aca="false">-B331</f>
        <v>0.0011005077832069</v>
      </c>
    </row>
    <row r="332" customFormat="false" ht="15" hidden="false" customHeight="true" outlineLevel="0" collapsed="false">
      <c r="A332" s="23" t="n">
        <f aca="false">Daily_Returns_Raw_Data!A309</f>
        <v>42817</v>
      </c>
      <c r="B332" s="17" t="n">
        <f aca="false">SUMPRODUCT(Daily_Returns_Raw_Data!B309:X309,$AB$2:$AX$2)</f>
        <v>-0.000313743287776771</v>
      </c>
      <c r="C332" s="17" t="n">
        <f aca="false">-B332</f>
        <v>0.000313743287776771</v>
      </c>
    </row>
    <row r="333" customFormat="false" ht="15" hidden="false" customHeight="true" outlineLevel="0" collapsed="false">
      <c r="A333" s="23" t="n">
        <f aca="false">Daily_Returns_Raw_Data!A310</f>
        <v>42818</v>
      </c>
      <c r="B333" s="17" t="n">
        <f aca="false">SUMPRODUCT(Daily_Returns_Raw_Data!B310:X310,$AB$2:$AX$2)</f>
        <v>0.00316936874004177</v>
      </c>
      <c r="C333" s="17" t="n">
        <f aca="false">-B333</f>
        <v>-0.00316936874004177</v>
      </c>
    </row>
    <row r="334" customFormat="false" ht="15" hidden="false" customHeight="true" outlineLevel="0" collapsed="false">
      <c r="A334" s="23" t="n">
        <f aca="false">Daily_Returns_Raw_Data!A311</f>
        <v>42821</v>
      </c>
      <c r="B334" s="17" t="n">
        <f aca="false">SUMPRODUCT(Daily_Returns_Raw_Data!B311:X311,$AB$2:$AX$2)</f>
        <v>0.00429478678340342</v>
      </c>
      <c r="C334" s="17" t="n">
        <f aca="false">-B334</f>
        <v>-0.00429478678340342</v>
      </c>
    </row>
    <row r="335" customFormat="false" ht="15" hidden="false" customHeight="true" outlineLevel="0" collapsed="false">
      <c r="A335" s="23" t="n">
        <f aca="false">Daily_Returns_Raw_Data!A312</f>
        <v>42822</v>
      </c>
      <c r="B335" s="17" t="n">
        <f aca="false">SUMPRODUCT(Daily_Returns_Raw_Data!B312:X312,$AB$2:$AX$2)</f>
        <v>0.00621828943168098</v>
      </c>
      <c r="C335" s="17" t="n">
        <f aca="false">-B335</f>
        <v>-0.00621828943168098</v>
      </c>
    </row>
    <row r="336" customFormat="false" ht="15" hidden="false" customHeight="true" outlineLevel="0" collapsed="false">
      <c r="A336" s="23" t="n">
        <f aca="false">Daily_Returns_Raw_Data!A313</f>
        <v>42823</v>
      </c>
      <c r="B336" s="17" t="n">
        <f aca="false">SUMPRODUCT(Daily_Returns_Raw_Data!B313:X313,$AB$2:$AX$2)</f>
        <v>-0.000633703762291319</v>
      </c>
      <c r="C336" s="17" t="n">
        <f aca="false">-B336</f>
        <v>0.000633703762291319</v>
      </c>
    </row>
    <row r="337" customFormat="false" ht="15" hidden="false" customHeight="true" outlineLevel="0" collapsed="false">
      <c r="A337" s="23" t="n">
        <f aca="false">Daily_Returns_Raw_Data!A314</f>
        <v>42824</v>
      </c>
      <c r="B337" s="17" t="n">
        <f aca="false">SUMPRODUCT(Daily_Returns_Raw_Data!B314:X314,$AB$2:$AX$2)</f>
        <v>-0.00463805239403608</v>
      </c>
      <c r="C337" s="17" t="n">
        <f aca="false">-B337</f>
        <v>0.00463805239403608</v>
      </c>
    </row>
    <row r="338" customFormat="false" ht="15" hidden="false" customHeight="true" outlineLevel="0" collapsed="false">
      <c r="A338" s="23" t="n">
        <f aca="false">Daily_Returns_Raw_Data!A315</f>
        <v>42825</v>
      </c>
      <c r="B338" s="17" t="n">
        <f aca="false">SUMPRODUCT(Daily_Returns_Raw_Data!B315:X315,$AB$2:$AX$2)</f>
        <v>-0.0011319009235117</v>
      </c>
      <c r="C338" s="17" t="n">
        <f aca="false">-B338</f>
        <v>0.0011319009235117</v>
      </c>
    </row>
    <row r="339" customFormat="false" ht="15" hidden="false" customHeight="true" outlineLevel="0" collapsed="false">
      <c r="A339" s="23" t="n">
        <f aca="false">Daily_Returns_Raw_Data!A316</f>
        <v>42828</v>
      </c>
      <c r="B339" s="17" t="n">
        <f aca="false">SUMPRODUCT(Daily_Returns_Raw_Data!B316:X316,$AB$2:$AX$2)</f>
        <v>0.0048805385431245</v>
      </c>
      <c r="C339" s="17" t="n">
        <f aca="false">-B339</f>
        <v>-0.0048805385431245</v>
      </c>
    </row>
    <row r="340" customFormat="false" ht="15" hidden="false" customHeight="true" outlineLevel="0" collapsed="false">
      <c r="A340" s="23" t="n">
        <f aca="false">Daily_Returns_Raw_Data!A317</f>
        <v>42829</v>
      </c>
      <c r="B340" s="17" t="n">
        <f aca="false">SUMPRODUCT(Daily_Returns_Raw_Data!B317:X317,$AB$2:$AX$2)</f>
        <v>-0.00886319372922855</v>
      </c>
      <c r="C340" s="17" t="n">
        <f aca="false">-B340</f>
        <v>0.00886319372922855</v>
      </c>
    </row>
    <row r="341" customFormat="false" ht="15" hidden="false" customHeight="true" outlineLevel="0" collapsed="false">
      <c r="A341" s="23" t="n">
        <f aca="false">Daily_Returns_Raw_Data!A318</f>
        <v>42830</v>
      </c>
      <c r="B341" s="17" t="n">
        <f aca="false">SUMPRODUCT(Daily_Returns_Raw_Data!B318:X318,$AB$2:$AX$2)</f>
        <v>-0.000377485204955201</v>
      </c>
      <c r="C341" s="17" t="n">
        <f aca="false">-B341</f>
        <v>0.000377485204955201</v>
      </c>
    </row>
    <row r="342" customFormat="false" ht="15" hidden="false" customHeight="true" outlineLevel="0" collapsed="false">
      <c r="A342" s="23" t="n">
        <f aca="false">Daily_Returns_Raw_Data!A319</f>
        <v>42831</v>
      </c>
      <c r="B342" s="17" t="n">
        <f aca="false">SUMPRODUCT(Daily_Returns_Raw_Data!B319:X319,$AB$2:$AX$2)</f>
        <v>0.00193309536513221</v>
      </c>
      <c r="C342" s="17" t="n">
        <f aca="false">-B342</f>
        <v>-0.00193309536513221</v>
      </c>
    </row>
    <row r="343" customFormat="false" ht="15" hidden="false" customHeight="true" outlineLevel="0" collapsed="false">
      <c r="A343" s="23" t="n">
        <f aca="false">Daily_Returns_Raw_Data!A320</f>
        <v>42832</v>
      </c>
      <c r="B343" s="17" t="n">
        <f aca="false">SUMPRODUCT(Daily_Returns_Raw_Data!B320:X320,$AB$2:$AX$2)</f>
        <v>0.00868965349881983</v>
      </c>
      <c r="C343" s="17" t="n">
        <f aca="false">-B343</f>
        <v>-0.00868965349881983</v>
      </c>
    </row>
    <row r="344" customFormat="false" ht="15" hidden="false" customHeight="true" outlineLevel="0" collapsed="false">
      <c r="A344" s="23" t="n">
        <f aca="false">Daily_Returns_Raw_Data!A321</f>
        <v>42835</v>
      </c>
      <c r="B344" s="17" t="n">
        <f aca="false">SUMPRODUCT(Daily_Returns_Raw_Data!B321:X321,$AB$2:$AX$2)</f>
        <v>-0.00649569348527173</v>
      </c>
      <c r="C344" s="17" t="n">
        <f aca="false">-B344</f>
        <v>0.00649569348527173</v>
      </c>
    </row>
    <row r="345" customFormat="false" ht="15" hidden="false" customHeight="true" outlineLevel="0" collapsed="false">
      <c r="A345" s="23" t="n">
        <f aca="false">Daily_Returns_Raw_Data!A322</f>
        <v>42836</v>
      </c>
      <c r="B345" s="17" t="n">
        <f aca="false">SUMPRODUCT(Daily_Returns_Raw_Data!B322:X322,$AB$2:$AX$2)</f>
        <v>-0.00256773817248015</v>
      </c>
      <c r="C345" s="17" t="n">
        <f aca="false">-B345</f>
        <v>0.00256773817248015</v>
      </c>
    </row>
    <row r="346" customFormat="false" ht="15" hidden="false" customHeight="true" outlineLevel="0" collapsed="false">
      <c r="A346" s="23" t="n">
        <f aca="false">Daily_Returns_Raw_Data!A323</f>
        <v>42837</v>
      </c>
      <c r="B346" s="17" t="n">
        <f aca="false">SUMPRODUCT(Daily_Returns_Raw_Data!B323:X323,$AB$2:$AX$2)</f>
        <v>-0.011303436485343</v>
      </c>
      <c r="C346" s="17" t="n">
        <f aca="false">-B346</f>
        <v>0.011303436485343</v>
      </c>
    </row>
    <row r="347" customFormat="false" ht="15" hidden="false" customHeight="true" outlineLevel="0" collapsed="false">
      <c r="A347" s="23" t="n">
        <f aca="false">Daily_Returns_Raw_Data!A324</f>
        <v>42838</v>
      </c>
      <c r="B347" s="17" t="n">
        <f aca="false">SUMPRODUCT(Daily_Returns_Raw_Data!B324:X324,$AB$2:$AX$2)</f>
        <v>0.00746725994068331</v>
      </c>
      <c r="C347" s="17" t="n">
        <f aca="false">-B347</f>
        <v>-0.00746725994068331</v>
      </c>
    </row>
    <row r="348" customFormat="false" ht="15" hidden="false" customHeight="true" outlineLevel="0" collapsed="false">
      <c r="A348" s="23" t="n">
        <f aca="false">Daily_Returns_Raw_Data!A325</f>
        <v>42842</v>
      </c>
      <c r="B348" s="17" t="n">
        <f aca="false">SUMPRODUCT(Daily_Returns_Raw_Data!B325:X325,$AB$2:$AX$2)</f>
        <v>-0.0075136844398863</v>
      </c>
      <c r="C348" s="17" t="n">
        <f aca="false">-B348</f>
        <v>0.0075136844398863</v>
      </c>
    </row>
    <row r="349" customFormat="false" ht="15" hidden="false" customHeight="true" outlineLevel="0" collapsed="false">
      <c r="A349" s="23" t="n">
        <f aca="false">Daily_Returns_Raw_Data!A326</f>
        <v>42843</v>
      </c>
      <c r="B349" s="17" t="n">
        <f aca="false">SUMPRODUCT(Daily_Returns_Raw_Data!B326:X326,$AB$2:$AX$2)</f>
        <v>-0.00384394830702759</v>
      </c>
      <c r="C349" s="17" t="n">
        <f aca="false">-B349</f>
        <v>0.00384394830702759</v>
      </c>
    </row>
    <row r="350" customFormat="false" ht="15" hidden="false" customHeight="true" outlineLevel="0" collapsed="false">
      <c r="A350" s="23" t="n">
        <f aca="false">Daily_Returns_Raw_Data!A327</f>
        <v>42844</v>
      </c>
      <c r="B350" s="17" t="n">
        <f aca="false">SUMPRODUCT(Daily_Returns_Raw_Data!B327:X327,$AB$2:$AX$2)</f>
        <v>0.00327639694252898</v>
      </c>
      <c r="C350" s="17" t="n">
        <f aca="false">-B350</f>
        <v>-0.00327639694252898</v>
      </c>
    </row>
    <row r="351" customFormat="false" ht="15" hidden="false" customHeight="true" outlineLevel="0" collapsed="false">
      <c r="A351" s="23" t="n">
        <f aca="false">Daily_Returns_Raw_Data!A328</f>
        <v>42845</v>
      </c>
      <c r="B351" s="17" t="n">
        <f aca="false">SUMPRODUCT(Daily_Returns_Raw_Data!B328:X328,$AB$2:$AX$2)</f>
        <v>-0.00285007685047235</v>
      </c>
      <c r="C351" s="17" t="n">
        <f aca="false">-B351</f>
        <v>0.00285007685047235</v>
      </c>
    </row>
    <row r="352" customFormat="false" ht="15" hidden="false" customHeight="true" outlineLevel="0" collapsed="false">
      <c r="A352" s="23" t="n">
        <f aca="false">Daily_Returns_Raw_Data!A329</f>
        <v>42846</v>
      </c>
      <c r="B352" s="17" t="n">
        <f aca="false">SUMPRODUCT(Daily_Returns_Raw_Data!B329:X329,$AB$2:$AX$2)</f>
        <v>0.00834918476298723</v>
      </c>
      <c r="C352" s="17" t="n">
        <f aca="false">-B352</f>
        <v>-0.00834918476298723</v>
      </c>
    </row>
    <row r="353" customFormat="false" ht="15" hidden="false" customHeight="true" outlineLevel="0" collapsed="false">
      <c r="A353" s="23" t="n">
        <f aca="false">Daily_Returns_Raw_Data!A330</f>
        <v>42849</v>
      </c>
      <c r="B353" s="17" t="n">
        <f aca="false">SUMPRODUCT(Daily_Returns_Raw_Data!B330:X330,$AB$2:$AX$2)</f>
        <v>0.00300008407458416</v>
      </c>
      <c r="C353" s="17" t="n">
        <f aca="false">-B353</f>
        <v>-0.00300008407458416</v>
      </c>
    </row>
    <row r="354" customFormat="false" ht="15" hidden="false" customHeight="true" outlineLevel="0" collapsed="false">
      <c r="A354" s="23" t="n">
        <f aca="false">Daily_Returns_Raw_Data!A331</f>
        <v>42850</v>
      </c>
      <c r="B354" s="17" t="n">
        <f aca="false">SUMPRODUCT(Daily_Returns_Raw_Data!B331:X331,$AB$2:$AX$2)</f>
        <v>-0.00638109748389127</v>
      </c>
      <c r="C354" s="17" t="n">
        <f aca="false">-B354</f>
        <v>0.00638109748389127</v>
      </c>
    </row>
    <row r="355" customFormat="false" ht="15" hidden="false" customHeight="true" outlineLevel="0" collapsed="false">
      <c r="A355" s="23" t="n">
        <f aca="false">Daily_Returns_Raw_Data!A332</f>
        <v>42851</v>
      </c>
      <c r="B355" s="17" t="n">
        <f aca="false">SUMPRODUCT(Daily_Returns_Raw_Data!B332:X332,$AB$2:$AX$2)</f>
        <v>-0.00466076960183306</v>
      </c>
      <c r="C355" s="17" t="n">
        <f aca="false">-B355</f>
        <v>0.00466076960183306</v>
      </c>
    </row>
    <row r="356" customFormat="false" ht="15" hidden="false" customHeight="true" outlineLevel="0" collapsed="false">
      <c r="A356" s="23" t="n">
        <f aca="false">Daily_Returns_Raw_Data!A333</f>
        <v>42852</v>
      </c>
      <c r="B356" s="17" t="n">
        <f aca="false">SUMPRODUCT(Daily_Returns_Raw_Data!B333:X333,$AB$2:$AX$2)</f>
        <v>0.000865410722623265</v>
      </c>
      <c r="C356" s="17" t="n">
        <f aca="false">-B356</f>
        <v>-0.000865410722623265</v>
      </c>
    </row>
    <row r="357" customFormat="false" ht="15" hidden="false" customHeight="true" outlineLevel="0" collapsed="false">
      <c r="A357" s="23" t="n">
        <f aca="false">Daily_Returns_Raw_Data!A334</f>
        <v>42853</v>
      </c>
      <c r="B357" s="17" t="n">
        <f aca="false">SUMPRODUCT(Daily_Returns_Raw_Data!B334:X334,$AB$2:$AX$2)</f>
        <v>-0.000546051393914761</v>
      </c>
      <c r="C357" s="17" t="n">
        <f aca="false">-B357</f>
        <v>0.000546051393914761</v>
      </c>
    </row>
    <row r="358" customFormat="false" ht="15" hidden="false" customHeight="true" outlineLevel="0" collapsed="false">
      <c r="A358" s="23" t="n">
        <f aca="false">Daily_Returns_Raw_Data!A335</f>
        <v>42856</v>
      </c>
      <c r="B358" s="17" t="n">
        <f aca="false">SUMPRODUCT(Daily_Returns_Raw_Data!B335:X335,$AB$2:$AX$2)</f>
        <v>-0.0032478160468598</v>
      </c>
      <c r="C358" s="17" t="n">
        <f aca="false">-B358</f>
        <v>0.0032478160468598</v>
      </c>
    </row>
    <row r="359" customFormat="false" ht="15" hidden="false" customHeight="true" outlineLevel="0" collapsed="false">
      <c r="A359" s="23" t="n">
        <f aca="false">Daily_Returns_Raw_Data!A336</f>
        <v>42857</v>
      </c>
      <c r="B359" s="17" t="n">
        <f aca="false">SUMPRODUCT(Daily_Returns_Raw_Data!B336:X336,$AB$2:$AX$2)</f>
        <v>-0.000713615748556981</v>
      </c>
      <c r="C359" s="17" t="n">
        <f aca="false">-B359</f>
        <v>0.000713615748556981</v>
      </c>
    </row>
    <row r="360" customFormat="false" ht="15" hidden="false" customHeight="true" outlineLevel="0" collapsed="false">
      <c r="A360" s="23" t="n">
        <f aca="false">Daily_Returns_Raw_Data!A337</f>
        <v>42858</v>
      </c>
      <c r="B360" s="17" t="n">
        <f aca="false">SUMPRODUCT(Daily_Returns_Raw_Data!B337:X337,$AB$2:$AX$2)</f>
        <v>-0.00867336042736639</v>
      </c>
      <c r="C360" s="17" t="n">
        <f aca="false">-B360</f>
        <v>0.00867336042736639</v>
      </c>
    </row>
    <row r="361" customFormat="false" ht="15" hidden="false" customHeight="true" outlineLevel="0" collapsed="false">
      <c r="A361" s="23" t="n">
        <f aca="false">Daily_Returns_Raw_Data!A338</f>
        <v>42859</v>
      </c>
      <c r="B361" s="17" t="n">
        <f aca="false">SUMPRODUCT(Daily_Returns_Raw_Data!B338:X338,$AB$2:$AX$2)</f>
        <v>0.00474129909858845</v>
      </c>
      <c r="C361" s="17" t="n">
        <f aca="false">-B361</f>
        <v>-0.00474129909858845</v>
      </c>
    </row>
    <row r="362" customFormat="false" ht="15" hidden="false" customHeight="true" outlineLevel="0" collapsed="false">
      <c r="A362" s="23" t="n">
        <f aca="false">Daily_Returns_Raw_Data!A339</f>
        <v>42860</v>
      </c>
      <c r="B362" s="17" t="n">
        <f aca="false">SUMPRODUCT(Daily_Returns_Raw_Data!B339:X339,$AB$2:$AX$2)</f>
        <v>0.000905533884522871</v>
      </c>
      <c r="C362" s="17" t="n">
        <f aca="false">-B362</f>
        <v>-0.000905533884522871</v>
      </c>
    </row>
    <row r="363" customFormat="false" ht="15" hidden="false" customHeight="true" outlineLevel="0" collapsed="false">
      <c r="A363" s="23" t="n">
        <f aca="false">Daily_Returns_Raw_Data!A340</f>
        <v>42863</v>
      </c>
      <c r="B363" s="17" t="n">
        <f aca="false">SUMPRODUCT(Daily_Returns_Raw_Data!B340:X340,$AB$2:$AX$2)</f>
        <v>-0.00127574597953091</v>
      </c>
      <c r="C363" s="17" t="n">
        <f aca="false">-B363</f>
        <v>0.00127574597953091</v>
      </c>
    </row>
    <row r="364" customFormat="false" ht="15" hidden="false" customHeight="true" outlineLevel="0" collapsed="false">
      <c r="A364" s="23" t="n">
        <f aca="false">Daily_Returns_Raw_Data!A341</f>
        <v>42864</v>
      </c>
      <c r="B364" s="17" t="n">
        <f aca="false">SUMPRODUCT(Daily_Returns_Raw_Data!B341:X341,$AB$2:$AX$2)</f>
        <v>0.00285919944038838</v>
      </c>
      <c r="C364" s="17" t="n">
        <f aca="false">-B364</f>
        <v>-0.00285919944038838</v>
      </c>
    </row>
    <row r="365" customFormat="false" ht="15" hidden="false" customHeight="true" outlineLevel="0" collapsed="false">
      <c r="A365" s="23" t="n">
        <f aca="false">Daily_Returns_Raw_Data!A342</f>
        <v>42865</v>
      </c>
      <c r="B365" s="17" t="n">
        <f aca="false">SUMPRODUCT(Daily_Returns_Raw_Data!B342:X342,$AB$2:$AX$2)</f>
        <v>0.00168947146276803</v>
      </c>
      <c r="C365" s="17" t="n">
        <f aca="false">-B365</f>
        <v>-0.00168947146276803</v>
      </c>
    </row>
    <row r="366" customFormat="false" ht="15" hidden="false" customHeight="true" outlineLevel="0" collapsed="false">
      <c r="A366" s="23" t="n">
        <f aca="false">Daily_Returns_Raw_Data!A343</f>
        <v>42866</v>
      </c>
      <c r="B366" s="17" t="n">
        <f aca="false">SUMPRODUCT(Daily_Returns_Raw_Data!B343:X343,$AB$2:$AX$2)</f>
        <v>-0.0055051297621843</v>
      </c>
      <c r="C366" s="17" t="n">
        <f aca="false">-B366</f>
        <v>0.0055051297621843</v>
      </c>
    </row>
    <row r="367" customFormat="false" ht="15" hidden="false" customHeight="true" outlineLevel="0" collapsed="false">
      <c r="A367" s="23" t="n">
        <f aca="false">Daily_Returns_Raw_Data!A344</f>
        <v>42867</v>
      </c>
      <c r="B367" s="17" t="n">
        <f aca="false">SUMPRODUCT(Daily_Returns_Raw_Data!B344:X344,$AB$2:$AX$2)</f>
        <v>0.00692852910406502</v>
      </c>
      <c r="C367" s="17" t="n">
        <f aca="false">-B367</f>
        <v>-0.00692852910406502</v>
      </c>
    </row>
    <row r="368" customFormat="false" ht="15" hidden="false" customHeight="true" outlineLevel="0" collapsed="false">
      <c r="A368" s="23" t="n">
        <f aca="false">Daily_Returns_Raw_Data!A345</f>
        <v>42870</v>
      </c>
      <c r="B368" s="17" t="n">
        <f aca="false">SUMPRODUCT(Daily_Returns_Raw_Data!B345:X345,$AB$2:$AX$2)</f>
        <v>-0.0010845699405024</v>
      </c>
      <c r="C368" s="17" t="n">
        <f aca="false">-B368</f>
        <v>0.0010845699405024</v>
      </c>
    </row>
    <row r="369" customFormat="false" ht="15" hidden="false" customHeight="true" outlineLevel="0" collapsed="false">
      <c r="A369" s="23" t="n">
        <f aca="false">Daily_Returns_Raw_Data!A346</f>
        <v>42871</v>
      </c>
      <c r="B369" s="17" t="n">
        <f aca="false">SUMPRODUCT(Daily_Returns_Raw_Data!B346:X346,$AB$2:$AX$2)</f>
        <v>-0.0218882348390871</v>
      </c>
      <c r="C369" s="17" t="n">
        <f aca="false">-B369</f>
        <v>0.0218882348390871</v>
      </c>
    </row>
    <row r="370" customFormat="false" ht="15" hidden="false" customHeight="true" outlineLevel="0" collapsed="false">
      <c r="A370" s="23" t="n">
        <f aca="false">Daily_Returns_Raw_Data!A347</f>
        <v>42872</v>
      </c>
      <c r="B370" s="17" t="n">
        <f aca="false">SUMPRODUCT(Daily_Returns_Raw_Data!B347:X347,$AB$2:$AX$2)</f>
        <v>-0.0174319752378917</v>
      </c>
      <c r="C370" s="17" t="n">
        <f aca="false">-B370</f>
        <v>0.0174319752378917</v>
      </c>
    </row>
    <row r="371" customFormat="false" ht="15" hidden="false" customHeight="true" outlineLevel="0" collapsed="false">
      <c r="A371" s="23" t="n">
        <f aca="false">Daily_Returns_Raw_Data!A348</f>
        <v>42873</v>
      </c>
      <c r="B371" s="17" t="n">
        <f aca="false">SUMPRODUCT(Daily_Returns_Raw_Data!B348:X348,$AB$2:$AX$2)</f>
        <v>0.0141129241509527</v>
      </c>
      <c r="C371" s="17" t="n">
        <f aca="false">-B371</f>
        <v>-0.0141129241509527</v>
      </c>
    </row>
    <row r="372" customFormat="false" ht="15" hidden="false" customHeight="true" outlineLevel="0" collapsed="false">
      <c r="A372" s="23" t="n">
        <f aca="false">Daily_Returns_Raw_Data!A349</f>
        <v>42874</v>
      </c>
      <c r="B372" s="17" t="n">
        <f aca="false">SUMPRODUCT(Daily_Returns_Raw_Data!B349:X349,$AB$2:$AX$2)</f>
        <v>0.00326728484280558</v>
      </c>
      <c r="C372" s="17" t="n">
        <f aca="false">-B372</f>
        <v>-0.00326728484280558</v>
      </c>
    </row>
    <row r="373" customFormat="false" ht="15" hidden="false" customHeight="true" outlineLevel="0" collapsed="false">
      <c r="A373" s="23" t="n">
        <f aca="false">Daily_Returns_Raw_Data!A350</f>
        <v>42877</v>
      </c>
      <c r="B373" s="17" t="n">
        <f aca="false">SUMPRODUCT(Daily_Returns_Raw_Data!B350:X350,$AB$2:$AX$2)</f>
        <v>0.00404399268991619</v>
      </c>
      <c r="C373" s="17" t="n">
        <f aca="false">-B373</f>
        <v>-0.00404399268991619</v>
      </c>
    </row>
    <row r="374" customFormat="false" ht="15" hidden="false" customHeight="true" outlineLevel="0" collapsed="false">
      <c r="A374" s="23" t="n">
        <f aca="false">Daily_Returns_Raw_Data!A351</f>
        <v>42878</v>
      </c>
      <c r="B374" s="17" t="n">
        <f aca="false">SUMPRODUCT(Daily_Returns_Raw_Data!B351:X351,$AB$2:$AX$2)</f>
        <v>-0.00153436935440952</v>
      </c>
      <c r="C374" s="17" t="n">
        <f aca="false">-B374</f>
        <v>0.00153436935440952</v>
      </c>
    </row>
    <row r="375" customFormat="false" ht="15" hidden="false" customHeight="true" outlineLevel="0" collapsed="false">
      <c r="A375" s="23" t="n">
        <f aca="false">Daily_Returns_Raw_Data!A352</f>
        <v>42879</v>
      </c>
      <c r="B375" s="17" t="n">
        <f aca="false">SUMPRODUCT(Daily_Returns_Raw_Data!B352:X352,$AB$2:$AX$2)</f>
        <v>-0.00209075894475979</v>
      </c>
      <c r="C375" s="17" t="n">
        <f aca="false">-B375</f>
        <v>0.00209075894475979</v>
      </c>
    </row>
    <row r="376" customFormat="false" ht="15" hidden="false" customHeight="true" outlineLevel="0" collapsed="false">
      <c r="A376" s="23" t="n">
        <f aca="false">Daily_Returns_Raw_Data!A353</f>
        <v>42880</v>
      </c>
      <c r="B376" s="17" t="n">
        <f aca="false">SUMPRODUCT(Daily_Returns_Raw_Data!B353:X353,$AB$2:$AX$2)</f>
        <v>0.00594405843888559</v>
      </c>
      <c r="C376" s="17" t="n">
        <f aca="false">-B376</f>
        <v>-0.00594405843888559</v>
      </c>
    </row>
    <row r="377" customFormat="false" ht="15" hidden="false" customHeight="true" outlineLevel="0" collapsed="false">
      <c r="A377" s="23" t="n">
        <f aca="false">Daily_Returns_Raw_Data!A354</f>
        <v>42881</v>
      </c>
      <c r="B377" s="17" t="n">
        <f aca="false">SUMPRODUCT(Daily_Returns_Raw_Data!B354:X354,$AB$2:$AX$2)</f>
        <v>-0.00333552483736472</v>
      </c>
      <c r="C377" s="17" t="n">
        <f aca="false">-B377</f>
        <v>0.00333552483736472</v>
      </c>
    </row>
    <row r="378" customFormat="false" ht="15" hidden="false" customHeight="true" outlineLevel="0" collapsed="false">
      <c r="A378" s="23" t="n">
        <f aca="false">Daily_Returns_Raw_Data!A355</f>
        <v>42885</v>
      </c>
      <c r="B378" s="17" t="n">
        <f aca="false">SUMPRODUCT(Daily_Returns_Raw_Data!B355:X355,$AB$2:$AX$2)</f>
        <v>-0.00701618670205734</v>
      </c>
      <c r="C378" s="17" t="n">
        <f aca="false">-B378</f>
        <v>0.00701618670205734</v>
      </c>
    </row>
    <row r="379" customFormat="false" ht="15" hidden="false" customHeight="true" outlineLevel="0" collapsed="false">
      <c r="A379" s="23" t="n">
        <f aca="false">Daily_Returns_Raw_Data!A356</f>
        <v>42886</v>
      </c>
      <c r="B379" s="17" t="n">
        <f aca="false">SUMPRODUCT(Daily_Returns_Raw_Data!B356:X356,$AB$2:$AX$2)</f>
        <v>0.00977194757428406</v>
      </c>
      <c r="C379" s="17" t="n">
        <f aca="false">-B379</f>
        <v>-0.00977194757428406</v>
      </c>
    </row>
    <row r="380" customFormat="false" ht="15" hidden="false" customHeight="true" outlineLevel="0" collapsed="false">
      <c r="A380" s="23" t="n">
        <f aca="false">Daily_Returns_Raw_Data!A357</f>
        <v>42887</v>
      </c>
      <c r="B380" s="17" t="n">
        <f aca="false">SUMPRODUCT(Daily_Returns_Raw_Data!B357:X357,$AB$2:$AX$2)</f>
        <v>-0.0033612037108602</v>
      </c>
      <c r="C380" s="17" t="n">
        <f aca="false">-B380</f>
        <v>0.0033612037108602</v>
      </c>
    </row>
    <row r="381" customFormat="false" ht="15" hidden="false" customHeight="true" outlineLevel="0" collapsed="false">
      <c r="A381" s="23" t="n">
        <f aca="false">Daily_Returns_Raw_Data!A358</f>
        <v>42888</v>
      </c>
      <c r="B381" s="17" t="n">
        <f aca="false">SUMPRODUCT(Daily_Returns_Raw_Data!B358:X358,$AB$2:$AX$2)</f>
        <v>-0.00818958708786959</v>
      </c>
      <c r="C381" s="17" t="n">
        <f aca="false">-B381</f>
        <v>0.00818958708786959</v>
      </c>
    </row>
    <row r="382" customFormat="false" ht="15" hidden="false" customHeight="true" outlineLevel="0" collapsed="false">
      <c r="A382" s="23" t="n">
        <f aca="false">Daily_Returns_Raw_Data!A359</f>
        <v>42891</v>
      </c>
      <c r="B382" s="17" t="n">
        <f aca="false">SUMPRODUCT(Daily_Returns_Raw_Data!B359:X359,$AB$2:$AX$2)</f>
        <v>-0.00128667548964374</v>
      </c>
      <c r="C382" s="17" t="n">
        <f aca="false">-B382</f>
        <v>0.00128667548964374</v>
      </c>
    </row>
    <row r="383" customFormat="false" ht="15" hidden="false" customHeight="true" outlineLevel="0" collapsed="false">
      <c r="A383" s="23" t="n">
        <f aca="false">Daily_Returns_Raw_Data!A360</f>
        <v>42892</v>
      </c>
      <c r="B383" s="17" t="n">
        <f aca="false">SUMPRODUCT(Daily_Returns_Raw_Data!B360:X360,$AB$2:$AX$2)</f>
        <v>0.000421064287321925</v>
      </c>
      <c r="C383" s="17" t="n">
        <f aca="false">-B383</f>
        <v>-0.000421064287321925</v>
      </c>
    </row>
    <row r="384" customFormat="false" ht="15" hidden="false" customHeight="true" outlineLevel="0" collapsed="false">
      <c r="A384" s="23" t="n">
        <f aca="false">Daily_Returns_Raw_Data!A361</f>
        <v>42893</v>
      </c>
      <c r="B384" s="17" t="n">
        <f aca="false">SUMPRODUCT(Daily_Returns_Raw_Data!B361:X361,$AB$2:$AX$2)</f>
        <v>0.00590509643522882</v>
      </c>
      <c r="C384" s="17" t="n">
        <f aca="false">-B384</f>
        <v>-0.00590509643522882</v>
      </c>
    </row>
    <row r="385" customFormat="false" ht="15" hidden="false" customHeight="true" outlineLevel="0" collapsed="false">
      <c r="A385" s="23" t="n">
        <f aca="false">Daily_Returns_Raw_Data!A362</f>
        <v>42894</v>
      </c>
      <c r="B385" s="17" t="n">
        <f aca="false">SUMPRODUCT(Daily_Returns_Raw_Data!B362:X362,$AB$2:$AX$2)</f>
        <v>0.00466796832244684</v>
      </c>
      <c r="C385" s="17" t="n">
        <f aca="false">-B385</f>
        <v>-0.00466796832244684</v>
      </c>
    </row>
    <row r="386" customFormat="false" ht="15" hidden="false" customHeight="true" outlineLevel="0" collapsed="false">
      <c r="A386" s="23" t="n">
        <f aca="false">Daily_Returns_Raw_Data!A363</f>
        <v>42895</v>
      </c>
      <c r="B386" s="17" t="n">
        <f aca="false">SUMPRODUCT(Daily_Returns_Raw_Data!B363:X363,$AB$2:$AX$2)</f>
        <v>0.00224291239226149</v>
      </c>
      <c r="C386" s="17" t="n">
        <f aca="false">-B386</f>
        <v>-0.00224291239226149</v>
      </c>
    </row>
    <row r="387" customFormat="false" ht="15" hidden="false" customHeight="true" outlineLevel="0" collapsed="false">
      <c r="A387" s="23" t="n">
        <f aca="false">Daily_Returns_Raw_Data!A364</f>
        <v>42898</v>
      </c>
      <c r="B387" s="17" t="n">
        <f aca="false">SUMPRODUCT(Daily_Returns_Raw_Data!B364:X364,$AB$2:$AX$2)</f>
        <v>0.00263838776840816</v>
      </c>
      <c r="C387" s="17" t="n">
        <f aca="false">-B387</f>
        <v>-0.00263838776840816</v>
      </c>
    </row>
    <row r="388" customFormat="false" ht="15" hidden="false" customHeight="true" outlineLevel="0" collapsed="false">
      <c r="A388" s="23" t="n">
        <f aca="false">Daily_Returns_Raw_Data!A365</f>
        <v>42899</v>
      </c>
      <c r="B388" s="17" t="n">
        <f aca="false">SUMPRODUCT(Daily_Returns_Raw_Data!B365:X365,$AB$2:$AX$2)</f>
        <v>-0.00256023659653846</v>
      </c>
      <c r="C388" s="17" t="n">
        <f aca="false">-B388</f>
        <v>0.00256023659653846</v>
      </c>
    </row>
    <row r="389" customFormat="false" ht="15" hidden="false" customHeight="true" outlineLevel="0" collapsed="false">
      <c r="A389" s="23" t="n">
        <f aca="false">Daily_Returns_Raw_Data!A366</f>
        <v>42900</v>
      </c>
      <c r="B389" s="17" t="n">
        <f aca="false">SUMPRODUCT(Daily_Returns_Raw_Data!B366:X366,$AB$2:$AX$2)</f>
        <v>-0.0164833850114434</v>
      </c>
      <c r="C389" s="17" t="n">
        <f aca="false">-B389</f>
        <v>0.0164833850114434</v>
      </c>
    </row>
    <row r="390" customFormat="false" ht="15" hidden="false" customHeight="true" outlineLevel="0" collapsed="false">
      <c r="A390" s="23" t="n">
        <f aca="false">Daily_Returns_Raw_Data!A367</f>
        <v>42901</v>
      </c>
      <c r="B390" s="17" t="n">
        <f aca="false">SUMPRODUCT(Daily_Returns_Raw_Data!B367:X367,$AB$2:$AX$2)</f>
        <v>-0.00636638952665071</v>
      </c>
      <c r="C390" s="17" t="n">
        <f aca="false">-B390</f>
        <v>0.00636638952665071</v>
      </c>
    </row>
    <row r="391" customFormat="false" ht="15" hidden="false" customHeight="true" outlineLevel="0" collapsed="false">
      <c r="A391" s="23" t="n">
        <f aca="false">Daily_Returns_Raw_Data!A368</f>
        <v>42902</v>
      </c>
      <c r="B391" s="17" t="n">
        <f aca="false">SUMPRODUCT(Daily_Returns_Raw_Data!B368:X368,$AB$2:$AX$2)</f>
        <v>0.00676237993496001</v>
      </c>
      <c r="C391" s="17" t="n">
        <f aca="false">-B391</f>
        <v>-0.00676237993496001</v>
      </c>
    </row>
    <row r="392" customFormat="false" ht="15" hidden="false" customHeight="true" outlineLevel="0" collapsed="false">
      <c r="A392" s="23" t="n">
        <f aca="false">Daily_Returns_Raw_Data!A369</f>
        <v>42905</v>
      </c>
      <c r="B392" s="17" t="n">
        <f aca="false">SUMPRODUCT(Daily_Returns_Raw_Data!B369:X369,$AB$2:$AX$2)</f>
        <v>-0.0102666362615042</v>
      </c>
      <c r="C392" s="17" t="n">
        <f aca="false">-B392</f>
        <v>0.0102666362615042</v>
      </c>
    </row>
    <row r="393" customFormat="false" ht="15" hidden="false" customHeight="true" outlineLevel="0" collapsed="false">
      <c r="A393" s="23" t="n">
        <f aca="false">Daily_Returns_Raw_Data!A370</f>
        <v>42906</v>
      </c>
      <c r="B393" s="17" t="n">
        <f aca="false">SUMPRODUCT(Daily_Returns_Raw_Data!B370:X370,$AB$2:$AX$2)</f>
        <v>-0.00240525874542723</v>
      </c>
      <c r="C393" s="17" t="n">
        <f aca="false">-B393</f>
        <v>0.00240525874542723</v>
      </c>
    </row>
    <row r="394" customFormat="false" ht="15" hidden="false" customHeight="true" outlineLevel="0" collapsed="false">
      <c r="A394" s="23" t="n">
        <f aca="false">Daily_Returns_Raw_Data!A371</f>
        <v>42907</v>
      </c>
      <c r="B394" s="17" t="n">
        <f aca="false">SUMPRODUCT(Daily_Returns_Raw_Data!B371:X371,$AB$2:$AX$2)</f>
        <v>0.00450388163146045</v>
      </c>
      <c r="C394" s="17" t="n">
        <f aca="false">-B394</f>
        <v>-0.00450388163146045</v>
      </c>
    </row>
    <row r="395" customFormat="false" ht="15" hidden="false" customHeight="true" outlineLevel="0" collapsed="false">
      <c r="A395" s="23" t="n">
        <f aca="false">Daily_Returns_Raw_Data!A372</f>
        <v>42908</v>
      </c>
      <c r="B395" s="17" t="n">
        <f aca="false">SUMPRODUCT(Daily_Returns_Raw_Data!B372:X372,$AB$2:$AX$2)</f>
        <v>0.000979058748988873</v>
      </c>
      <c r="C395" s="17" t="n">
        <f aca="false">-B395</f>
        <v>-0.000979058748988873</v>
      </c>
    </row>
    <row r="396" customFormat="false" ht="15" hidden="false" customHeight="true" outlineLevel="0" collapsed="false">
      <c r="A396" s="23" t="n">
        <f aca="false">Daily_Returns_Raw_Data!A373</f>
        <v>42909</v>
      </c>
      <c r="B396" s="17" t="n">
        <f aca="false">SUMPRODUCT(Daily_Returns_Raw_Data!B373:X373,$AB$2:$AX$2)</f>
        <v>0.00618548169802707</v>
      </c>
      <c r="C396" s="17" t="n">
        <f aca="false">-B396</f>
        <v>-0.00618548169802707</v>
      </c>
    </row>
    <row r="397" customFormat="false" ht="15" hidden="false" customHeight="true" outlineLevel="0" collapsed="false">
      <c r="A397" s="23" t="n">
        <f aca="false">Daily_Returns_Raw_Data!A374</f>
        <v>42912</v>
      </c>
      <c r="B397" s="17" t="n">
        <f aca="false">SUMPRODUCT(Daily_Returns_Raw_Data!B374:X374,$AB$2:$AX$2)</f>
        <v>-0.00654391305819305</v>
      </c>
      <c r="C397" s="17" t="n">
        <f aca="false">-B397</f>
        <v>0.00654391305819305</v>
      </c>
    </row>
    <row r="398" customFormat="false" ht="15" hidden="false" customHeight="true" outlineLevel="0" collapsed="false">
      <c r="A398" s="23" t="n">
        <f aca="false">Daily_Returns_Raw_Data!A375</f>
        <v>42913</v>
      </c>
      <c r="B398" s="17" t="n">
        <f aca="false">SUMPRODUCT(Daily_Returns_Raw_Data!B375:X375,$AB$2:$AX$2)</f>
        <v>0.0118849866450665</v>
      </c>
      <c r="C398" s="17" t="n">
        <f aca="false">-B398</f>
        <v>-0.0118849866450665</v>
      </c>
    </row>
    <row r="399" customFormat="false" ht="15" hidden="false" customHeight="true" outlineLevel="0" collapsed="false">
      <c r="A399" s="23" t="n">
        <f aca="false">Daily_Returns_Raw_Data!A376</f>
        <v>42914</v>
      </c>
      <c r="B399" s="17" t="n">
        <f aca="false">SUMPRODUCT(Daily_Returns_Raw_Data!B376:X376,$AB$2:$AX$2)</f>
        <v>-0.00423532834206832</v>
      </c>
      <c r="C399" s="17" t="n">
        <f aca="false">-B399</f>
        <v>0.00423532834206832</v>
      </c>
    </row>
    <row r="400" customFormat="false" ht="15" hidden="false" customHeight="true" outlineLevel="0" collapsed="false">
      <c r="A400" s="23" t="n">
        <f aca="false">Daily_Returns_Raw_Data!A377</f>
        <v>42915</v>
      </c>
      <c r="B400" s="17" t="n">
        <f aca="false">SUMPRODUCT(Daily_Returns_Raw_Data!B377:X377,$AB$2:$AX$2)</f>
        <v>0.000386197243841112</v>
      </c>
      <c r="C400" s="17" t="n">
        <f aca="false">-B400</f>
        <v>-0.000386197243841112</v>
      </c>
    </row>
    <row r="401" customFormat="false" ht="15" hidden="false" customHeight="true" outlineLevel="0" collapsed="false">
      <c r="A401" s="23" t="n">
        <f aca="false">Daily_Returns_Raw_Data!A378</f>
        <v>42916</v>
      </c>
      <c r="B401" s="17" t="n">
        <f aca="false">SUMPRODUCT(Daily_Returns_Raw_Data!B378:X378,$AB$2:$AX$2)</f>
        <v>0.0070718173754014</v>
      </c>
      <c r="C401" s="17" t="n">
        <f aca="false">-B401</f>
        <v>-0.0070718173754014</v>
      </c>
    </row>
    <row r="402" customFormat="false" ht="15" hidden="false" customHeight="true" outlineLevel="0" collapsed="false">
      <c r="A402" s="23" t="n">
        <f aca="false">Daily_Returns_Raw_Data!A379</f>
        <v>42919</v>
      </c>
      <c r="B402" s="17" t="n">
        <f aca="false">SUMPRODUCT(Daily_Returns_Raw_Data!B379:X379,$AB$2:$AX$2)</f>
        <v>-0.00579691691471785</v>
      </c>
      <c r="C402" s="17" t="n">
        <f aca="false">-B402</f>
        <v>0.00579691691471785</v>
      </c>
    </row>
    <row r="403" customFormat="false" ht="15" hidden="false" customHeight="true" outlineLevel="0" collapsed="false">
      <c r="A403" s="23" t="n">
        <f aca="false">Daily_Returns_Raw_Data!A380</f>
        <v>42921</v>
      </c>
      <c r="B403" s="17" t="n">
        <f aca="false">SUMPRODUCT(Daily_Returns_Raw_Data!B380:X380,$AB$2:$AX$2)</f>
        <v>-0.0112686619619136</v>
      </c>
      <c r="C403" s="17" t="n">
        <f aca="false">-B403</f>
        <v>0.0112686619619136</v>
      </c>
    </row>
    <row r="404" customFormat="false" ht="15" hidden="false" customHeight="true" outlineLevel="0" collapsed="false">
      <c r="A404" s="23" t="n">
        <f aca="false">Daily_Returns_Raw_Data!A381</f>
        <v>42922</v>
      </c>
      <c r="B404" s="17" t="n">
        <f aca="false">SUMPRODUCT(Daily_Returns_Raw_Data!B381:X381,$AB$2:$AX$2)</f>
        <v>-0.00050300898718093</v>
      </c>
      <c r="C404" s="17" t="n">
        <f aca="false">-B404</f>
        <v>0.00050300898718093</v>
      </c>
    </row>
    <row r="405" customFormat="false" ht="15" hidden="false" customHeight="true" outlineLevel="0" collapsed="false">
      <c r="A405" s="23" t="n">
        <f aca="false">Daily_Returns_Raw_Data!A382</f>
        <v>42923</v>
      </c>
      <c r="B405" s="17" t="n">
        <f aca="false">SUMPRODUCT(Daily_Returns_Raw_Data!B382:X382,$AB$2:$AX$2)</f>
        <v>0.00595891846908269</v>
      </c>
      <c r="C405" s="17" t="n">
        <f aca="false">-B405</f>
        <v>-0.00595891846908269</v>
      </c>
    </row>
    <row r="406" customFormat="false" ht="15" hidden="false" customHeight="true" outlineLevel="0" collapsed="false">
      <c r="A406" s="23" t="n">
        <f aca="false">Daily_Returns_Raw_Data!A383</f>
        <v>42926</v>
      </c>
      <c r="B406" s="17" t="n">
        <f aca="false">SUMPRODUCT(Daily_Returns_Raw_Data!B383:X383,$AB$2:$AX$2)</f>
        <v>0.00161744016176138</v>
      </c>
      <c r="C406" s="17" t="n">
        <f aca="false">-B406</f>
        <v>-0.00161744016176138</v>
      </c>
    </row>
    <row r="407" customFormat="false" ht="15" hidden="false" customHeight="true" outlineLevel="0" collapsed="false">
      <c r="A407" s="23" t="n">
        <f aca="false">Daily_Returns_Raw_Data!A384</f>
        <v>42927</v>
      </c>
      <c r="B407" s="17" t="n">
        <f aca="false">SUMPRODUCT(Daily_Returns_Raw_Data!B384:X384,$AB$2:$AX$2)</f>
        <v>0.00982290575197526</v>
      </c>
      <c r="C407" s="17" t="n">
        <f aca="false">-B407</f>
        <v>-0.00982290575197526</v>
      </c>
    </row>
    <row r="408" customFormat="false" ht="15" hidden="false" customHeight="true" outlineLevel="0" collapsed="false">
      <c r="A408" s="23" t="n">
        <f aca="false">Daily_Returns_Raw_Data!A385</f>
        <v>42928</v>
      </c>
      <c r="B408" s="17" t="n">
        <f aca="false">SUMPRODUCT(Daily_Returns_Raw_Data!B385:X385,$AB$2:$AX$2)</f>
        <v>0.00134820402647756</v>
      </c>
      <c r="C408" s="17" t="n">
        <f aca="false">-B408</f>
        <v>-0.00134820402647756</v>
      </c>
    </row>
    <row r="409" customFormat="false" ht="15" hidden="false" customHeight="true" outlineLevel="0" collapsed="false">
      <c r="A409" s="23" t="n">
        <f aca="false">Daily_Returns_Raw_Data!A386</f>
        <v>42929</v>
      </c>
      <c r="B409" s="17" t="n">
        <f aca="false">SUMPRODUCT(Daily_Returns_Raw_Data!B386:X386,$AB$2:$AX$2)</f>
        <v>0.00521804423424458</v>
      </c>
      <c r="C409" s="17" t="n">
        <f aca="false">-B409</f>
        <v>-0.00521804423424458</v>
      </c>
    </row>
    <row r="410" customFormat="false" ht="15" hidden="false" customHeight="true" outlineLevel="0" collapsed="false">
      <c r="A410" s="23" t="n">
        <f aca="false">Daily_Returns_Raw_Data!A387</f>
        <v>42930</v>
      </c>
      <c r="B410" s="17" t="n">
        <f aca="false">SUMPRODUCT(Daily_Returns_Raw_Data!B387:X387,$AB$2:$AX$2)</f>
        <v>-0.000858999679796939</v>
      </c>
      <c r="C410" s="17" t="n">
        <f aca="false">-B410</f>
        <v>0.000858999679796939</v>
      </c>
    </row>
    <row r="411" customFormat="false" ht="15" hidden="false" customHeight="true" outlineLevel="0" collapsed="false">
      <c r="A411" s="23" t="n">
        <f aca="false">Daily_Returns_Raw_Data!A388</f>
        <v>42933</v>
      </c>
      <c r="B411" s="17" t="n">
        <f aca="false">SUMPRODUCT(Daily_Returns_Raw_Data!B388:X388,$AB$2:$AX$2)</f>
        <v>-0.00031273678842254</v>
      </c>
      <c r="C411" s="17" t="n">
        <f aca="false">-B411</f>
        <v>0.00031273678842254</v>
      </c>
    </row>
    <row r="412" customFormat="false" ht="15" hidden="false" customHeight="true" outlineLevel="0" collapsed="false">
      <c r="A412" s="23" t="n">
        <f aca="false">Daily_Returns_Raw_Data!A389</f>
        <v>42934</v>
      </c>
      <c r="B412" s="17" t="n">
        <f aca="false">SUMPRODUCT(Daily_Returns_Raw_Data!B389:X389,$AB$2:$AX$2)</f>
        <v>0.00537608525520231</v>
      </c>
      <c r="C412" s="17" t="n">
        <f aca="false">-B412</f>
        <v>-0.00537608525520231</v>
      </c>
    </row>
    <row r="413" customFormat="false" ht="15" hidden="false" customHeight="true" outlineLevel="0" collapsed="false">
      <c r="A413" s="23" t="n">
        <f aca="false">Daily_Returns_Raw_Data!A390</f>
        <v>42935</v>
      </c>
      <c r="B413" s="17" t="n">
        <f aca="false">SUMPRODUCT(Daily_Returns_Raw_Data!B390:X390,$AB$2:$AX$2)</f>
        <v>-0.00197563273730682</v>
      </c>
      <c r="C413" s="17" t="n">
        <f aca="false">-B413</f>
        <v>0.00197563273730682</v>
      </c>
    </row>
    <row r="414" customFormat="false" ht="15" hidden="false" customHeight="true" outlineLevel="0" collapsed="false">
      <c r="A414" s="23" t="n">
        <f aca="false">Daily_Returns_Raw_Data!A391</f>
        <v>42936</v>
      </c>
      <c r="B414" s="17" t="n">
        <f aca="false">SUMPRODUCT(Daily_Returns_Raw_Data!B391:X391,$AB$2:$AX$2)</f>
        <v>-0.00188052169452169</v>
      </c>
      <c r="C414" s="17" t="n">
        <f aca="false">-B414</f>
        <v>0.00188052169452169</v>
      </c>
    </row>
    <row r="415" customFormat="false" ht="15" hidden="false" customHeight="true" outlineLevel="0" collapsed="false">
      <c r="A415" s="23" t="n">
        <f aca="false">Daily_Returns_Raw_Data!A392</f>
        <v>42937</v>
      </c>
      <c r="B415" s="17" t="n">
        <f aca="false">SUMPRODUCT(Daily_Returns_Raw_Data!B392:X392,$AB$2:$AX$2)</f>
        <v>-0.00118283899264031</v>
      </c>
      <c r="C415" s="17" t="n">
        <f aca="false">-B415</f>
        <v>0.00118283899264031</v>
      </c>
    </row>
    <row r="416" customFormat="false" ht="15" hidden="false" customHeight="true" outlineLevel="0" collapsed="false">
      <c r="A416" s="23" t="n">
        <f aca="false">Daily_Returns_Raw_Data!A393</f>
        <v>42940</v>
      </c>
      <c r="B416" s="17" t="n">
        <f aca="false">SUMPRODUCT(Daily_Returns_Raw_Data!B393:X393,$AB$2:$AX$2)</f>
        <v>0.0057109416867684</v>
      </c>
      <c r="C416" s="17" t="n">
        <f aca="false">-B416</f>
        <v>-0.0057109416867684</v>
      </c>
    </row>
    <row r="417" customFormat="false" ht="15" hidden="false" customHeight="true" outlineLevel="0" collapsed="false">
      <c r="A417" s="23" t="n">
        <f aca="false">Daily_Returns_Raw_Data!A394</f>
        <v>42941</v>
      </c>
      <c r="B417" s="17" t="n">
        <f aca="false">SUMPRODUCT(Daily_Returns_Raw_Data!B394:X394,$AB$2:$AX$2)</f>
        <v>-0.00246462181966023</v>
      </c>
      <c r="C417" s="17" t="n">
        <f aca="false">-B417</f>
        <v>0.00246462181966023</v>
      </c>
    </row>
    <row r="418" customFormat="false" ht="15" hidden="false" customHeight="true" outlineLevel="0" collapsed="false">
      <c r="A418" s="23" t="n">
        <f aca="false">Daily_Returns_Raw_Data!A395</f>
        <v>42942</v>
      </c>
      <c r="B418" s="17" t="n">
        <f aca="false">SUMPRODUCT(Daily_Returns_Raw_Data!B395:X395,$AB$2:$AX$2)</f>
        <v>0.00599610918135397</v>
      </c>
      <c r="C418" s="17" t="n">
        <f aca="false">-B418</f>
        <v>-0.00599610918135397</v>
      </c>
    </row>
    <row r="419" customFormat="false" ht="15" hidden="false" customHeight="true" outlineLevel="0" collapsed="false">
      <c r="A419" s="23" t="n">
        <f aca="false">Daily_Returns_Raw_Data!A396</f>
        <v>42943</v>
      </c>
      <c r="B419" s="17" t="n">
        <f aca="false">SUMPRODUCT(Daily_Returns_Raw_Data!B396:X396,$AB$2:$AX$2)</f>
        <v>-0.00422150355307714</v>
      </c>
      <c r="C419" s="17" t="n">
        <f aca="false">-B419</f>
        <v>0.00422150355307714</v>
      </c>
    </row>
    <row r="420" customFormat="false" ht="15" hidden="false" customHeight="true" outlineLevel="0" collapsed="false">
      <c r="A420" s="23" t="n">
        <f aca="false">Daily_Returns_Raw_Data!A397</f>
        <v>42944</v>
      </c>
      <c r="B420" s="17" t="n">
        <f aca="false">SUMPRODUCT(Daily_Returns_Raw_Data!B397:X397,$AB$2:$AX$2)</f>
        <v>0.00439391561130899</v>
      </c>
      <c r="C420" s="17" t="n">
        <f aca="false">-B420</f>
        <v>-0.00439391561130899</v>
      </c>
    </row>
    <row r="421" customFormat="false" ht="15" hidden="false" customHeight="true" outlineLevel="0" collapsed="false">
      <c r="A421" s="23" t="n">
        <f aca="false">Daily_Returns_Raw_Data!A398</f>
        <v>42947</v>
      </c>
      <c r="B421" s="17" t="n">
        <f aca="false">SUMPRODUCT(Daily_Returns_Raw_Data!B398:X398,$AB$2:$AX$2)</f>
        <v>-0.000597921153148351</v>
      </c>
      <c r="C421" s="17" t="n">
        <f aca="false">-B421</f>
        <v>0.000597921153148351</v>
      </c>
    </row>
    <row r="422" customFormat="false" ht="15" hidden="false" customHeight="true" outlineLevel="0" collapsed="false">
      <c r="A422" s="23" t="n">
        <f aca="false">Daily_Returns_Raw_Data!A399</f>
        <v>42948</v>
      </c>
      <c r="B422" s="17" t="n">
        <f aca="false">SUMPRODUCT(Daily_Returns_Raw_Data!B399:X399,$AB$2:$AX$2)</f>
        <v>-0.00449423828368452</v>
      </c>
      <c r="C422" s="17" t="n">
        <f aca="false">-B422</f>
        <v>0.00449423828368452</v>
      </c>
    </row>
    <row r="423" customFormat="false" ht="15" hidden="false" customHeight="true" outlineLevel="0" collapsed="false">
      <c r="A423" s="23" t="n">
        <f aca="false">Daily_Returns_Raw_Data!A400</f>
        <v>42949</v>
      </c>
      <c r="B423" s="17" t="n">
        <f aca="false">SUMPRODUCT(Daily_Returns_Raw_Data!B400:X400,$AB$2:$AX$2)</f>
        <v>-0.0101415889876551</v>
      </c>
      <c r="C423" s="17" t="n">
        <f aca="false">-B423</f>
        <v>0.0101415889876551</v>
      </c>
    </row>
    <row r="424" customFormat="false" ht="15" hidden="false" customHeight="true" outlineLevel="0" collapsed="false">
      <c r="A424" s="23" t="n">
        <f aca="false">Daily_Returns_Raw_Data!A401</f>
        <v>42950</v>
      </c>
      <c r="B424" s="17" t="n">
        <f aca="false">SUMPRODUCT(Daily_Returns_Raw_Data!B401:X401,$AB$2:$AX$2)</f>
        <v>0.00196849591746898</v>
      </c>
      <c r="C424" s="17" t="n">
        <f aca="false">-B424</f>
        <v>-0.00196849591746898</v>
      </c>
    </row>
    <row r="425" customFormat="false" ht="15" hidden="false" customHeight="true" outlineLevel="0" collapsed="false">
      <c r="A425" s="23" t="n">
        <f aca="false">Daily_Returns_Raw_Data!A402</f>
        <v>42951</v>
      </c>
      <c r="B425" s="17" t="n">
        <f aca="false">SUMPRODUCT(Daily_Returns_Raw_Data!B402:X402,$AB$2:$AX$2)</f>
        <v>0.00427774352783424</v>
      </c>
      <c r="C425" s="17" t="n">
        <f aca="false">-B425</f>
        <v>-0.00427774352783424</v>
      </c>
    </row>
    <row r="426" customFormat="false" ht="15" hidden="false" customHeight="true" outlineLevel="0" collapsed="false">
      <c r="A426" s="23" t="n">
        <f aca="false">Daily_Returns_Raw_Data!A403</f>
        <v>42954</v>
      </c>
      <c r="B426" s="17" t="n">
        <f aca="false">SUMPRODUCT(Daily_Returns_Raw_Data!B403:X403,$AB$2:$AX$2)</f>
        <v>-0.00231970402547727</v>
      </c>
      <c r="C426" s="17" t="n">
        <f aca="false">-B426</f>
        <v>0.00231970402547727</v>
      </c>
    </row>
    <row r="427" customFormat="false" ht="15" hidden="false" customHeight="true" outlineLevel="0" collapsed="false">
      <c r="A427" s="23" t="n">
        <f aca="false">Daily_Returns_Raw_Data!A404</f>
        <v>42955</v>
      </c>
      <c r="B427" s="17" t="n">
        <f aca="false">SUMPRODUCT(Daily_Returns_Raw_Data!B404:X404,$AB$2:$AX$2)</f>
        <v>-0.0012620246080733</v>
      </c>
      <c r="C427" s="17" t="n">
        <f aca="false">-B427</f>
        <v>0.0012620246080733</v>
      </c>
    </row>
    <row r="428" customFormat="false" ht="15" hidden="false" customHeight="true" outlineLevel="0" collapsed="false">
      <c r="A428" s="23" t="n">
        <f aca="false">Daily_Returns_Raw_Data!A405</f>
        <v>42956</v>
      </c>
      <c r="B428" s="17" t="n">
        <f aca="false">SUMPRODUCT(Daily_Returns_Raw_Data!B405:X405,$AB$2:$AX$2)</f>
        <v>-0.0124260249301366</v>
      </c>
      <c r="C428" s="17" t="n">
        <f aca="false">-B428</f>
        <v>0.0124260249301366</v>
      </c>
    </row>
    <row r="429" customFormat="false" ht="15" hidden="false" customHeight="true" outlineLevel="0" collapsed="false">
      <c r="A429" s="23" t="n">
        <f aca="false">Daily_Returns_Raw_Data!A406</f>
        <v>42957</v>
      </c>
      <c r="B429" s="17" t="n">
        <f aca="false">SUMPRODUCT(Daily_Returns_Raw_Data!B406:X406,$AB$2:$AX$2)</f>
        <v>0.000384162011980525</v>
      </c>
      <c r="C429" s="17" t="n">
        <f aca="false">-B429</f>
        <v>-0.000384162011980525</v>
      </c>
    </row>
    <row r="430" customFormat="false" ht="15" hidden="false" customHeight="true" outlineLevel="0" collapsed="false">
      <c r="A430" s="23" t="n">
        <f aca="false">Daily_Returns_Raw_Data!A407</f>
        <v>42958</v>
      </c>
      <c r="B430" s="17" t="n">
        <f aca="false">SUMPRODUCT(Daily_Returns_Raw_Data!B407:X407,$AB$2:$AX$2)</f>
        <v>0.00774367058366116</v>
      </c>
      <c r="C430" s="17" t="n">
        <f aca="false">-B430</f>
        <v>-0.00774367058366116</v>
      </c>
    </row>
    <row r="431" customFormat="false" ht="15" hidden="false" customHeight="true" outlineLevel="0" collapsed="false">
      <c r="A431" s="23" t="n">
        <f aca="false">Daily_Returns_Raw_Data!A408</f>
        <v>42961</v>
      </c>
      <c r="B431" s="17" t="n">
        <f aca="false">SUMPRODUCT(Daily_Returns_Raw_Data!B408:X408,$AB$2:$AX$2)</f>
        <v>-0.00281013493778376</v>
      </c>
      <c r="C431" s="17" t="n">
        <f aca="false">-B431</f>
        <v>0.00281013493778376</v>
      </c>
    </row>
    <row r="432" customFormat="false" ht="15" hidden="false" customHeight="true" outlineLevel="0" collapsed="false">
      <c r="A432" s="23" t="n">
        <f aca="false">Daily_Returns_Raw_Data!A409</f>
        <v>42962</v>
      </c>
      <c r="B432" s="17" t="n">
        <f aca="false">SUMPRODUCT(Daily_Returns_Raw_Data!B409:X409,$AB$2:$AX$2)</f>
        <v>0.00199719458072139</v>
      </c>
      <c r="C432" s="17" t="n">
        <f aca="false">-B432</f>
        <v>-0.00199719458072139</v>
      </c>
    </row>
    <row r="433" customFormat="false" ht="15" hidden="false" customHeight="true" outlineLevel="0" collapsed="false">
      <c r="A433" s="23" t="n">
        <f aca="false">Daily_Returns_Raw_Data!A410</f>
        <v>42963</v>
      </c>
      <c r="B433" s="17" t="n">
        <f aca="false">SUMPRODUCT(Daily_Returns_Raw_Data!B410:X410,$AB$2:$AX$2)</f>
        <v>-0.0204097736580063</v>
      </c>
      <c r="C433" s="17" t="n">
        <f aca="false">-B433</f>
        <v>0.0204097736580063</v>
      </c>
    </row>
    <row r="434" customFormat="false" ht="15" hidden="false" customHeight="true" outlineLevel="0" collapsed="false">
      <c r="A434" s="23" t="n">
        <f aca="false">Daily_Returns_Raw_Data!A411</f>
        <v>42964</v>
      </c>
      <c r="B434" s="17" t="n">
        <f aca="false">SUMPRODUCT(Daily_Returns_Raw_Data!B411:X411,$AB$2:$AX$2)</f>
        <v>-0.00228681653375521</v>
      </c>
      <c r="C434" s="17" t="n">
        <f aca="false">-B434</f>
        <v>0.00228681653375521</v>
      </c>
    </row>
    <row r="435" customFormat="false" ht="15" hidden="false" customHeight="true" outlineLevel="0" collapsed="false">
      <c r="A435" s="23" t="n">
        <f aca="false">Daily_Returns_Raw_Data!A412</f>
        <v>42965</v>
      </c>
      <c r="B435" s="17" t="n">
        <f aca="false">SUMPRODUCT(Daily_Returns_Raw_Data!B412:X412,$AB$2:$AX$2)</f>
        <v>-0.00126761696778716</v>
      </c>
      <c r="C435" s="17" t="n">
        <f aca="false">-B435</f>
        <v>0.00126761696778716</v>
      </c>
    </row>
    <row r="436" customFormat="false" ht="15" hidden="false" customHeight="true" outlineLevel="0" collapsed="false">
      <c r="A436" s="23" t="n">
        <f aca="false">Daily_Returns_Raw_Data!A413</f>
        <v>42968</v>
      </c>
      <c r="B436" s="17" t="n">
        <f aca="false">SUMPRODUCT(Daily_Returns_Raw_Data!B413:X413,$AB$2:$AX$2)</f>
        <v>0.0106995748549244</v>
      </c>
      <c r="C436" s="17" t="n">
        <f aca="false">-B436</f>
        <v>-0.0106995748549244</v>
      </c>
    </row>
    <row r="437" customFormat="false" ht="15" hidden="false" customHeight="true" outlineLevel="0" collapsed="false">
      <c r="A437" s="23" t="n">
        <f aca="false">Daily_Returns_Raw_Data!A414</f>
        <v>42969</v>
      </c>
      <c r="B437" s="17" t="n">
        <f aca="false">SUMPRODUCT(Daily_Returns_Raw_Data!B414:X414,$AB$2:$AX$2)</f>
        <v>0.00396829014811066</v>
      </c>
      <c r="C437" s="17" t="n">
        <f aca="false">-B437</f>
        <v>-0.00396829014811066</v>
      </c>
    </row>
    <row r="438" customFormat="false" ht="15" hidden="false" customHeight="true" outlineLevel="0" collapsed="false">
      <c r="A438" s="23" t="n">
        <f aca="false">Daily_Returns_Raw_Data!A415</f>
        <v>42970</v>
      </c>
      <c r="B438" s="17" t="n">
        <f aca="false">SUMPRODUCT(Daily_Returns_Raw_Data!B415:X415,$AB$2:$AX$2)</f>
        <v>-0.00281005773962536</v>
      </c>
      <c r="C438" s="17" t="n">
        <f aca="false">-B438</f>
        <v>0.00281005773962536</v>
      </c>
    </row>
    <row r="439" customFormat="false" ht="15" hidden="false" customHeight="true" outlineLevel="0" collapsed="false">
      <c r="A439" s="23" t="n">
        <f aca="false">Daily_Returns_Raw_Data!A416</f>
        <v>42971</v>
      </c>
      <c r="B439" s="17" t="n">
        <f aca="false">SUMPRODUCT(Daily_Returns_Raw_Data!B416:X416,$AB$2:$AX$2)</f>
        <v>0.00629229991086642</v>
      </c>
      <c r="C439" s="17" t="n">
        <f aca="false">-B439</f>
        <v>-0.00629229991086642</v>
      </c>
    </row>
    <row r="440" customFormat="false" ht="15" hidden="false" customHeight="true" outlineLevel="0" collapsed="false">
      <c r="A440" s="23" t="n">
        <f aca="false">Daily_Returns_Raw_Data!A417</f>
        <v>42972</v>
      </c>
      <c r="B440" s="17" t="n">
        <f aca="false">SUMPRODUCT(Daily_Returns_Raw_Data!B417:X417,$AB$2:$AX$2)</f>
        <v>0.00124987317102887</v>
      </c>
      <c r="C440" s="17" t="n">
        <f aca="false">-B440</f>
        <v>-0.00124987317102887</v>
      </c>
    </row>
    <row r="441" customFormat="false" ht="15" hidden="false" customHeight="true" outlineLevel="0" collapsed="false">
      <c r="A441" s="23" t="n">
        <f aca="false">Daily_Returns_Raw_Data!A418</f>
        <v>42975</v>
      </c>
      <c r="B441" s="17" t="n">
        <f aca="false">SUMPRODUCT(Daily_Returns_Raw_Data!B418:X418,$AB$2:$AX$2)</f>
        <v>0.000311079517723742</v>
      </c>
      <c r="C441" s="17" t="n">
        <f aca="false">-B441</f>
        <v>-0.000311079517723742</v>
      </c>
    </row>
    <row r="442" customFormat="false" ht="15" hidden="false" customHeight="true" outlineLevel="0" collapsed="false">
      <c r="A442" s="23" t="n">
        <f aca="false">Daily_Returns_Raw_Data!A419</f>
        <v>42976</v>
      </c>
      <c r="B442" s="17" t="n">
        <f aca="false">SUMPRODUCT(Daily_Returns_Raw_Data!B419:X419,$AB$2:$AX$2)</f>
        <v>0.00413313473227605</v>
      </c>
      <c r="C442" s="17" t="n">
        <f aca="false">-B442</f>
        <v>-0.00413313473227605</v>
      </c>
    </row>
    <row r="443" customFormat="false" ht="15" hidden="false" customHeight="true" outlineLevel="0" collapsed="false">
      <c r="A443" s="23" t="n">
        <f aca="false">Daily_Returns_Raw_Data!A420</f>
        <v>42977</v>
      </c>
      <c r="B443" s="17" t="n">
        <f aca="false">SUMPRODUCT(Daily_Returns_Raw_Data!B420:X420,$AB$2:$AX$2)</f>
        <v>0.00610625311530902</v>
      </c>
      <c r="C443" s="17" t="n">
        <f aca="false">-B443</f>
        <v>-0.00610625311530902</v>
      </c>
    </row>
    <row r="444" customFormat="false" ht="15" hidden="false" customHeight="true" outlineLevel="0" collapsed="false">
      <c r="A444" s="23" t="n">
        <f aca="false">Daily_Returns_Raw_Data!A421</f>
        <v>42978</v>
      </c>
      <c r="B444" s="17" t="n">
        <f aca="false">SUMPRODUCT(Daily_Returns_Raw_Data!B421:X421,$AB$2:$AX$2)</f>
        <v>0.00658733947654235</v>
      </c>
      <c r="C444" s="17" t="n">
        <f aca="false">-B444</f>
        <v>-0.00658733947654235</v>
      </c>
    </row>
    <row r="445" customFormat="false" ht="15" hidden="false" customHeight="true" outlineLevel="0" collapsed="false">
      <c r="A445" s="23" t="n">
        <f aca="false">Daily_Returns_Raw_Data!A422</f>
        <v>42979</v>
      </c>
      <c r="B445" s="17" t="n">
        <f aca="false">SUMPRODUCT(Daily_Returns_Raw_Data!B422:X422,$AB$2:$AX$2)</f>
        <v>-0.00643892113175658</v>
      </c>
      <c r="C445" s="17" t="n">
        <f aca="false">-B445</f>
        <v>0.00643892113175658</v>
      </c>
    </row>
    <row r="446" customFormat="false" ht="15" hidden="false" customHeight="true" outlineLevel="0" collapsed="false">
      <c r="A446" s="23" t="n">
        <f aca="false">Daily_Returns_Raw_Data!A423</f>
        <v>42983</v>
      </c>
      <c r="B446" s="17" t="n">
        <f aca="false">SUMPRODUCT(Daily_Returns_Raw_Data!B423:X423,$AB$2:$AX$2)</f>
        <v>0.00499537975145264</v>
      </c>
      <c r="C446" s="17" t="n">
        <f aca="false">-B446</f>
        <v>-0.00499537975145264</v>
      </c>
    </row>
    <row r="447" customFormat="false" ht="15" hidden="false" customHeight="true" outlineLevel="0" collapsed="false">
      <c r="A447" s="23" t="n">
        <f aca="false">Daily_Returns_Raw_Data!A424</f>
        <v>42984</v>
      </c>
      <c r="B447" s="17" t="n">
        <f aca="false">SUMPRODUCT(Daily_Returns_Raw_Data!B424:X424,$AB$2:$AX$2)</f>
        <v>-0.00195905138779889</v>
      </c>
      <c r="C447" s="17" t="n">
        <f aca="false">-B447</f>
        <v>0.00195905138779889</v>
      </c>
    </row>
    <row r="448" customFormat="false" ht="15" hidden="false" customHeight="true" outlineLevel="0" collapsed="false">
      <c r="A448" s="23" t="n">
        <f aca="false">Daily_Returns_Raw_Data!A425</f>
        <v>42985</v>
      </c>
      <c r="B448" s="17" t="n">
        <f aca="false">SUMPRODUCT(Daily_Returns_Raw_Data!B425:X425,$AB$2:$AX$2)</f>
        <v>-0.00844806991608146</v>
      </c>
      <c r="C448" s="17" t="n">
        <f aca="false">-B448</f>
        <v>0.00844806991608146</v>
      </c>
    </row>
    <row r="449" customFormat="false" ht="15" hidden="false" customHeight="true" outlineLevel="0" collapsed="false">
      <c r="A449" s="23" t="n">
        <f aca="false">Daily_Returns_Raw_Data!A426</f>
        <v>42986</v>
      </c>
      <c r="B449" s="17" t="n">
        <f aca="false">SUMPRODUCT(Daily_Returns_Raw_Data!B426:X426,$AB$2:$AX$2)</f>
        <v>0.00927260777605132</v>
      </c>
      <c r="C449" s="17" t="n">
        <f aca="false">-B449</f>
        <v>-0.00927260777605132</v>
      </c>
    </row>
    <row r="450" customFormat="false" ht="15" hidden="false" customHeight="true" outlineLevel="0" collapsed="false">
      <c r="A450" s="23" t="n">
        <f aca="false">Daily_Returns_Raw_Data!A427</f>
        <v>42989</v>
      </c>
      <c r="B450" s="17" t="n">
        <f aca="false">SUMPRODUCT(Daily_Returns_Raw_Data!B427:X427,$AB$2:$AX$2)</f>
        <v>0.0133807170422691</v>
      </c>
      <c r="C450" s="17" t="n">
        <f aca="false">-B450</f>
        <v>-0.0133807170422691</v>
      </c>
    </row>
    <row r="451" customFormat="false" ht="15" hidden="false" customHeight="true" outlineLevel="0" collapsed="false">
      <c r="A451" s="23" t="n">
        <f aca="false">Daily_Returns_Raw_Data!A428</f>
        <v>42990</v>
      </c>
      <c r="B451" s="17" t="n">
        <f aca="false">SUMPRODUCT(Daily_Returns_Raw_Data!B428:X428,$AB$2:$AX$2)</f>
        <v>-0.00123744821065837</v>
      </c>
      <c r="C451" s="17" t="n">
        <f aca="false">-B451</f>
        <v>0.00123744821065837</v>
      </c>
    </row>
    <row r="452" customFormat="false" ht="15" hidden="false" customHeight="true" outlineLevel="0" collapsed="false">
      <c r="A452" s="23" t="n">
        <f aca="false">Daily_Returns_Raw_Data!A429</f>
        <v>42991</v>
      </c>
      <c r="B452" s="17" t="n">
        <f aca="false">SUMPRODUCT(Daily_Returns_Raw_Data!B429:X429,$AB$2:$AX$2)</f>
        <v>-1.00460612336088E-005</v>
      </c>
      <c r="C452" s="17" t="n">
        <f aca="false">-B452</f>
        <v>1.00460612336088E-005</v>
      </c>
    </row>
    <row r="453" customFormat="false" ht="15" hidden="false" customHeight="true" outlineLevel="0" collapsed="false">
      <c r="A453" s="23" t="n">
        <f aca="false">Daily_Returns_Raw_Data!A430</f>
        <v>42992</v>
      </c>
      <c r="B453" s="17" t="n">
        <f aca="false">SUMPRODUCT(Daily_Returns_Raw_Data!B430:X430,$AB$2:$AX$2)</f>
        <v>0.0049072922899137</v>
      </c>
      <c r="C453" s="17" t="n">
        <f aca="false">-B453</f>
        <v>-0.0049072922899137</v>
      </c>
    </row>
    <row r="454" customFormat="false" ht="15" hidden="false" customHeight="true" outlineLevel="0" collapsed="false">
      <c r="A454" s="23" t="n">
        <f aca="false">Daily_Returns_Raw_Data!A431</f>
        <v>42993</v>
      </c>
      <c r="B454" s="17" t="n">
        <f aca="false">SUMPRODUCT(Daily_Returns_Raw_Data!B431:X431,$AB$2:$AX$2)</f>
        <v>0.00239474948638957</v>
      </c>
      <c r="C454" s="17" t="n">
        <f aca="false">-B454</f>
        <v>-0.00239474948638957</v>
      </c>
    </row>
    <row r="455" customFormat="false" ht="15" hidden="false" customHeight="true" outlineLevel="0" collapsed="false">
      <c r="A455" s="23" t="n">
        <f aca="false">Daily_Returns_Raw_Data!A432</f>
        <v>42996</v>
      </c>
      <c r="B455" s="17" t="n">
        <f aca="false">SUMPRODUCT(Daily_Returns_Raw_Data!B432:X432,$AB$2:$AX$2)</f>
        <v>0.000861378217141639</v>
      </c>
      <c r="C455" s="17" t="n">
        <f aca="false">-B455</f>
        <v>-0.000861378217141639</v>
      </c>
    </row>
    <row r="456" customFormat="false" ht="15" hidden="false" customHeight="true" outlineLevel="0" collapsed="false">
      <c r="A456" s="23" t="n">
        <f aca="false">Daily_Returns_Raw_Data!A433</f>
        <v>42997</v>
      </c>
      <c r="B456" s="17" t="n">
        <f aca="false">SUMPRODUCT(Daily_Returns_Raw_Data!B433:X433,$AB$2:$AX$2)</f>
        <v>0.00199241915347011</v>
      </c>
      <c r="C456" s="17" t="n">
        <f aca="false">-B456</f>
        <v>-0.00199241915347011</v>
      </c>
    </row>
    <row r="457" customFormat="false" ht="15" hidden="false" customHeight="true" outlineLevel="0" collapsed="false">
      <c r="A457" s="23" t="n">
        <f aca="false">Daily_Returns_Raw_Data!A434</f>
        <v>42998</v>
      </c>
      <c r="B457" s="17" t="n">
        <f aca="false">SUMPRODUCT(Daily_Returns_Raw_Data!B434:X434,$AB$2:$AX$2)</f>
        <v>-0.00284573507286683</v>
      </c>
      <c r="C457" s="17" t="n">
        <f aca="false">-B457</f>
        <v>0.00284573507286683</v>
      </c>
    </row>
    <row r="458" customFormat="false" ht="15" hidden="false" customHeight="true" outlineLevel="0" collapsed="false">
      <c r="A458" s="23" t="n">
        <f aca="false">Daily_Returns_Raw_Data!A435</f>
        <v>42999</v>
      </c>
      <c r="B458" s="17" t="n">
        <f aca="false">SUMPRODUCT(Daily_Returns_Raw_Data!B435:X435,$AB$2:$AX$2)</f>
        <v>0.00397685238083829</v>
      </c>
      <c r="C458" s="17" t="n">
        <f aca="false">-B458</f>
        <v>-0.00397685238083829</v>
      </c>
    </row>
    <row r="459" customFormat="false" ht="15" hidden="false" customHeight="true" outlineLevel="0" collapsed="false">
      <c r="A459" s="23" t="n">
        <f aca="false">Daily_Returns_Raw_Data!A436</f>
        <v>43000</v>
      </c>
      <c r="B459" s="17" t="n">
        <f aca="false">SUMPRODUCT(Daily_Returns_Raw_Data!B436:X436,$AB$2:$AX$2)</f>
        <v>0.00251742127102387</v>
      </c>
      <c r="C459" s="17" t="n">
        <f aca="false">-B459</f>
        <v>-0.00251742127102387</v>
      </c>
    </row>
    <row r="460" customFormat="false" ht="15" hidden="false" customHeight="true" outlineLevel="0" collapsed="false">
      <c r="A460" s="23" t="n">
        <f aca="false">Daily_Returns_Raw_Data!A437</f>
        <v>43003</v>
      </c>
      <c r="B460" s="17" t="n">
        <f aca="false">SUMPRODUCT(Daily_Returns_Raw_Data!B437:X437,$AB$2:$AX$2)</f>
        <v>-0.00109527726857903</v>
      </c>
      <c r="C460" s="17" t="n">
        <f aca="false">-B460</f>
        <v>0.00109527726857903</v>
      </c>
    </row>
    <row r="461" customFormat="false" ht="15" hidden="false" customHeight="true" outlineLevel="0" collapsed="false">
      <c r="A461" s="23" t="n">
        <f aca="false">Daily_Returns_Raw_Data!A438</f>
        <v>43004</v>
      </c>
      <c r="B461" s="17" t="n">
        <f aca="false">SUMPRODUCT(Daily_Returns_Raw_Data!B438:X438,$AB$2:$AX$2)</f>
        <v>0.0018840268381566</v>
      </c>
      <c r="C461" s="17" t="n">
        <f aca="false">-B461</f>
        <v>-0.0018840268381566</v>
      </c>
    </row>
    <row r="462" customFormat="false" ht="15" hidden="false" customHeight="true" outlineLevel="0" collapsed="false">
      <c r="A462" s="23" t="n">
        <f aca="false">Daily_Returns_Raw_Data!A439</f>
        <v>43005</v>
      </c>
      <c r="B462" s="17" t="n">
        <f aca="false">SUMPRODUCT(Daily_Returns_Raw_Data!B439:X439,$AB$2:$AX$2)</f>
        <v>-0.000784480594069724</v>
      </c>
      <c r="C462" s="17" t="n">
        <f aca="false">-B462</f>
        <v>0.000784480594069724</v>
      </c>
    </row>
    <row r="463" customFormat="false" ht="15" hidden="false" customHeight="true" outlineLevel="0" collapsed="false">
      <c r="A463" s="23" t="n">
        <f aca="false">Daily_Returns_Raw_Data!A440</f>
        <v>43006</v>
      </c>
      <c r="B463" s="17" t="n">
        <f aca="false">SUMPRODUCT(Daily_Returns_Raw_Data!B440:X440,$AB$2:$AX$2)</f>
        <v>0.00276154613167482</v>
      </c>
      <c r="C463" s="17" t="n">
        <f aca="false">-B463</f>
        <v>-0.00276154613167482</v>
      </c>
    </row>
    <row r="464" customFormat="false" ht="15" hidden="false" customHeight="true" outlineLevel="0" collapsed="false">
      <c r="A464" s="23" t="n">
        <f aca="false">Daily_Returns_Raw_Data!A441</f>
        <v>43007</v>
      </c>
      <c r="B464" s="17" t="n">
        <f aca="false">SUMPRODUCT(Daily_Returns_Raw_Data!B441:X441,$AB$2:$AX$2)</f>
        <v>0.00582552890142897</v>
      </c>
      <c r="C464" s="17" t="n">
        <f aca="false">-B464</f>
        <v>-0.00582552890142897</v>
      </c>
    </row>
    <row r="465" customFormat="false" ht="15" hidden="false" customHeight="true" outlineLevel="0" collapsed="false">
      <c r="A465" s="23" t="n">
        <f aca="false">Daily_Returns_Raw_Data!A442</f>
        <v>43010</v>
      </c>
      <c r="B465" s="17" t="n">
        <f aca="false">SUMPRODUCT(Daily_Returns_Raw_Data!B442:X442,$AB$2:$AX$2)</f>
        <v>0.0107363444951587</v>
      </c>
      <c r="C465" s="17" t="n">
        <f aca="false">-B465</f>
        <v>-0.0107363444951587</v>
      </c>
    </row>
    <row r="466" customFormat="false" ht="15" hidden="false" customHeight="true" outlineLevel="0" collapsed="false">
      <c r="A466" s="23" t="n">
        <f aca="false">Daily_Returns_Raw_Data!A443</f>
        <v>43011</v>
      </c>
      <c r="B466" s="17" t="n">
        <f aca="false">SUMPRODUCT(Daily_Returns_Raw_Data!B443:X443,$AB$2:$AX$2)</f>
        <v>-0.00127629279423699</v>
      </c>
      <c r="C466" s="17" t="n">
        <f aca="false">-B466</f>
        <v>0.00127629279423699</v>
      </c>
    </row>
    <row r="467" customFormat="false" ht="15" hidden="false" customHeight="true" outlineLevel="0" collapsed="false">
      <c r="A467" s="23" t="n">
        <f aca="false">Daily_Returns_Raw_Data!A444</f>
        <v>43012</v>
      </c>
      <c r="B467" s="17" t="n">
        <f aca="false">SUMPRODUCT(Daily_Returns_Raw_Data!B444:X444,$AB$2:$AX$2)</f>
        <v>0.00426565646048377</v>
      </c>
      <c r="C467" s="17" t="n">
        <f aca="false">-B467</f>
        <v>-0.00426565646048377</v>
      </c>
    </row>
    <row r="468" customFormat="false" ht="15" hidden="false" customHeight="true" outlineLevel="0" collapsed="false">
      <c r="A468" s="23" t="n">
        <f aca="false">Daily_Returns_Raw_Data!A445</f>
        <v>43013</v>
      </c>
      <c r="B468" s="17" t="n">
        <f aca="false">SUMPRODUCT(Daily_Returns_Raw_Data!B445:X445,$AB$2:$AX$2)</f>
        <v>-0.00712056800987305</v>
      </c>
      <c r="C468" s="17" t="n">
        <f aca="false">-B468</f>
        <v>0.00712056800987305</v>
      </c>
    </row>
    <row r="469" customFormat="false" ht="15" hidden="false" customHeight="true" outlineLevel="0" collapsed="false">
      <c r="A469" s="23" t="n">
        <f aca="false">Daily_Returns_Raw_Data!A446</f>
        <v>43014</v>
      </c>
      <c r="B469" s="17" t="n">
        <f aca="false">SUMPRODUCT(Daily_Returns_Raw_Data!B446:X446,$AB$2:$AX$2)</f>
        <v>-0.004329460960801</v>
      </c>
      <c r="C469" s="17" t="n">
        <f aca="false">-B469</f>
        <v>0.004329460960801</v>
      </c>
    </row>
    <row r="470" customFormat="false" ht="15" hidden="false" customHeight="true" outlineLevel="0" collapsed="false">
      <c r="A470" s="23" t="n">
        <f aca="false">Daily_Returns_Raw_Data!A447</f>
        <v>43017</v>
      </c>
      <c r="B470" s="17" t="n">
        <f aca="false">SUMPRODUCT(Daily_Returns_Raw_Data!B447:X447,$AB$2:$AX$2)</f>
        <v>0.00323943526287889</v>
      </c>
      <c r="C470" s="17" t="n">
        <f aca="false">-B470</f>
        <v>-0.00323943526287889</v>
      </c>
    </row>
    <row r="471" customFormat="false" ht="15" hidden="false" customHeight="true" outlineLevel="0" collapsed="false">
      <c r="A471" s="23" t="n">
        <f aca="false">Daily_Returns_Raw_Data!A448</f>
        <v>43018</v>
      </c>
      <c r="B471" s="17" t="n">
        <f aca="false">SUMPRODUCT(Daily_Returns_Raw_Data!B448:X448,$AB$2:$AX$2)</f>
        <v>0.000438639261891374</v>
      </c>
      <c r="C471" s="17" t="n">
        <f aca="false">-B471</f>
        <v>-0.000438639261891374</v>
      </c>
    </row>
    <row r="472" customFormat="false" ht="15" hidden="false" customHeight="true" outlineLevel="0" collapsed="false">
      <c r="A472" s="23" t="n">
        <f aca="false">Daily_Returns_Raw_Data!A449</f>
        <v>43019</v>
      </c>
      <c r="B472" s="17" t="n">
        <f aca="false">SUMPRODUCT(Daily_Returns_Raw_Data!B449:X449,$AB$2:$AX$2)</f>
        <v>-0.00647103716255131</v>
      </c>
      <c r="C472" s="17" t="n">
        <f aca="false">-B472</f>
        <v>0.00647103716255131</v>
      </c>
    </row>
    <row r="473" customFormat="false" ht="15" hidden="false" customHeight="true" outlineLevel="0" collapsed="false">
      <c r="A473" s="23" t="n">
        <f aca="false">Daily_Returns_Raw_Data!A450</f>
        <v>43020</v>
      </c>
      <c r="B473" s="17" t="n">
        <f aca="false">SUMPRODUCT(Daily_Returns_Raw_Data!B450:X450,$AB$2:$AX$2)</f>
        <v>0.002024994128618</v>
      </c>
      <c r="C473" s="17" t="n">
        <f aca="false">-B473</f>
        <v>-0.002024994128618</v>
      </c>
    </row>
    <row r="474" customFormat="false" ht="15" hidden="false" customHeight="true" outlineLevel="0" collapsed="false">
      <c r="A474" s="23" t="n">
        <f aca="false">Daily_Returns_Raw_Data!A451</f>
        <v>43021</v>
      </c>
      <c r="B474" s="17" t="n">
        <f aca="false">SUMPRODUCT(Daily_Returns_Raw_Data!B451:X451,$AB$2:$AX$2)</f>
        <v>-0.00474323659136908</v>
      </c>
      <c r="C474" s="17" t="n">
        <f aca="false">-B474</f>
        <v>0.00474323659136908</v>
      </c>
    </row>
    <row r="475" customFormat="false" ht="15" hidden="false" customHeight="true" outlineLevel="0" collapsed="false">
      <c r="A475" s="23" t="n">
        <f aca="false">Daily_Returns_Raw_Data!A452</f>
        <v>43024</v>
      </c>
      <c r="B475" s="17" t="n">
        <f aca="false">SUMPRODUCT(Daily_Returns_Raw_Data!B452:X452,$AB$2:$AX$2)</f>
        <v>-0.00394385905709173</v>
      </c>
      <c r="C475" s="17" t="n">
        <f aca="false">-B475</f>
        <v>0.00394385905709173</v>
      </c>
    </row>
    <row r="476" customFormat="false" ht="15" hidden="false" customHeight="true" outlineLevel="0" collapsed="false">
      <c r="A476" s="23" t="n">
        <f aca="false">Daily_Returns_Raw_Data!A453</f>
        <v>43025</v>
      </c>
      <c r="B476" s="17" t="n">
        <f aca="false">SUMPRODUCT(Daily_Returns_Raw_Data!B453:X453,$AB$2:$AX$2)</f>
        <v>0.00563716429932415</v>
      </c>
      <c r="C476" s="17" t="n">
        <f aca="false">-B476</f>
        <v>-0.00563716429932415</v>
      </c>
    </row>
    <row r="477" customFormat="false" ht="15" hidden="false" customHeight="true" outlineLevel="0" collapsed="false">
      <c r="A477" s="23" t="n">
        <f aca="false">Daily_Returns_Raw_Data!A454</f>
        <v>43026</v>
      </c>
      <c r="B477" s="17" t="n">
        <f aca="false">SUMPRODUCT(Daily_Returns_Raw_Data!B454:X454,$AB$2:$AX$2)</f>
        <v>0.00203953784479493</v>
      </c>
      <c r="C477" s="17" t="n">
        <f aca="false">-B477</f>
        <v>-0.00203953784479493</v>
      </c>
    </row>
    <row r="478" customFormat="false" ht="15" hidden="false" customHeight="true" outlineLevel="0" collapsed="false">
      <c r="A478" s="23" t="n">
        <f aca="false">Daily_Returns_Raw_Data!A455</f>
        <v>43027</v>
      </c>
      <c r="B478" s="17" t="n">
        <f aca="false">SUMPRODUCT(Daily_Returns_Raw_Data!B455:X455,$AB$2:$AX$2)</f>
        <v>0.00525161162543303</v>
      </c>
      <c r="C478" s="17" t="n">
        <f aca="false">-B478</f>
        <v>-0.00525161162543303</v>
      </c>
    </row>
    <row r="479" customFormat="false" ht="15" hidden="false" customHeight="true" outlineLevel="0" collapsed="false">
      <c r="A479" s="23" t="n">
        <f aca="false">Daily_Returns_Raw_Data!A456</f>
        <v>43028</v>
      </c>
      <c r="B479" s="17" t="n">
        <f aca="false">SUMPRODUCT(Daily_Returns_Raw_Data!B456:X456,$AB$2:$AX$2)</f>
        <v>-0.00901209418600086</v>
      </c>
      <c r="C479" s="17" t="n">
        <f aca="false">-B479</f>
        <v>0.00901209418600086</v>
      </c>
    </row>
    <row r="480" customFormat="false" ht="15" hidden="false" customHeight="true" outlineLevel="0" collapsed="false">
      <c r="A480" s="23" t="n">
        <f aca="false">Daily_Returns_Raw_Data!A457</f>
        <v>43031</v>
      </c>
      <c r="B480" s="17" t="n">
        <f aca="false">SUMPRODUCT(Daily_Returns_Raw_Data!B457:X457,$AB$2:$AX$2)</f>
        <v>-0.00135431781914069</v>
      </c>
      <c r="C480" s="17" t="n">
        <f aca="false">-B480</f>
        <v>0.00135431781914069</v>
      </c>
    </row>
    <row r="481" customFormat="false" ht="15" hidden="false" customHeight="true" outlineLevel="0" collapsed="false">
      <c r="A481" s="23" t="n">
        <f aca="false">Daily_Returns_Raw_Data!A458</f>
        <v>43032</v>
      </c>
      <c r="B481" s="17" t="n">
        <f aca="false">SUMPRODUCT(Daily_Returns_Raw_Data!B458:X458,$AB$2:$AX$2)</f>
        <v>-0.00949754893132414</v>
      </c>
      <c r="C481" s="17" t="n">
        <f aca="false">-B481</f>
        <v>0.00949754893132414</v>
      </c>
    </row>
    <row r="482" customFormat="false" ht="15" hidden="false" customHeight="true" outlineLevel="0" collapsed="false">
      <c r="A482" s="23" t="n">
        <f aca="false">Daily_Returns_Raw_Data!A459</f>
        <v>43033</v>
      </c>
      <c r="B482" s="17" t="n">
        <f aca="false">SUMPRODUCT(Daily_Returns_Raw_Data!B459:X459,$AB$2:$AX$2)</f>
        <v>-0.00648589276179739</v>
      </c>
      <c r="C482" s="17" t="n">
        <f aca="false">-B482</f>
        <v>0.00648589276179739</v>
      </c>
    </row>
    <row r="483" customFormat="false" ht="15" hidden="false" customHeight="true" outlineLevel="0" collapsed="false">
      <c r="A483" s="23" t="n">
        <f aca="false">Daily_Returns_Raw_Data!A460</f>
        <v>43034</v>
      </c>
      <c r="B483" s="17" t="n">
        <f aca="false">SUMPRODUCT(Daily_Returns_Raw_Data!B460:X460,$AB$2:$AX$2)</f>
        <v>-0.00441677229407251</v>
      </c>
      <c r="C483" s="17" t="n">
        <f aca="false">-B483</f>
        <v>0.00441677229407251</v>
      </c>
    </row>
    <row r="484" customFormat="false" ht="15" hidden="false" customHeight="true" outlineLevel="0" collapsed="false">
      <c r="A484" s="23" t="n">
        <f aca="false">Daily_Returns_Raw_Data!A461</f>
        <v>43035</v>
      </c>
      <c r="B484" s="17" t="n">
        <f aca="false">SUMPRODUCT(Daily_Returns_Raw_Data!B461:X461,$AB$2:$AX$2)</f>
        <v>-0.00117627389123281</v>
      </c>
      <c r="C484" s="17" t="n">
        <f aca="false">-B484</f>
        <v>0.00117627389123281</v>
      </c>
    </row>
    <row r="485" customFormat="false" ht="15" hidden="false" customHeight="true" outlineLevel="0" collapsed="false">
      <c r="A485" s="23" t="n">
        <f aca="false">Daily_Returns_Raw_Data!A462</f>
        <v>43038</v>
      </c>
      <c r="B485" s="17" t="n">
        <f aca="false">SUMPRODUCT(Daily_Returns_Raw_Data!B462:X462,$AB$2:$AX$2)</f>
        <v>0.0017611352111405</v>
      </c>
      <c r="C485" s="17" t="n">
        <f aca="false">-B485</f>
        <v>-0.0017611352111405</v>
      </c>
    </row>
    <row r="486" customFormat="false" ht="15" hidden="false" customHeight="true" outlineLevel="0" collapsed="false">
      <c r="A486" s="23" t="n">
        <f aca="false">Daily_Returns_Raw_Data!A463</f>
        <v>43039</v>
      </c>
      <c r="B486" s="17" t="n">
        <f aca="false">SUMPRODUCT(Daily_Returns_Raw_Data!B463:X463,$AB$2:$AX$2)</f>
        <v>0.0025220871376171</v>
      </c>
      <c r="C486" s="17" t="n">
        <f aca="false">-B486</f>
        <v>-0.0025220871376171</v>
      </c>
    </row>
    <row r="487" customFormat="false" ht="15" hidden="false" customHeight="true" outlineLevel="0" collapsed="false">
      <c r="A487" s="23" t="n">
        <f aca="false">Daily_Returns_Raw_Data!A464</f>
        <v>43040</v>
      </c>
      <c r="B487" s="17" t="n">
        <f aca="false">SUMPRODUCT(Daily_Returns_Raw_Data!B464:X464,$AB$2:$AX$2)</f>
        <v>-0.000773759501679296</v>
      </c>
      <c r="C487" s="17" t="n">
        <f aca="false">-B487</f>
        <v>0.000773759501679296</v>
      </c>
    </row>
    <row r="488" customFormat="false" ht="15" hidden="false" customHeight="true" outlineLevel="0" collapsed="false">
      <c r="A488" s="23" t="n">
        <f aca="false">Daily_Returns_Raw_Data!A465</f>
        <v>43041</v>
      </c>
      <c r="B488" s="17" t="n">
        <f aca="false">SUMPRODUCT(Daily_Returns_Raw_Data!B465:X465,$AB$2:$AX$2)</f>
        <v>-0.00116671399697431</v>
      </c>
      <c r="C488" s="17" t="n">
        <f aca="false">-B488</f>
        <v>0.00116671399697431</v>
      </c>
    </row>
    <row r="489" customFormat="false" ht="15" hidden="false" customHeight="true" outlineLevel="0" collapsed="false">
      <c r="A489" s="23" t="n">
        <f aca="false">Daily_Returns_Raw_Data!A466</f>
        <v>43042</v>
      </c>
      <c r="B489" s="17" t="n">
        <f aca="false">SUMPRODUCT(Daily_Returns_Raw_Data!B466:X466,$AB$2:$AX$2)</f>
        <v>0.0111669941212089</v>
      </c>
      <c r="C489" s="17" t="n">
        <f aca="false">-B489</f>
        <v>-0.0111669941212089</v>
      </c>
    </row>
    <row r="490" customFormat="false" ht="15" hidden="false" customHeight="true" outlineLevel="0" collapsed="false">
      <c r="A490" s="23" t="n">
        <f aca="false">Daily_Returns_Raw_Data!A467</f>
        <v>43045</v>
      </c>
      <c r="B490" s="17" t="n">
        <f aca="false">SUMPRODUCT(Daily_Returns_Raw_Data!B467:X467,$AB$2:$AX$2)</f>
        <v>-0.00301181988267553</v>
      </c>
      <c r="C490" s="17" t="n">
        <f aca="false">-B490</f>
        <v>0.00301181988267553</v>
      </c>
    </row>
    <row r="491" customFormat="false" ht="15" hidden="false" customHeight="true" outlineLevel="0" collapsed="false">
      <c r="A491" s="23" t="n">
        <f aca="false">Daily_Returns_Raw_Data!A468</f>
        <v>43046</v>
      </c>
      <c r="B491" s="17" t="n">
        <f aca="false">SUMPRODUCT(Daily_Returns_Raw_Data!B468:X468,$AB$2:$AX$2)</f>
        <v>0.00502807401141577</v>
      </c>
      <c r="C491" s="17" t="n">
        <f aca="false">-B491</f>
        <v>-0.00502807401141577</v>
      </c>
    </row>
    <row r="492" customFormat="false" ht="15" hidden="false" customHeight="true" outlineLevel="0" collapsed="false">
      <c r="A492" s="23" t="n">
        <f aca="false">Daily_Returns_Raw_Data!A469</f>
        <v>43047</v>
      </c>
      <c r="B492" s="17" t="n">
        <f aca="false">SUMPRODUCT(Daily_Returns_Raw_Data!B469:X469,$AB$2:$AX$2)</f>
        <v>-0.00450408444500917</v>
      </c>
      <c r="C492" s="17" t="n">
        <f aca="false">-B492</f>
        <v>0.00450408444500917</v>
      </c>
    </row>
    <row r="493" customFormat="false" ht="15" hidden="false" customHeight="true" outlineLevel="0" collapsed="false">
      <c r="A493" s="23" t="n">
        <f aca="false">Daily_Returns_Raw_Data!A470</f>
        <v>43048</v>
      </c>
      <c r="B493" s="17" t="n">
        <f aca="false">SUMPRODUCT(Daily_Returns_Raw_Data!B470:X470,$AB$2:$AX$2)</f>
        <v>0.00613036474922341</v>
      </c>
      <c r="C493" s="17" t="n">
        <f aca="false">-B493</f>
        <v>-0.00613036474922341</v>
      </c>
    </row>
    <row r="494" customFormat="false" ht="15" hidden="false" customHeight="true" outlineLevel="0" collapsed="false">
      <c r="A494" s="23" t="n">
        <f aca="false">Daily_Returns_Raw_Data!A471</f>
        <v>43049</v>
      </c>
      <c r="B494" s="17" t="n">
        <f aca="false">SUMPRODUCT(Daily_Returns_Raw_Data!B471:X471,$AB$2:$AX$2)</f>
        <v>0.00855993036745295</v>
      </c>
      <c r="C494" s="17" t="n">
        <f aca="false">-B494</f>
        <v>-0.00855993036745295</v>
      </c>
    </row>
    <row r="495" customFormat="false" ht="15" hidden="false" customHeight="true" outlineLevel="0" collapsed="false">
      <c r="A495" s="23" t="n">
        <f aca="false">Daily_Returns_Raw_Data!A472</f>
        <v>43052</v>
      </c>
      <c r="B495" s="17" t="n">
        <f aca="false">SUMPRODUCT(Daily_Returns_Raw_Data!B472:X472,$AB$2:$AX$2)</f>
        <v>-0.00862144161730598</v>
      </c>
      <c r="C495" s="17" t="n">
        <f aca="false">-B495</f>
        <v>0.00862144161730598</v>
      </c>
    </row>
    <row r="496" customFormat="false" ht="15" hidden="false" customHeight="true" outlineLevel="0" collapsed="false">
      <c r="A496" s="23" t="n">
        <f aca="false">Daily_Returns_Raw_Data!A473</f>
        <v>43053</v>
      </c>
      <c r="B496" s="17" t="n">
        <f aca="false">SUMPRODUCT(Daily_Returns_Raw_Data!B473:X473,$AB$2:$AX$2)</f>
        <v>-0.000818579275125722</v>
      </c>
      <c r="C496" s="17" t="n">
        <f aca="false">-B496</f>
        <v>0.000818579275125722</v>
      </c>
    </row>
    <row r="497" customFormat="false" ht="15" hidden="false" customHeight="true" outlineLevel="0" collapsed="false">
      <c r="A497" s="23" t="n">
        <f aca="false">Daily_Returns_Raw_Data!A474</f>
        <v>43054</v>
      </c>
      <c r="B497" s="17" t="n">
        <f aca="false">SUMPRODUCT(Daily_Returns_Raw_Data!B474:X474,$AB$2:$AX$2)</f>
        <v>0.00401788467930931</v>
      </c>
      <c r="C497" s="17" t="n">
        <f aca="false">-B497</f>
        <v>-0.00401788467930931</v>
      </c>
    </row>
    <row r="498" customFormat="false" ht="15" hidden="false" customHeight="true" outlineLevel="0" collapsed="false">
      <c r="A498" s="23" t="n">
        <f aca="false">Daily_Returns_Raw_Data!A475</f>
        <v>43055</v>
      </c>
      <c r="B498" s="17" t="n">
        <f aca="false">SUMPRODUCT(Daily_Returns_Raw_Data!B475:X475,$AB$2:$AX$2)</f>
        <v>0.00625676781711456</v>
      </c>
      <c r="C498" s="17" t="n">
        <f aca="false">-B498</f>
        <v>-0.00625676781711456</v>
      </c>
    </row>
    <row r="499" customFormat="false" ht="15" hidden="false" customHeight="true" outlineLevel="0" collapsed="false">
      <c r="A499" s="23" t="n">
        <f aca="false">Daily_Returns_Raw_Data!A476</f>
        <v>43056</v>
      </c>
      <c r="B499" s="17" t="n">
        <f aca="false">SUMPRODUCT(Daily_Returns_Raw_Data!B476:X476,$AB$2:$AX$2)</f>
        <v>0.00445037373836657</v>
      </c>
      <c r="C499" s="17" t="n">
        <f aca="false">-B499</f>
        <v>-0.00445037373836657</v>
      </c>
    </row>
    <row r="500" customFormat="false" ht="15" hidden="false" customHeight="true" outlineLevel="0" collapsed="false">
      <c r="A500" s="23" t="n">
        <f aca="false">Daily_Returns_Raw_Data!A477</f>
        <v>43059</v>
      </c>
      <c r="B500" s="17" t="n">
        <f aca="false">SUMPRODUCT(Daily_Returns_Raw_Data!B477:X477,$AB$2:$AX$2)</f>
        <v>0.0068074300458989</v>
      </c>
      <c r="C500" s="17" t="n">
        <f aca="false">-B500</f>
        <v>-0.0068074300458989</v>
      </c>
    </row>
    <row r="501" customFormat="false" ht="15" hidden="false" customHeight="true" outlineLevel="0" collapsed="false">
      <c r="A501" s="23" t="n">
        <f aca="false">Daily_Returns_Raw_Data!A478</f>
        <v>43060</v>
      </c>
      <c r="B501" s="17" t="n">
        <f aca="false">SUMPRODUCT(Daily_Returns_Raw_Data!B478:X478,$AB$2:$AX$2)</f>
        <v>0.00672636562128587</v>
      </c>
      <c r="C501" s="17" t="n">
        <f aca="false">-B501</f>
        <v>-0.00672636562128587</v>
      </c>
    </row>
    <row r="502" customFormat="false" ht="15" hidden="false" customHeight="true" outlineLevel="0" collapsed="false">
      <c r="A502" s="23" t="n">
        <f aca="false">Daily_Returns_Raw_Data!A479</f>
        <v>43061</v>
      </c>
      <c r="B502" s="17" t="n">
        <f aca="false">SUMPRODUCT(Daily_Returns_Raw_Data!B479:X479,$AB$2:$AX$2)</f>
        <v>0.00290116474482622</v>
      </c>
      <c r="C502" s="17" t="n">
        <f aca="false">-B502</f>
        <v>-0.00290116474482622</v>
      </c>
    </row>
    <row r="503" customFormat="false" ht="15" hidden="false" customHeight="true" outlineLevel="0" collapsed="false">
      <c r="A503" s="23" t="n">
        <f aca="false">Daily_Returns_Raw_Data!A480</f>
        <v>43063</v>
      </c>
      <c r="B503" s="17" t="n">
        <f aca="false">SUMPRODUCT(Daily_Returns_Raw_Data!B480:X480,$AB$2:$AX$2)</f>
        <v>0.0030040481737819</v>
      </c>
      <c r="C503" s="17" t="n">
        <f aca="false">-B503</f>
        <v>-0.0030040481737819</v>
      </c>
    </row>
    <row r="504" customFormat="false" ht="15" hidden="false" customHeight="true" outlineLevel="0" collapsed="false">
      <c r="A504" s="23" t="n">
        <f aca="false">Daily_Returns_Raw_Data!A481</f>
        <v>43066</v>
      </c>
      <c r="B504" s="17" t="n">
        <f aca="false">SUMPRODUCT(Daily_Returns_Raw_Data!B481:X481,$AB$2:$AX$2)</f>
        <v>0.0111897731116876</v>
      </c>
      <c r="C504" s="17" t="n">
        <f aca="false">-B504</f>
        <v>-0.0111897731116876</v>
      </c>
    </row>
    <row r="505" customFormat="false" ht="15" hidden="false" customHeight="true" outlineLevel="0" collapsed="false">
      <c r="A505" s="23" t="n">
        <f aca="false">Daily_Returns_Raw_Data!A482</f>
        <v>43067</v>
      </c>
      <c r="B505" s="17" t="n">
        <f aca="false">SUMPRODUCT(Daily_Returns_Raw_Data!B482:X482,$AB$2:$AX$2)</f>
        <v>-0.000444951898728758</v>
      </c>
      <c r="C505" s="17" t="n">
        <f aca="false">-B505</f>
        <v>0.000444951898728758</v>
      </c>
    </row>
    <row r="506" customFormat="false" ht="15" hidden="false" customHeight="true" outlineLevel="0" collapsed="false">
      <c r="A506" s="23" t="n">
        <f aca="false">Daily_Returns_Raw_Data!A483</f>
        <v>43068</v>
      </c>
      <c r="B506" s="17" t="n">
        <f aca="false">SUMPRODUCT(Daily_Returns_Raw_Data!B483:X483,$AB$2:$AX$2)</f>
        <v>0.00755855759666998</v>
      </c>
      <c r="C506" s="17" t="n">
        <f aca="false">-B506</f>
        <v>-0.00755855759666998</v>
      </c>
    </row>
    <row r="507" customFormat="false" ht="15" hidden="false" customHeight="true" outlineLevel="0" collapsed="false">
      <c r="A507" s="23" t="n">
        <f aca="false">Daily_Returns_Raw_Data!A484</f>
        <v>43069</v>
      </c>
      <c r="B507" s="17" t="n">
        <f aca="false">SUMPRODUCT(Daily_Returns_Raw_Data!B484:X484,$AB$2:$AX$2)</f>
        <v>0.00063180150166472</v>
      </c>
      <c r="C507" s="17" t="n">
        <f aca="false">-B507</f>
        <v>-0.00063180150166472</v>
      </c>
    </row>
    <row r="508" customFormat="false" ht="15" hidden="false" customHeight="true" outlineLevel="0" collapsed="false">
      <c r="A508" s="23" t="n">
        <f aca="false">Daily_Returns_Raw_Data!A485</f>
        <v>43070</v>
      </c>
      <c r="B508" s="17" t="n">
        <f aca="false">SUMPRODUCT(Daily_Returns_Raw_Data!B485:X485,$AB$2:$AX$2)</f>
        <v>0.008596964542123</v>
      </c>
      <c r="C508" s="17" t="n">
        <f aca="false">-B508</f>
        <v>-0.008596964542123</v>
      </c>
    </row>
    <row r="509" customFormat="false" ht="15" hidden="false" customHeight="true" outlineLevel="0" collapsed="false">
      <c r="A509" s="23" t="n">
        <f aca="false">Daily_Returns_Raw_Data!A486</f>
        <v>43073</v>
      </c>
      <c r="B509" s="17" t="n">
        <f aca="false">SUMPRODUCT(Daily_Returns_Raw_Data!B486:X486,$AB$2:$AX$2)</f>
        <v>-0.00752025872795213</v>
      </c>
      <c r="C509" s="17" t="n">
        <f aca="false">-B509</f>
        <v>0.00752025872795213</v>
      </c>
    </row>
    <row r="510" customFormat="false" ht="15" hidden="false" customHeight="true" outlineLevel="0" collapsed="false">
      <c r="A510" s="23" t="n">
        <f aca="false">Daily_Returns_Raw_Data!A487</f>
        <v>43074</v>
      </c>
      <c r="B510" s="17" t="n">
        <f aca="false">SUMPRODUCT(Daily_Returns_Raw_Data!B487:X487,$AB$2:$AX$2)</f>
        <v>-0.00928992419687637</v>
      </c>
      <c r="C510" s="17" t="n">
        <f aca="false">-B510</f>
        <v>0.00928992419687637</v>
      </c>
    </row>
    <row r="511" customFormat="false" ht="15" hidden="false" customHeight="true" outlineLevel="0" collapsed="false">
      <c r="A511" s="23" t="n">
        <f aca="false">Daily_Returns_Raw_Data!A488</f>
        <v>43075</v>
      </c>
      <c r="B511" s="17" t="n">
        <f aca="false">SUMPRODUCT(Daily_Returns_Raw_Data!B488:X488,$AB$2:$AX$2)</f>
        <v>-2.33776040153699E-005</v>
      </c>
      <c r="C511" s="17" t="n">
        <f aca="false">-B511</f>
        <v>2.33776040153699E-005</v>
      </c>
    </row>
    <row r="512" customFormat="false" ht="15" hidden="false" customHeight="true" outlineLevel="0" collapsed="false">
      <c r="A512" s="23" t="n">
        <f aca="false">Daily_Returns_Raw_Data!A489</f>
        <v>43076</v>
      </c>
      <c r="B512" s="17" t="n">
        <f aca="false">SUMPRODUCT(Daily_Returns_Raw_Data!B489:X489,$AB$2:$AX$2)</f>
        <v>0.0107702389206324</v>
      </c>
      <c r="C512" s="17" t="n">
        <f aca="false">-B512</f>
        <v>-0.0107702389206324</v>
      </c>
    </row>
    <row r="513" customFormat="false" ht="15" hidden="false" customHeight="true" outlineLevel="0" collapsed="false">
      <c r="A513" s="23" t="n">
        <f aca="false">Daily_Returns_Raw_Data!A490</f>
        <v>43077</v>
      </c>
      <c r="B513" s="17" t="n">
        <f aca="false">SUMPRODUCT(Daily_Returns_Raw_Data!B490:X490,$AB$2:$AX$2)</f>
        <v>0.00484288300594568</v>
      </c>
      <c r="C513" s="17" t="n">
        <f aca="false">-B513</f>
        <v>-0.00484288300594568</v>
      </c>
    </row>
    <row r="514" customFormat="false" ht="15" hidden="false" customHeight="true" outlineLevel="0" collapsed="false">
      <c r="A514" s="23" t="n">
        <f aca="false">Daily_Returns_Raw_Data!A491</f>
        <v>43080</v>
      </c>
      <c r="B514" s="17" t="n">
        <f aca="false">SUMPRODUCT(Daily_Returns_Raw_Data!B491:X491,$AB$2:$AX$2)</f>
        <v>0.00701668213165762</v>
      </c>
      <c r="C514" s="17" t="n">
        <f aca="false">-B514</f>
        <v>-0.00701668213165762</v>
      </c>
    </row>
    <row r="515" customFormat="false" ht="15" hidden="false" customHeight="true" outlineLevel="0" collapsed="false">
      <c r="A515" s="23" t="n">
        <f aca="false">Daily_Returns_Raw_Data!A492</f>
        <v>43081</v>
      </c>
      <c r="B515" s="17" t="n">
        <f aca="false">SUMPRODUCT(Daily_Returns_Raw_Data!B492:X492,$AB$2:$AX$2)</f>
        <v>-0.00236781918341221</v>
      </c>
      <c r="C515" s="17" t="n">
        <f aca="false">-B515</f>
        <v>0.00236781918341221</v>
      </c>
    </row>
    <row r="516" customFormat="false" ht="15" hidden="false" customHeight="true" outlineLevel="0" collapsed="false">
      <c r="A516" s="23" t="n">
        <f aca="false">Daily_Returns_Raw_Data!A493</f>
        <v>43082</v>
      </c>
      <c r="B516" s="17" t="n">
        <f aca="false">SUMPRODUCT(Daily_Returns_Raw_Data!B493:X493,$AB$2:$AX$2)</f>
        <v>-0.00891309664639047</v>
      </c>
      <c r="C516" s="17" t="n">
        <f aca="false">-B516</f>
        <v>0.00891309664639047</v>
      </c>
    </row>
    <row r="517" customFormat="false" ht="15" hidden="false" customHeight="true" outlineLevel="0" collapsed="false">
      <c r="A517" s="23" t="n">
        <f aca="false">Daily_Returns_Raw_Data!A494</f>
        <v>43083</v>
      </c>
      <c r="B517" s="17" t="n">
        <f aca="false">SUMPRODUCT(Daily_Returns_Raw_Data!B494:X494,$AB$2:$AX$2)</f>
        <v>0.00336786960643475</v>
      </c>
      <c r="C517" s="17" t="n">
        <f aca="false">-B517</f>
        <v>-0.00336786960643475</v>
      </c>
    </row>
    <row r="518" customFormat="false" ht="15" hidden="false" customHeight="true" outlineLevel="0" collapsed="false">
      <c r="A518" s="23" t="n">
        <f aca="false">Daily_Returns_Raw_Data!A495</f>
        <v>43084</v>
      </c>
      <c r="B518" s="17" t="n">
        <f aca="false">SUMPRODUCT(Daily_Returns_Raw_Data!B495:X495,$AB$2:$AX$2)</f>
        <v>0.00916408253521589</v>
      </c>
      <c r="C518" s="17" t="n">
        <f aca="false">-B518</f>
        <v>-0.00916408253521589</v>
      </c>
    </row>
    <row r="519" customFormat="false" ht="15" hidden="false" customHeight="true" outlineLevel="0" collapsed="false">
      <c r="A519" s="23" t="n">
        <f aca="false">Daily_Returns_Raw_Data!A496</f>
        <v>43087</v>
      </c>
      <c r="B519" s="17" t="n">
        <f aca="false">SUMPRODUCT(Daily_Returns_Raw_Data!B496:X496,$AB$2:$AX$2)</f>
        <v>-0.00321481785618927</v>
      </c>
      <c r="C519" s="17" t="n">
        <f aca="false">-B519</f>
        <v>0.00321481785618927</v>
      </c>
    </row>
    <row r="520" customFormat="false" ht="15" hidden="false" customHeight="true" outlineLevel="0" collapsed="false">
      <c r="A520" s="23" t="n">
        <f aca="false">Daily_Returns_Raw_Data!A497</f>
        <v>43088</v>
      </c>
      <c r="B520" s="17" t="n">
        <f aca="false">SUMPRODUCT(Daily_Returns_Raw_Data!B497:X497,$AB$2:$AX$2)</f>
        <v>0.00372404131999309</v>
      </c>
      <c r="C520" s="17" t="n">
        <f aca="false">-B520</f>
        <v>-0.00372404131999309</v>
      </c>
    </row>
    <row r="521" customFormat="false" ht="15" hidden="false" customHeight="true" outlineLevel="0" collapsed="false">
      <c r="A521" s="23" t="n">
        <f aca="false">Daily_Returns_Raw_Data!A498</f>
        <v>43089</v>
      </c>
      <c r="B521" s="17" t="n">
        <f aca="false">SUMPRODUCT(Daily_Returns_Raw_Data!B498:X498,$AB$2:$AX$2)</f>
        <v>0.00673074503367749</v>
      </c>
      <c r="C521" s="17" t="n">
        <f aca="false">-B521</f>
        <v>-0.00673074503367749</v>
      </c>
    </row>
    <row r="522" customFormat="false" ht="15" hidden="false" customHeight="true" outlineLevel="0" collapsed="false">
      <c r="A522" s="23" t="n">
        <f aca="false">Daily_Returns_Raw_Data!A499</f>
        <v>43090</v>
      </c>
      <c r="B522" s="17" t="n">
        <f aca="false">SUMPRODUCT(Daily_Returns_Raw_Data!B499:X499,$AB$2:$AX$2)</f>
        <v>0.0012250493729429</v>
      </c>
      <c r="C522" s="17" t="n">
        <f aca="false">-B522</f>
        <v>-0.0012250493729429</v>
      </c>
    </row>
    <row r="523" customFormat="false" ht="15" hidden="false" customHeight="true" outlineLevel="0" collapsed="false">
      <c r="A523" s="23" t="n">
        <f aca="false">Daily_Returns_Raw_Data!A500</f>
        <v>43091</v>
      </c>
      <c r="B523" s="17" t="n">
        <f aca="false">SUMPRODUCT(Daily_Returns_Raw_Data!B500:X500,$AB$2:$AX$2)</f>
        <v>0.0063497699252599</v>
      </c>
      <c r="C523" s="17" t="n">
        <f aca="false">-B523</f>
        <v>-0.0063497699252599</v>
      </c>
    </row>
    <row r="524" customFormat="false" ht="15" hidden="false" customHeight="true" outlineLevel="0" collapsed="false">
      <c r="A524" s="23" t="n">
        <f aca="false">Daily_Returns_Raw_Data!A501</f>
        <v>43095</v>
      </c>
      <c r="B524" s="17" t="n">
        <f aca="false">SUMPRODUCT(Daily_Returns_Raw_Data!B501:X501,$AB$2:$AX$2)</f>
        <v>-0.000394577171552799</v>
      </c>
      <c r="C524" s="17" t="n">
        <f aca="false">-B524</f>
        <v>0.000394577171552799</v>
      </c>
    </row>
    <row r="525" customFormat="false" ht="15" hidden="false" customHeight="true" outlineLevel="0" collapsed="false">
      <c r="A525" s="23" t="n">
        <f aca="false">Daily_Returns_Raw_Data!A502</f>
        <v>43096</v>
      </c>
      <c r="B525" s="17" t="n">
        <f aca="false">SUMPRODUCT(Daily_Returns_Raw_Data!B502:X502,$AB$2:$AX$2)</f>
        <v>0.00807558630909445</v>
      </c>
      <c r="C525" s="17" t="n">
        <f aca="false">-B525</f>
        <v>-0.00807558630909445</v>
      </c>
    </row>
    <row r="526" customFormat="false" ht="15" hidden="false" customHeight="true" outlineLevel="0" collapsed="false">
      <c r="A526" s="23" t="n">
        <f aca="false">Daily_Returns_Raw_Data!A503</f>
        <v>43097</v>
      </c>
      <c r="B526" s="17" t="n">
        <f aca="false">SUMPRODUCT(Daily_Returns_Raw_Data!B503:X503,$AB$2:$AX$2)</f>
        <v>-0.00221859832600325</v>
      </c>
      <c r="C526" s="17" t="n">
        <f aca="false">-B526</f>
        <v>0.00221859832600325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3" min="2" style="1" width="20"/>
    <col collapsed="false" customWidth="true" hidden="false" outlineLevel="0" max="5" min="5" style="1" width="26"/>
    <col collapsed="false" customWidth="true" hidden="false" outlineLevel="0" max="7" min="6" style="1" width="16"/>
  </cols>
  <sheetData>
    <row r="1" customFormat="false" ht="15.75" hidden="false" customHeight="true" outlineLevel="0" collapsed="false">
      <c r="A1" s="2" t="s">
        <v>91</v>
      </c>
    </row>
    <row r="2" customFormat="false" ht="15" hidden="false" customHeight="true" outlineLevel="0" collapsed="false">
      <c r="A2" s="8" t="s">
        <v>92</v>
      </c>
    </row>
    <row r="3" customFormat="false" ht="15" hidden="false" customHeight="true" outlineLevel="0" collapsed="false">
      <c r="E3" s="9" t="s">
        <v>25</v>
      </c>
      <c r="F3" s="13" t="n">
        <v>0.9</v>
      </c>
    </row>
    <row r="4" customFormat="false" ht="15" hidden="false" customHeight="true" outlineLevel="0" collapsed="false">
      <c r="A4" s="22" t="s">
        <v>93</v>
      </c>
      <c r="B4" s="22" t="s">
        <v>94</v>
      </c>
      <c r="C4" s="22" t="s">
        <v>95</v>
      </c>
      <c r="E4" s="9" t="s">
        <v>96</v>
      </c>
      <c r="F4" s="14" t="n">
        <f aca="false">COUNT(B5:B14)</f>
        <v>10</v>
      </c>
    </row>
    <row r="5" customFormat="false" ht="15" hidden="false" customHeight="true" outlineLevel="0" collapsed="false">
      <c r="A5" s="5" t="n">
        <v>1</v>
      </c>
      <c r="B5" s="24" t="n">
        <v>-0.012</v>
      </c>
      <c r="C5" s="24" t="n">
        <v>-0.012</v>
      </c>
      <c r="E5" s="9" t="s">
        <v>97</v>
      </c>
      <c r="F5" s="14" t="n">
        <f aca="false">ROUNDUP(F3*F4,0)</f>
        <v>9</v>
      </c>
    </row>
    <row r="6" customFormat="false" ht="15" hidden="false" customHeight="true" outlineLevel="0" collapsed="false">
      <c r="A6" s="5" t="n">
        <v>2</v>
      </c>
      <c r="B6" s="24" t="n">
        <v>0.021</v>
      </c>
      <c r="C6" s="24" t="n">
        <v>0.021</v>
      </c>
    </row>
    <row r="7" customFormat="false" ht="15" hidden="false" customHeight="true" outlineLevel="0" collapsed="false">
      <c r="A7" s="5" t="n">
        <v>3</v>
      </c>
      <c r="B7" s="24" t="n">
        <v>0.0212</v>
      </c>
      <c r="C7" s="24" t="n">
        <v>0.0212</v>
      </c>
      <c r="F7" s="25" t="s">
        <v>98</v>
      </c>
      <c r="G7" s="25" t="s">
        <v>99</v>
      </c>
    </row>
    <row r="8" customFormat="false" ht="15" hidden="false" customHeight="true" outlineLevel="0" collapsed="false">
      <c r="A8" s="5" t="n">
        <v>4</v>
      </c>
      <c r="B8" s="24" t="n">
        <v>0.0111</v>
      </c>
      <c r="C8" s="24" t="n">
        <v>0.0111</v>
      </c>
      <c r="E8" s="5" t="s">
        <v>100</v>
      </c>
      <c r="F8" s="26" t="n">
        <f aca="false">-LARGE(B5:B14,$F$5)</f>
        <v>0.0195</v>
      </c>
      <c r="G8" s="26" t="n">
        <f aca="false">-LARGE(C5:C14,$F$5)</f>
        <v>0.0195</v>
      </c>
    </row>
    <row r="9" customFormat="false" ht="15" hidden="false" customHeight="true" outlineLevel="0" collapsed="false">
      <c r="A9" s="5" t="n">
        <v>5</v>
      </c>
      <c r="B9" s="24" t="n">
        <v>-0.0054</v>
      </c>
      <c r="C9" s="24" t="n">
        <v>-0.0054</v>
      </c>
      <c r="E9" s="5" t="s">
        <v>82</v>
      </c>
      <c r="F9" s="14" t="n">
        <f aca="false">COUNTIF(B5:B14,"&lt;"&amp;-F8)</f>
        <v>1</v>
      </c>
      <c r="G9" s="14" t="n">
        <f aca="false">COUNTIF(C5:C14,"&lt;"&amp;-G8)</f>
        <v>1</v>
      </c>
    </row>
    <row r="10" customFormat="false" ht="15" hidden="false" customHeight="true" outlineLevel="0" collapsed="false">
      <c r="A10" s="5" t="n">
        <v>6</v>
      </c>
      <c r="B10" s="24" t="n">
        <v>0.0254</v>
      </c>
      <c r="C10" s="24" t="n">
        <v>0.0254</v>
      </c>
      <c r="E10" s="5" t="s">
        <v>101</v>
      </c>
      <c r="F10" s="26" t="n">
        <f aca="false">-AVERAGEIF(B5:B14,"&lt;"&amp;-F8)</f>
        <v>0.021</v>
      </c>
      <c r="G10" s="26" t="n">
        <f aca="false">-AVERAGEIF(C5:C14,"&lt;"&amp;-G8)</f>
        <v>0.03</v>
      </c>
    </row>
    <row r="11" customFormat="false" ht="15" hidden="false" customHeight="true" outlineLevel="0" collapsed="false">
      <c r="A11" s="5" t="n">
        <v>7</v>
      </c>
      <c r="B11" s="24" t="n">
        <v>-0.0195</v>
      </c>
      <c r="C11" s="24" t="n">
        <v>-0.0195</v>
      </c>
      <c r="E11" s="5" t="s">
        <v>85</v>
      </c>
      <c r="F11" s="26" t="n">
        <f aca="false">-F10</f>
        <v>-0.021</v>
      </c>
      <c r="G11" s="26" t="n">
        <f aca="false">-G10</f>
        <v>-0.03</v>
      </c>
    </row>
    <row r="12" customFormat="false" ht="15" hidden="false" customHeight="true" outlineLevel="0" collapsed="false">
      <c r="A12" s="5" t="n">
        <v>8</v>
      </c>
      <c r="B12" s="24" t="n">
        <v>-0.003</v>
      </c>
      <c r="C12" s="24" t="n">
        <v>-0.003</v>
      </c>
      <c r="E12" s="5"/>
    </row>
    <row r="13" customFormat="false" ht="15" hidden="false" customHeight="true" outlineLevel="0" collapsed="false">
      <c r="A13" s="5" t="n">
        <v>9</v>
      </c>
      <c r="B13" s="24" t="n">
        <v>0.008</v>
      </c>
      <c r="C13" s="24" t="n">
        <v>0.008</v>
      </c>
      <c r="E13" s="5" t="s">
        <v>102</v>
      </c>
      <c r="F13" s="18" t="n">
        <f aca="false">-PERCENTILE(B5:B14,1-$F$3)</f>
        <v>0.01965</v>
      </c>
      <c r="G13" s="18" t="n">
        <f aca="false">-PERCENTILE(C5:C14,1-$F$3)</f>
        <v>0.02055</v>
      </c>
    </row>
    <row r="14" customFormat="false" ht="15" hidden="false" customHeight="true" outlineLevel="0" collapsed="false">
      <c r="A14" s="5" t="n">
        <v>10</v>
      </c>
      <c r="B14" s="24" t="n">
        <v>-0.021</v>
      </c>
      <c r="C14" s="24" t="n">
        <v>-0.03</v>
      </c>
    </row>
    <row r="15" customFormat="false" ht="15" hidden="false" customHeight="true" outlineLevel="0" collapsed="false">
      <c r="E15" s="9" t="s">
        <v>103</v>
      </c>
      <c r="F15" s="5" t="str">
        <f aca="false">IF(F8=G8,"YES - identical","NO")</f>
        <v>YES - identical</v>
      </c>
    </row>
    <row r="16" customFormat="false" ht="15" hidden="false" customHeight="true" outlineLevel="0" collapsed="false">
      <c r="E16" s="9" t="s">
        <v>104</v>
      </c>
      <c r="F16" s="21" t="n">
        <f aca="false">G10-F10</f>
        <v>0.009</v>
      </c>
      <c r="G16" s="8" t="s">
        <v>105</v>
      </c>
    </row>
    <row r="17" customFormat="false" ht="15" hidden="false" customHeight="true" outlineLevel="0" collapsed="false">
      <c r="E17" s="5" t="s">
        <v>106</v>
      </c>
      <c r="F17" s="26" t="n">
        <f aca="false">G11-F11</f>
        <v>-0.009</v>
      </c>
    </row>
    <row r="19" customFormat="false" ht="15" hidden="false" customHeight="true" outlineLevel="0" collapsed="false">
      <c r="E19" s="27" t="s">
        <v>107</v>
      </c>
      <c r="F19" s="27"/>
      <c r="G19" s="27"/>
      <c r="H19" s="27"/>
      <c r="I19" s="27"/>
      <c r="J19" s="27"/>
      <c r="K19" s="27"/>
      <c r="L19" s="27"/>
      <c r="M19" s="27"/>
    </row>
    <row r="20" customFormat="false" ht="15" hidden="false" customHeight="true" outlineLevel="0" collapsed="false">
      <c r="E20" s="27"/>
      <c r="F20" s="27"/>
      <c r="G20" s="27"/>
      <c r="H20" s="27"/>
      <c r="I20" s="27"/>
      <c r="J20" s="27"/>
      <c r="K20" s="27"/>
      <c r="L20" s="27"/>
      <c r="M20" s="27"/>
    </row>
    <row r="21" customFormat="false" ht="15" hidden="false" customHeight="true" outlineLevel="0" collapsed="false">
      <c r="E21" s="27"/>
      <c r="F21" s="27"/>
      <c r="G21" s="27"/>
      <c r="H21" s="27"/>
      <c r="I21" s="27"/>
      <c r="J21" s="27"/>
      <c r="K21" s="27"/>
      <c r="L21" s="27"/>
      <c r="M21" s="27"/>
    </row>
    <row r="22" customFormat="false" ht="15" hidden="false" customHeight="true" outlineLevel="0" collapsed="false">
      <c r="E22" s="27"/>
      <c r="F22" s="27"/>
      <c r="G22" s="27"/>
      <c r="H22" s="27"/>
      <c r="I22" s="27"/>
      <c r="J22" s="27"/>
      <c r="K22" s="27"/>
      <c r="L22" s="27"/>
      <c r="M22" s="27"/>
    </row>
    <row r="23" customFormat="false" ht="15" hidden="false" customHeight="true" outlineLevel="0" collapsed="false">
      <c r="E23" s="27"/>
      <c r="F23" s="27"/>
      <c r="G23" s="27"/>
      <c r="H23" s="27"/>
      <c r="I23" s="27"/>
      <c r="J23" s="27"/>
      <c r="K23" s="27"/>
      <c r="L23" s="27"/>
      <c r="M23" s="27"/>
    </row>
    <row r="25" customFormat="false" ht="15" hidden="false" customHeight="true" outlineLevel="0" collapsed="false">
      <c r="E25" s="27" t="s">
        <v>108</v>
      </c>
      <c r="F25" s="27"/>
      <c r="G25" s="27"/>
      <c r="H25" s="27"/>
      <c r="I25" s="27"/>
      <c r="J25" s="27"/>
      <c r="K25" s="27"/>
      <c r="L25" s="27"/>
      <c r="M25" s="27"/>
    </row>
    <row r="26" customFormat="false" ht="15" hidden="false" customHeight="true" outlineLevel="0" collapsed="false">
      <c r="E26" s="27"/>
      <c r="F26" s="27"/>
      <c r="G26" s="27"/>
      <c r="H26" s="27"/>
      <c r="I26" s="27"/>
      <c r="J26" s="27"/>
      <c r="K26" s="27"/>
      <c r="L26" s="27"/>
      <c r="M26" s="27"/>
    </row>
    <row r="27" customFormat="false" ht="15" hidden="false" customHeight="true" outlineLevel="0" collapsed="false">
      <c r="E27" s="27"/>
      <c r="F27" s="27"/>
      <c r="G27" s="27"/>
      <c r="H27" s="27"/>
      <c r="I27" s="27"/>
      <c r="J27" s="27"/>
      <c r="K27" s="27"/>
      <c r="L27" s="27"/>
      <c r="M27" s="27"/>
    </row>
    <row r="28" customFormat="false" ht="15" hidden="false" customHeight="true" outlineLevel="0" collapsed="false">
      <c r="E28" s="27"/>
      <c r="F28" s="27"/>
      <c r="G28" s="27"/>
      <c r="H28" s="27"/>
      <c r="I28" s="27"/>
      <c r="J28" s="27"/>
      <c r="K28" s="27"/>
      <c r="L28" s="27"/>
      <c r="M28" s="27"/>
    </row>
  </sheetData>
  <mergeCells count="2">
    <mergeCell ref="E19:M23"/>
    <mergeCell ref="E25:M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4" topLeftCell="A2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18"/>
    <col collapsed="false" customWidth="true" hidden="false" outlineLevel="0" max="5" min="5" style="1" width="22"/>
    <col collapsed="false" customWidth="true" hidden="false" outlineLevel="0" max="7" min="7" style="1" width="40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2" t="s">
        <v>109</v>
      </c>
      <c r="AA1" s="9" t="s">
        <v>69</v>
      </c>
      <c r="AB1" s="9" t="str">
        <f aca="false">Daily_Returns_Raw_Data!B1</f>
        <v>IBM</v>
      </c>
      <c r="AC1" s="9" t="str">
        <f aca="false">Daily_Returns_Raw_Data!C1</f>
        <v>GE</v>
      </c>
      <c r="AD1" s="9" t="str">
        <f aca="false">Daily_Returns_Raw_Data!D1</f>
        <v>LLY</v>
      </c>
      <c r="AE1" s="9" t="str">
        <f aca="false">Daily_Returns_Raw_Data!E1</f>
        <v>F</v>
      </c>
      <c r="AF1" s="9" t="str">
        <f aca="false">Daily_Returns_Raw_Data!F1</f>
        <v>BAC</v>
      </c>
      <c r="AG1" s="9" t="str">
        <f aca="false">Daily_Returns_Raw_Data!G1</f>
        <v>KR</v>
      </c>
      <c r="AH1" s="9" t="str">
        <f aca="false">Daily_Returns_Raw_Data!H1</f>
        <v>ITUB</v>
      </c>
      <c r="AI1" s="9" t="str">
        <f aca="false">Daily_Returns_Raw_Data!I1</f>
        <v>GG</v>
      </c>
      <c r="AJ1" s="9" t="str">
        <f aca="false">Daily_Returns_Raw_Data!J1</f>
        <v>SIRI</v>
      </c>
      <c r="AK1" s="9" t="str">
        <f aca="false">Daily_Returns_Raw_Data!K1</f>
        <v>ACB</v>
      </c>
      <c r="AL1" s="9" t="str">
        <f aca="false">Daily_Returns_Raw_Data!L1</f>
        <v>VALE</v>
      </c>
      <c r="AM1" s="9" t="str">
        <f aca="false">Daily_Returns_Raw_Data!M1</f>
        <v>PFE</v>
      </c>
      <c r="AN1" s="9" t="str">
        <f aca="false">Daily_Returns_Raw_Data!N1</f>
        <v>CTL</v>
      </c>
      <c r="AO1" s="9" t="str">
        <f aca="false">Daily_Returns_Raw_Data!O1</f>
        <v>T</v>
      </c>
      <c r="AP1" s="9" t="str">
        <f aca="false">Daily_Returns_Raw_Data!P1</f>
        <v>ECA</v>
      </c>
      <c r="AQ1" s="9" t="str">
        <f aca="false">Daily_Returns_Raw_Data!Q1</f>
        <v>ABEV</v>
      </c>
      <c r="AR1" s="9" t="str">
        <f aca="false">Daily_Returns_Raw_Data!R1</f>
        <v>CVS</v>
      </c>
      <c r="AS1" s="9" t="str">
        <f aca="false">Daily_Returns_Raw_Data!S1</f>
        <v>MRVL</v>
      </c>
      <c r="AT1" s="9" t="str">
        <f aca="false">Daily_Returns_Raw_Data!T1</f>
        <v>CSCO</v>
      </c>
      <c r="AU1" s="9" t="str">
        <f aca="false">Daily_Returns_Raw_Data!U1</f>
        <v>MO</v>
      </c>
      <c r="AV1" s="9" t="str">
        <f aca="false">Daily_Returns_Raw_Data!V1</f>
        <v>BMY</v>
      </c>
      <c r="AW1" s="9" t="str">
        <f aca="false">Daily_Returns_Raw_Data!W1</f>
        <v>WFC</v>
      </c>
      <c r="AX1" s="9" t="str">
        <f aca="false">Daily_Returns_Raw_Data!X1</f>
        <v>HBAN</v>
      </c>
      <c r="AZ1" s="9" t="s">
        <v>70</v>
      </c>
    </row>
    <row r="2" customFormat="false" ht="15" hidden="false" customHeight="true" outlineLevel="0" collapsed="false">
      <c r="AB2" s="11" t="n">
        <f aca="false">1/$H$4</f>
        <v>0.0434782608695652</v>
      </c>
      <c r="AC2" s="11" t="n">
        <f aca="false">1/$H$4</f>
        <v>0.0434782608695652</v>
      </c>
      <c r="AD2" s="11" t="n">
        <f aca="false">1/$H$4</f>
        <v>0.0434782608695652</v>
      </c>
      <c r="AE2" s="11" t="n">
        <f aca="false">1/$H$4</f>
        <v>0.0434782608695652</v>
      </c>
      <c r="AF2" s="11" t="n">
        <f aca="false">1/$H$4</f>
        <v>0.0434782608695652</v>
      </c>
      <c r="AG2" s="11" t="n">
        <f aca="false">1/$H$4</f>
        <v>0.0434782608695652</v>
      </c>
      <c r="AH2" s="11" t="n">
        <f aca="false">1/$H$4</f>
        <v>0.0434782608695652</v>
      </c>
      <c r="AI2" s="11" t="n">
        <f aca="false">1/$H$4</f>
        <v>0.0434782608695652</v>
      </c>
      <c r="AJ2" s="11" t="n">
        <f aca="false">1/$H$4</f>
        <v>0.0434782608695652</v>
      </c>
      <c r="AK2" s="11" t="n">
        <f aca="false">1/$H$4</f>
        <v>0.0434782608695652</v>
      </c>
      <c r="AL2" s="11" t="n">
        <f aca="false">1/$H$4</f>
        <v>0.0434782608695652</v>
      </c>
      <c r="AM2" s="11" t="n">
        <f aca="false">1/$H$4</f>
        <v>0.0434782608695652</v>
      </c>
      <c r="AN2" s="11" t="n">
        <f aca="false">1/$H$4</f>
        <v>0.0434782608695652</v>
      </c>
      <c r="AO2" s="11" t="n">
        <f aca="false">1/$H$4</f>
        <v>0.0434782608695652</v>
      </c>
      <c r="AP2" s="11" t="n">
        <f aca="false">1/$H$4</f>
        <v>0.0434782608695652</v>
      </c>
      <c r="AQ2" s="11" t="n">
        <f aca="false">1/$H$4</f>
        <v>0.0434782608695652</v>
      </c>
      <c r="AR2" s="11" t="n">
        <f aca="false">1/$H$4</f>
        <v>0.0434782608695652</v>
      </c>
      <c r="AS2" s="11" t="n">
        <f aca="false">1/$H$4</f>
        <v>0.0434782608695652</v>
      </c>
      <c r="AT2" s="11" t="n">
        <f aca="false">1/$H$4</f>
        <v>0.0434782608695652</v>
      </c>
      <c r="AU2" s="11" t="n">
        <f aca="false">1/$H$4</f>
        <v>0.0434782608695652</v>
      </c>
      <c r="AV2" s="11" t="n">
        <f aca="false">1/$H$4</f>
        <v>0.0434782608695652</v>
      </c>
      <c r="AW2" s="11" t="n">
        <f aca="false">1/$H$4</f>
        <v>0.0434782608695652</v>
      </c>
      <c r="AX2" s="11" t="n">
        <f aca="false">1/$H$4</f>
        <v>0.0434782608695652</v>
      </c>
      <c r="AZ2" s="18" t="n">
        <f aca="false">SUM(AB2:AX2)</f>
        <v>1</v>
      </c>
    </row>
    <row r="3" customFormat="false" ht="15" hidden="false" customHeight="true" outlineLevel="0" collapsed="false">
      <c r="A3" s="5" t="s">
        <v>110</v>
      </c>
      <c r="G3" s="9" t="s">
        <v>72</v>
      </c>
    </row>
    <row r="4" customFormat="false" ht="15" hidden="false" customHeight="true" outlineLevel="0" collapsed="false">
      <c r="A4" s="12" t="s">
        <v>111</v>
      </c>
      <c r="G4" s="5" t="s">
        <v>73</v>
      </c>
      <c r="H4" s="14" t="n">
        <f aca="false">COUNTA(Daily_Returns_Raw_Data!B1:X1)</f>
        <v>23</v>
      </c>
    </row>
    <row r="5" customFormat="false" ht="15" hidden="false" customHeight="true" outlineLevel="0" collapsed="false">
      <c r="G5" s="5" t="s">
        <v>25</v>
      </c>
      <c r="H5" s="13" t="n">
        <v>0.9</v>
      </c>
    </row>
    <row r="6" customFormat="false" ht="15" hidden="false" customHeight="true" outlineLevel="0" collapsed="false">
      <c r="G6" s="5" t="s">
        <v>112</v>
      </c>
      <c r="H6" s="14" t="n">
        <f aca="false">COUNT($C$25:$C$526)</f>
        <v>502</v>
      </c>
    </row>
    <row r="7" customFormat="false" ht="15" hidden="false" customHeight="true" outlineLevel="0" collapsed="false">
      <c r="G7" s="5" t="s">
        <v>113</v>
      </c>
      <c r="H7" s="14" t="n">
        <f aca="false">ROUNDUP(H6*(1-H5),0)</f>
        <v>51</v>
      </c>
    </row>
    <row r="9" customFormat="false" ht="15" hidden="false" customHeight="true" outlineLevel="0" collapsed="false">
      <c r="G9" s="9" t="s">
        <v>5</v>
      </c>
    </row>
    <row r="10" customFormat="false" ht="15" hidden="false" customHeight="true" outlineLevel="0" collapsed="false">
      <c r="G10" s="5" t="s">
        <v>114</v>
      </c>
      <c r="H10" s="17" t="n">
        <f aca="false">SUMPRODUCT($C$25:$C$526,$D$25:$D$526)</f>
        <v>0.0156279672119933</v>
      </c>
    </row>
    <row r="11" customFormat="false" ht="15" hidden="false" customHeight="true" outlineLevel="0" collapsed="false">
      <c r="G11" s="9" t="s">
        <v>115</v>
      </c>
      <c r="H11" s="28" t="n">
        <f aca="false">ROUND(H10,6)</f>
        <v>0.015628</v>
      </c>
    </row>
    <row r="13" customFormat="false" ht="15" hidden="false" customHeight="true" outlineLevel="0" collapsed="false">
      <c r="G13" s="9" t="s">
        <v>116</v>
      </c>
    </row>
    <row r="14" customFormat="false" ht="15" hidden="false" customHeight="true" outlineLevel="0" collapsed="false">
      <c r="G14" s="5" t="s">
        <v>117</v>
      </c>
      <c r="H14" s="17" t="n">
        <f aca="false">H10</f>
        <v>0.0156279672119933</v>
      </c>
    </row>
    <row r="15" customFormat="false" ht="15" hidden="false" customHeight="true" outlineLevel="0" collapsed="false">
      <c r="G15" s="5" t="s">
        <v>118</v>
      </c>
      <c r="H15" s="17" t="n">
        <f aca="true">SUMPRODUCT(LARGE($C$25:$C$526,ROW(INDIRECT("1:"&amp;$H$7))))/$H$7</f>
        <v>0.0156279672119933</v>
      </c>
    </row>
    <row r="16" customFormat="false" ht="15" hidden="false" customHeight="true" outlineLevel="0" collapsed="false">
      <c r="G16" s="5" t="s">
        <v>119</v>
      </c>
      <c r="H16" s="17" t="n">
        <f aca="false">SUM($E$25:$E$526)/$H$7+$H$19</f>
        <v>0.0156279672119933</v>
      </c>
    </row>
    <row r="17" customFormat="false" ht="15" hidden="false" customHeight="true" outlineLevel="0" collapsed="false">
      <c r="G17" s="5" t="s">
        <v>120</v>
      </c>
      <c r="H17" s="29" t="n">
        <f aca="false">MAX(ABS(H14-H15),ABS(H14-H16))</f>
        <v>0</v>
      </c>
    </row>
    <row r="19" customFormat="false" ht="15" hidden="false" customHeight="true" outlineLevel="0" collapsed="false">
      <c r="G19" s="5" t="s">
        <v>121</v>
      </c>
      <c r="H19" s="17" t="n">
        <f aca="false">LARGE($C$25:$C$526,$H$7)</f>
        <v>0.00894645327668129</v>
      </c>
    </row>
    <row r="20" customFormat="false" ht="15" hidden="false" customHeight="true" outlineLevel="0" collapsed="false">
      <c r="G20" s="5" t="s">
        <v>122</v>
      </c>
      <c r="H20" s="17" t="n">
        <f aca="false">SUM($D$25:$D$526)</f>
        <v>1</v>
      </c>
    </row>
    <row r="21" customFormat="false" ht="15" hidden="false" customHeight="true" outlineLevel="0" collapsed="false">
      <c r="G21" s="5" t="s">
        <v>123</v>
      </c>
      <c r="H21" s="14" t="n">
        <f aca="false">COUNTIF($D$25:$D$526,"&gt;0")</f>
        <v>51</v>
      </c>
    </row>
    <row r="22" customFormat="false" ht="15" hidden="false" customHeight="true" outlineLevel="0" collapsed="false">
      <c r="G22" s="5" t="s">
        <v>124</v>
      </c>
      <c r="H22" s="14" t="n">
        <f aca="false">COUNTIF($E$25:$E$526,"&gt;0")</f>
        <v>50</v>
      </c>
    </row>
    <row r="23" customFormat="false" ht="15" hidden="false" customHeight="true" outlineLevel="0" collapsed="false">
      <c r="A23" s="12" t="s">
        <v>125</v>
      </c>
    </row>
    <row r="24" customFormat="false" ht="15" hidden="false" customHeight="true" outlineLevel="0" collapsed="false">
      <c r="A24" s="10" t="s">
        <v>88</v>
      </c>
      <c r="B24" s="10" t="s">
        <v>89</v>
      </c>
      <c r="C24" s="10" t="s">
        <v>126</v>
      </c>
      <c r="D24" s="10" t="s">
        <v>127</v>
      </c>
      <c r="E24" s="10" t="s">
        <v>128</v>
      </c>
      <c r="G24" s="9" t="s">
        <v>129</v>
      </c>
    </row>
    <row r="25" customFormat="false" ht="15" hidden="false" customHeight="true" outlineLevel="0" collapsed="false">
      <c r="A25" s="23" t="n">
        <f aca="false">Daily_Returns_Raw_Data!A2</f>
        <v>42373</v>
      </c>
      <c r="B25" s="17" t="n">
        <f aca="false">SUMPRODUCT(Daily_Returns_Raw_Data!B2:X2,$AB$2:$AX$2)</f>
        <v>0.0041248466964466</v>
      </c>
      <c r="C25" s="17" t="n">
        <f aca="false">-B25</f>
        <v>-0.0041248466964466</v>
      </c>
      <c r="D25" s="17" t="n">
        <f aca="false">IF(RANK(C25,$C$25:$C$526,0)&lt;=$H$7,1/$H$7,0)</f>
        <v>0</v>
      </c>
      <c r="E25" s="17" t="n">
        <f aca="false">MAX(C25-$H$19,0)</f>
        <v>0</v>
      </c>
      <c r="G25" s="5" t="s">
        <v>130</v>
      </c>
      <c r="H25" s="14" t="n">
        <f aca="false">ROUNDUP(H5*H6,0)</f>
        <v>452</v>
      </c>
    </row>
    <row r="26" customFormat="false" ht="15" hidden="false" customHeight="true" outlineLevel="0" collapsed="false">
      <c r="A26" s="23" t="n">
        <f aca="false">Daily_Returns_Raw_Data!A3</f>
        <v>42374</v>
      </c>
      <c r="B26" s="17" t="n">
        <f aca="false">SUMPRODUCT(Daily_Returns_Raw_Data!B3:X3,$AB$2:$AX$2)</f>
        <v>-0.0181048127825133</v>
      </c>
      <c r="C26" s="17" t="n">
        <f aca="false">-B26</f>
        <v>0.0181048127825133</v>
      </c>
      <c r="D26" s="17" t="n">
        <f aca="false">IF(RANK(C26,$C$25:$C$526,0)&lt;=$H$7,1/$H$7,0)</f>
        <v>0.0196078431372549</v>
      </c>
      <c r="E26" s="17" t="n">
        <f aca="false">MAX(C26-$H$19,0)</f>
        <v>0.00915835950583202</v>
      </c>
      <c r="G26" s="5" t="s">
        <v>131</v>
      </c>
      <c r="H26" s="17" t="n">
        <f aca="false">AVERAGEIF($C$25:$C$526,"&gt;"&amp;$H$19)</f>
        <v>0.0157615974906995</v>
      </c>
    </row>
    <row r="27" customFormat="false" ht="15" hidden="false" customHeight="true" outlineLevel="0" collapsed="false">
      <c r="A27" s="23" t="n">
        <f aca="false">Daily_Returns_Raw_Data!A4</f>
        <v>42375</v>
      </c>
      <c r="B27" s="17" t="n">
        <f aca="false">SUMPRODUCT(Daily_Returns_Raw_Data!B4:X4,$AB$2:$AX$2)</f>
        <v>-0.0238386656688258</v>
      </c>
      <c r="C27" s="17" t="n">
        <f aca="false">-B27</f>
        <v>0.0238386656688258</v>
      </c>
      <c r="D27" s="17" t="n">
        <f aca="false">IF(RANK(C27,$C$25:$C$526,0)&lt;=$H$7,1/$H$7,0)</f>
        <v>0.0196078431372549</v>
      </c>
      <c r="E27" s="17" t="n">
        <f aca="false">MAX(C27-$H$19,0)</f>
        <v>0.0148922123921445</v>
      </c>
      <c r="G27" s="5" t="s">
        <v>132</v>
      </c>
      <c r="H27" s="17" t="n">
        <f aca="false">H26-H10</f>
        <v>0.000133630278706238</v>
      </c>
    </row>
    <row r="28" customFormat="false" ht="15" hidden="false" customHeight="true" outlineLevel="0" collapsed="false">
      <c r="A28" s="23" t="n">
        <f aca="false">Daily_Returns_Raw_Data!A5</f>
        <v>42376</v>
      </c>
      <c r="B28" s="17" t="n">
        <f aca="false">SUMPRODUCT(Daily_Returns_Raw_Data!B5:X5,$AB$2:$AX$2)</f>
        <v>-0.00680245971517849</v>
      </c>
      <c r="C28" s="17" t="n">
        <f aca="false">-B28</f>
        <v>0.00680245971517849</v>
      </c>
      <c r="D28" s="17" t="n">
        <f aca="false">IF(RANK(C28,$C$25:$C$526,0)&lt;=$H$7,1/$H$7,0)</f>
        <v>0</v>
      </c>
      <c r="E28" s="17" t="n">
        <f aca="false">MAX(C28-$H$19,0)</f>
        <v>0</v>
      </c>
    </row>
    <row r="29" customFormat="false" ht="15" hidden="false" customHeight="true" outlineLevel="0" collapsed="false">
      <c r="A29" s="23" t="n">
        <f aca="false">Daily_Returns_Raw_Data!A6</f>
        <v>42377</v>
      </c>
      <c r="B29" s="17" t="n">
        <f aca="false">SUMPRODUCT(Daily_Returns_Raw_Data!B6:X6,$AB$2:$AX$2)</f>
        <v>6.01236432417226E-005</v>
      </c>
      <c r="C29" s="17" t="n">
        <f aca="false">-B29</f>
        <v>-6.01236432417226E-005</v>
      </c>
      <c r="D29" s="17" t="n">
        <f aca="false">IF(RANK(C29,$C$25:$C$526,0)&lt;=$H$7,1/$H$7,0)</f>
        <v>0</v>
      </c>
      <c r="E29" s="17" t="n">
        <f aca="false">MAX(C29-$H$19,0)</f>
        <v>0</v>
      </c>
    </row>
    <row r="30" customFormat="false" ht="27.75" hidden="false" customHeight="true" outlineLevel="0" collapsed="false">
      <c r="A30" s="23" t="n">
        <f aca="false">Daily_Returns_Raw_Data!A7</f>
        <v>42380</v>
      </c>
      <c r="B30" s="17" t="n">
        <f aca="false">SUMPRODUCT(Daily_Returns_Raw_Data!B7:X7,$AB$2:$AX$2)</f>
        <v>-0.002231548779606</v>
      </c>
      <c r="C30" s="17" t="n">
        <f aca="false">-B30</f>
        <v>0.002231548779606</v>
      </c>
      <c r="D30" s="17" t="n">
        <f aca="false">IF(RANK(C30,$C$25:$C$526,0)&lt;=$H$7,1/$H$7,0)</f>
        <v>0</v>
      </c>
      <c r="E30" s="17" t="n">
        <f aca="false">MAX(C30-$H$19,0)</f>
        <v>0</v>
      </c>
      <c r="G30" s="30" t="s">
        <v>133</v>
      </c>
    </row>
    <row r="31" customFormat="false" ht="27.75" hidden="false" customHeight="true" outlineLevel="0" collapsed="false">
      <c r="A31" s="23" t="n">
        <f aca="false">Daily_Returns_Raw_Data!A8</f>
        <v>42381</v>
      </c>
      <c r="B31" s="17" t="n">
        <f aca="false">SUMPRODUCT(Daily_Returns_Raw_Data!B8:X8,$AB$2:$AX$2)</f>
        <v>-0.0296056020460537</v>
      </c>
      <c r="C31" s="17" t="n">
        <f aca="false">-B31</f>
        <v>0.0296056020460537</v>
      </c>
      <c r="D31" s="17" t="n">
        <f aca="false">IF(RANK(C31,$C$25:$C$526,0)&lt;=$H$7,1/$H$7,0)</f>
        <v>0.0196078431372549</v>
      </c>
      <c r="E31" s="17" t="n">
        <f aca="false">MAX(C31-$H$19,0)</f>
        <v>0.0206591487693724</v>
      </c>
      <c r="G31" s="31" t="s">
        <v>134</v>
      </c>
    </row>
    <row r="32" customFormat="false" ht="27.75" hidden="false" customHeight="true" outlineLevel="0" collapsed="false">
      <c r="A32" s="23" t="n">
        <f aca="false">Daily_Returns_Raw_Data!A9</f>
        <v>42382</v>
      </c>
      <c r="B32" s="17" t="n">
        <f aca="false">SUMPRODUCT(Daily_Returns_Raw_Data!B9:X9,$AB$2:$AX$2)</f>
        <v>0.0115050041868366</v>
      </c>
      <c r="C32" s="17" t="n">
        <f aca="false">-B32</f>
        <v>-0.0115050041868366</v>
      </c>
      <c r="D32" s="17" t="n">
        <f aca="false">IF(RANK(C32,$C$25:$C$526,0)&lt;=$H$7,1/$H$7,0)</f>
        <v>0</v>
      </c>
      <c r="E32" s="17" t="n">
        <f aca="false">MAX(C32-$H$19,0)</f>
        <v>0</v>
      </c>
      <c r="G32" s="31" t="s">
        <v>135</v>
      </c>
    </row>
    <row r="33" customFormat="false" ht="27.75" hidden="false" customHeight="true" outlineLevel="0" collapsed="false">
      <c r="A33" s="23" t="n">
        <f aca="false">Daily_Returns_Raw_Data!A10</f>
        <v>42383</v>
      </c>
      <c r="B33" s="17" t="n">
        <f aca="false">SUMPRODUCT(Daily_Returns_Raw_Data!B10:X10,$AB$2:$AX$2)</f>
        <v>-0.0295481142671401</v>
      </c>
      <c r="C33" s="17" t="n">
        <f aca="false">-B33</f>
        <v>0.0295481142671401</v>
      </c>
      <c r="D33" s="17" t="n">
        <f aca="false">IF(RANK(C33,$C$25:$C$526,0)&lt;=$H$7,1/$H$7,0)</f>
        <v>0.0196078431372549</v>
      </c>
      <c r="E33" s="17" t="n">
        <f aca="false">MAX(C33-$H$19,0)</f>
        <v>0.0206016609904588</v>
      </c>
      <c r="G33" s="31" t="s">
        <v>136</v>
      </c>
    </row>
    <row r="34" customFormat="false" ht="27.75" hidden="false" customHeight="true" outlineLevel="0" collapsed="false">
      <c r="A34" s="23" t="n">
        <f aca="false">Daily_Returns_Raw_Data!A11</f>
        <v>42384</v>
      </c>
      <c r="B34" s="17" t="n">
        <f aca="false">SUMPRODUCT(Daily_Returns_Raw_Data!B11:X11,$AB$2:$AX$2)</f>
        <v>-0.00696907129385461</v>
      </c>
      <c r="C34" s="17" t="n">
        <f aca="false">-B34</f>
        <v>0.00696907129385461</v>
      </c>
      <c r="D34" s="17" t="n">
        <f aca="false">IF(RANK(C34,$C$25:$C$526,0)&lt;=$H$7,1/$H$7,0)</f>
        <v>0</v>
      </c>
      <c r="E34" s="17" t="n">
        <f aca="false">MAX(C34-$H$19,0)</f>
        <v>0</v>
      </c>
      <c r="G34" s="31" t="s">
        <v>137</v>
      </c>
    </row>
    <row r="35" customFormat="false" ht="27.75" hidden="false" customHeight="true" outlineLevel="0" collapsed="false">
      <c r="A35" s="23" t="n">
        <f aca="false">Daily_Returns_Raw_Data!A12</f>
        <v>42388</v>
      </c>
      <c r="B35" s="17" t="n">
        <f aca="false">SUMPRODUCT(Daily_Returns_Raw_Data!B12:X12,$AB$2:$AX$2)</f>
        <v>-0.0129117787963003</v>
      </c>
      <c r="C35" s="17" t="n">
        <f aca="false">-B35</f>
        <v>0.0129117787963003</v>
      </c>
      <c r="D35" s="17" t="n">
        <f aca="false">IF(RANK(C35,$C$25:$C$526,0)&lt;=$H$7,1/$H$7,0)</f>
        <v>0.0196078431372549</v>
      </c>
      <c r="E35" s="17" t="n">
        <f aca="false">MAX(C35-$H$19,0)</f>
        <v>0.00396532551961901</v>
      </c>
      <c r="G35" s="31" t="s">
        <v>138</v>
      </c>
    </row>
    <row r="36" customFormat="false" ht="15" hidden="false" customHeight="true" outlineLevel="0" collapsed="false">
      <c r="A36" s="23" t="n">
        <f aca="false">Daily_Returns_Raw_Data!A13</f>
        <v>42389</v>
      </c>
      <c r="B36" s="17" t="n">
        <f aca="false">SUMPRODUCT(Daily_Returns_Raw_Data!B13:X13,$AB$2:$AX$2)</f>
        <v>-0.000816737706098755</v>
      </c>
      <c r="C36" s="17" t="n">
        <f aca="false">-B36</f>
        <v>0.000816737706098755</v>
      </c>
      <c r="D36" s="17" t="n">
        <f aca="false">IF(RANK(C36,$C$25:$C$526,0)&lt;=$H$7,1/$H$7,0)</f>
        <v>0</v>
      </c>
      <c r="E36" s="17" t="n">
        <f aca="false">MAX(C36-$H$19,0)</f>
        <v>0</v>
      </c>
    </row>
    <row r="37" customFormat="false" ht="27.75" hidden="false" customHeight="true" outlineLevel="0" collapsed="false">
      <c r="A37" s="23" t="n">
        <f aca="false">Daily_Returns_Raw_Data!A14</f>
        <v>42390</v>
      </c>
      <c r="B37" s="17" t="n">
        <f aca="false">SUMPRODUCT(Daily_Returns_Raw_Data!B14:X14,$AB$2:$AX$2)</f>
        <v>0.0241708760204015</v>
      </c>
      <c r="C37" s="17" t="n">
        <f aca="false">-B37</f>
        <v>-0.0241708760204015</v>
      </c>
      <c r="D37" s="17" t="n">
        <f aca="false">IF(RANK(C37,$C$25:$C$526,0)&lt;=$H$7,1/$H$7,0)</f>
        <v>0</v>
      </c>
      <c r="E37" s="17" t="n">
        <f aca="false">MAX(C37-$H$19,0)</f>
        <v>0</v>
      </c>
      <c r="G37" s="30" t="s">
        <v>139</v>
      </c>
    </row>
    <row r="38" customFormat="false" ht="27.75" hidden="false" customHeight="true" outlineLevel="0" collapsed="false">
      <c r="A38" s="23" t="n">
        <f aca="false">Daily_Returns_Raw_Data!A15</f>
        <v>42391</v>
      </c>
      <c r="B38" s="17" t="n">
        <f aca="false">SUMPRODUCT(Daily_Returns_Raw_Data!B15:X15,$AB$2:$AX$2)</f>
        <v>-0.019902024144822</v>
      </c>
      <c r="C38" s="17" t="n">
        <f aca="false">-B38</f>
        <v>0.019902024144822</v>
      </c>
      <c r="D38" s="17" t="n">
        <f aca="false">IF(RANK(C38,$C$25:$C$526,0)&lt;=$H$7,1/$H$7,0)</f>
        <v>0.0196078431372549</v>
      </c>
      <c r="E38" s="17" t="n">
        <f aca="false">MAX(C38-$H$19,0)</f>
        <v>0.0109555708681407</v>
      </c>
      <c r="G38" s="31" t="s">
        <v>140</v>
      </c>
    </row>
    <row r="39" customFormat="false" ht="27.75" hidden="false" customHeight="true" outlineLevel="0" collapsed="false">
      <c r="A39" s="23" t="n">
        <f aca="false">Daily_Returns_Raw_Data!A16</f>
        <v>42394</v>
      </c>
      <c r="B39" s="17" t="n">
        <f aca="false">SUMPRODUCT(Daily_Returns_Raw_Data!B16:X16,$AB$2:$AX$2)</f>
        <v>0.0115811368529303</v>
      </c>
      <c r="C39" s="17" t="n">
        <f aca="false">-B39</f>
        <v>-0.0115811368529303</v>
      </c>
      <c r="D39" s="17" t="n">
        <f aca="false">IF(RANK(C39,$C$25:$C$526,0)&lt;=$H$7,1/$H$7,0)</f>
        <v>0</v>
      </c>
      <c r="E39" s="17" t="n">
        <f aca="false">MAX(C39-$H$19,0)</f>
        <v>0</v>
      </c>
      <c r="G39" s="31" t="s">
        <v>141</v>
      </c>
    </row>
    <row r="40" customFormat="false" ht="27.75" hidden="false" customHeight="true" outlineLevel="0" collapsed="false">
      <c r="A40" s="23" t="n">
        <f aca="false">Daily_Returns_Raw_Data!A17</f>
        <v>42395</v>
      </c>
      <c r="B40" s="17" t="n">
        <f aca="false">SUMPRODUCT(Daily_Returns_Raw_Data!B17:X17,$AB$2:$AX$2)</f>
        <v>0.00157215844609387</v>
      </c>
      <c r="C40" s="17" t="n">
        <f aca="false">-B40</f>
        <v>-0.00157215844609387</v>
      </c>
      <c r="D40" s="17" t="n">
        <f aca="false">IF(RANK(C40,$C$25:$C$526,0)&lt;=$H$7,1/$H$7,0)</f>
        <v>0</v>
      </c>
      <c r="E40" s="17" t="n">
        <f aca="false">MAX(C40-$H$19,0)</f>
        <v>0</v>
      </c>
      <c r="G40" s="31" t="s">
        <v>142</v>
      </c>
    </row>
    <row r="41" customFormat="false" ht="27.75" hidden="false" customHeight="true" outlineLevel="0" collapsed="false">
      <c r="A41" s="23" t="n">
        <f aca="false">Daily_Returns_Raw_Data!A18</f>
        <v>42396</v>
      </c>
      <c r="B41" s="17" t="n">
        <f aca="false">SUMPRODUCT(Daily_Returns_Raw_Data!B18:X18,$AB$2:$AX$2)</f>
        <v>0.00676627709449105</v>
      </c>
      <c r="C41" s="17" t="n">
        <f aca="false">-B41</f>
        <v>-0.00676627709449105</v>
      </c>
      <c r="D41" s="17" t="n">
        <f aca="false">IF(RANK(C41,$C$25:$C$526,0)&lt;=$H$7,1/$H$7,0)</f>
        <v>0</v>
      </c>
      <c r="E41" s="17" t="n">
        <f aca="false">MAX(C41-$H$19,0)</f>
        <v>0</v>
      </c>
      <c r="G41" s="32" t="s">
        <v>143</v>
      </c>
    </row>
    <row r="42" customFormat="false" ht="15" hidden="false" customHeight="true" outlineLevel="0" collapsed="false">
      <c r="A42" s="23" t="n">
        <f aca="false">Daily_Returns_Raw_Data!A19</f>
        <v>42397</v>
      </c>
      <c r="B42" s="17" t="n">
        <f aca="false">SUMPRODUCT(Daily_Returns_Raw_Data!B19:X19,$AB$2:$AX$2)</f>
        <v>0.0282208231039776</v>
      </c>
      <c r="C42" s="17" t="n">
        <f aca="false">-B42</f>
        <v>-0.0282208231039776</v>
      </c>
      <c r="D42" s="17" t="n">
        <f aca="false">IF(RANK(C42,$C$25:$C$526,0)&lt;=$H$7,1/$H$7,0)</f>
        <v>0</v>
      </c>
      <c r="E42" s="17" t="n">
        <f aca="false">MAX(C42-$H$19,0)</f>
        <v>0</v>
      </c>
    </row>
    <row r="43" customFormat="false" ht="15" hidden="false" customHeight="true" outlineLevel="0" collapsed="false">
      <c r="A43" s="23" t="n">
        <f aca="false">Daily_Returns_Raw_Data!A20</f>
        <v>42398</v>
      </c>
      <c r="B43" s="17" t="n">
        <f aca="false">SUMPRODUCT(Daily_Returns_Raw_Data!B20:X20,$AB$2:$AX$2)</f>
        <v>0.00173876733641071</v>
      </c>
      <c r="C43" s="17" t="n">
        <f aca="false">-B43</f>
        <v>-0.00173876733641071</v>
      </c>
      <c r="D43" s="17" t="n">
        <f aca="false">IF(RANK(C43,$C$25:$C$526,0)&lt;=$H$7,1/$H$7,0)</f>
        <v>0</v>
      </c>
      <c r="E43" s="17" t="n">
        <f aca="false">MAX(C43-$H$19,0)</f>
        <v>0</v>
      </c>
      <c r="G43" s="32" t="s">
        <v>144</v>
      </c>
    </row>
    <row r="44" customFormat="false" ht="15" hidden="false" customHeight="true" outlineLevel="0" collapsed="false">
      <c r="A44" s="23" t="n">
        <f aca="false">Daily_Returns_Raw_Data!A21</f>
        <v>42401</v>
      </c>
      <c r="B44" s="17" t="n">
        <f aca="false">SUMPRODUCT(Daily_Returns_Raw_Data!B21:X21,$AB$2:$AX$2)</f>
        <v>-0.0328342867856713</v>
      </c>
      <c r="C44" s="17" t="n">
        <f aca="false">-B44</f>
        <v>0.0328342867856713</v>
      </c>
      <c r="D44" s="17" t="n">
        <f aca="false">IF(RANK(C44,$C$25:$C$526,0)&lt;=$H$7,1/$H$7,0)</f>
        <v>0.0196078431372549</v>
      </c>
      <c r="E44" s="17" t="n">
        <f aca="false">MAX(C44-$H$19,0)</f>
        <v>0.02388783350899</v>
      </c>
    </row>
    <row r="45" customFormat="false" ht="15" hidden="false" customHeight="true" outlineLevel="0" collapsed="false">
      <c r="A45" s="23" t="n">
        <f aca="false">Daily_Returns_Raw_Data!A22</f>
        <v>42402</v>
      </c>
      <c r="B45" s="17" t="n">
        <f aca="false">SUMPRODUCT(Daily_Returns_Raw_Data!B22:X22,$AB$2:$AX$2)</f>
        <v>0.0221589189063225</v>
      </c>
      <c r="C45" s="17" t="n">
        <f aca="false">-B45</f>
        <v>-0.0221589189063225</v>
      </c>
      <c r="D45" s="17" t="n">
        <f aca="false">IF(RANK(C45,$C$25:$C$526,0)&lt;=$H$7,1/$H$7,0)</f>
        <v>0</v>
      </c>
      <c r="E45" s="17" t="n">
        <f aca="false">MAX(C45-$H$19,0)</f>
        <v>0</v>
      </c>
    </row>
    <row r="46" customFormat="false" ht="15" hidden="false" customHeight="true" outlineLevel="0" collapsed="false">
      <c r="A46" s="23" t="n">
        <f aca="false">Daily_Returns_Raw_Data!A23</f>
        <v>42403</v>
      </c>
      <c r="B46" s="17" t="n">
        <f aca="false">SUMPRODUCT(Daily_Returns_Raw_Data!B23:X23,$AB$2:$AX$2)</f>
        <v>0.011029513522331</v>
      </c>
      <c r="C46" s="17" t="n">
        <f aca="false">-B46</f>
        <v>-0.011029513522331</v>
      </c>
      <c r="D46" s="17" t="n">
        <f aca="false">IF(RANK(C46,$C$25:$C$526,0)&lt;=$H$7,1/$H$7,0)</f>
        <v>0</v>
      </c>
      <c r="E46" s="17" t="n">
        <f aca="false">MAX(C46-$H$19,0)</f>
        <v>0</v>
      </c>
    </row>
    <row r="47" customFormat="false" ht="15" hidden="false" customHeight="true" outlineLevel="0" collapsed="false">
      <c r="A47" s="23" t="n">
        <f aca="false">Daily_Returns_Raw_Data!A24</f>
        <v>42404</v>
      </c>
      <c r="B47" s="17" t="n">
        <f aca="false">SUMPRODUCT(Daily_Returns_Raw_Data!B24:X24,$AB$2:$AX$2)</f>
        <v>-0.0102250512191798</v>
      </c>
      <c r="C47" s="17" t="n">
        <f aca="false">-B47</f>
        <v>0.0102250512191798</v>
      </c>
      <c r="D47" s="17" t="n">
        <f aca="false">IF(RANK(C47,$C$25:$C$526,0)&lt;=$H$7,1/$H$7,0)</f>
        <v>0.0196078431372549</v>
      </c>
      <c r="E47" s="17" t="n">
        <f aca="false">MAX(C47-$H$19,0)</f>
        <v>0.00127859794249846</v>
      </c>
    </row>
    <row r="48" customFormat="false" ht="15" hidden="false" customHeight="true" outlineLevel="0" collapsed="false">
      <c r="A48" s="23" t="n">
        <f aca="false">Daily_Returns_Raw_Data!A25</f>
        <v>42405</v>
      </c>
      <c r="B48" s="17" t="n">
        <f aca="false">SUMPRODUCT(Daily_Returns_Raw_Data!B25:X25,$AB$2:$AX$2)</f>
        <v>-0.0107027853471433</v>
      </c>
      <c r="C48" s="17" t="n">
        <f aca="false">-B48</f>
        <v>0.0107027853471433</v>
      </c>
      <c r="D48" s="17" t="n">
        <f aca="false">IF(RANK(C48,$C$25:$C$526,0)&lt;=$H$7,1/$H$7,0)</f>
        <v>0.0196078431372549</v>
      </c>
      <c r="E48" s="17" t="n">
        <f aca="false">MAX(C48-$H$19,0)</f>
        <v>0.00175633207046202</v>
      </c>
    </row>
    <row r="49" customFormat="false" ht="15" hidden="false" customHeight="true" outlineLevel="0" collapsed="false">
      <c r="A49" s="23" t="n">
        <f aca="false">Daily_Returns_Raw_Data!A26</f>
        <v>42408</v>
      </c>
      <c r="B49" s="17" t="n">
        <f aca="false">SUMPRODUCT(Daily_Returns_Raw_Data!B26:X26,$AB$2:$AX$2)</f>
        <v>-0.00836742299776874</v>
      </c>
      <c r="C49" s="17" t="n">
        <f aca="false">-B49</f>
        <v>0.00836742299776874</v>
      </c>
      <c r="D49" s="17" t="n">
        <f aca="false">IF(RANK(C49,$C$25:$C$526,0)&lt;=$H$7,1/$H$7,0)</f>
        <v>0</v>
      </c>
      <c r="E49" s="17" t="n">
        <f aca="false">MAX(C49-$H$19,0)</f>
        <v>0</v>
      </c>
    </row>
    <row r="50" customFormat="false" ht="15" hidden="false" customHeight="true" outlineLevel="0" collapsed="false">
      <c r="A50" s="23" t="n">
        <f aca="false">Daily_Returns_Raw_Data!A27</f>
        <v>42409</v>
      </c>
      <c r="B50" s="17" t="n">
        <f aca="false">SUMPRODUCT(Daily_Returns_Raw_Data!B27:X27,$AB$2:$AX$2)</f>
        <v>-0.00400450060140894</v>
      </c>
      <c r="C50" s="17" t="n">
        <f aca="false">-B50</f>
        <v>0.00400450060140894</v>
      </c>
      <c r="D50" s="17" t="n">
        <f aca="false">IF(RANK(C50,$C$25:$C$526,0)&lt;=$H$7,1/$H$7,0)</f>
        <v>0</v>
      </c>
      <c r="E50" s="17" t="n">
        <f aca="false">MAX(C50-$H$19,0)</f>
        <v>0</v>
      </c>
    </row>
    <row r="51" customFormat="false" ht="15" hidden="false" customHeight="true" outlineLevel="0" collapsed="false">
      <c r="A51" s="23" t="n">
        <f aca="false">Daily_Returns_Raw_Data!A28</f>
        <v>42410</v>
      </c>
      <c r="B51" s="17" t="n">
        <f aca="false">SUMPRODUCT(Daily_Returns_Raw_Data!B28:X28,$AB$2:$AX$2)</f>
        <v>-0.00983778189261705</v>
      </c>
      <c r="C51" s="17" t="n">
        <f aca="false">-B51</f>
        <v>0.00983778189261705</v>
      </c>
      <c r="D51" s="17" t="n">
        <f aca="false">IF(RANK(C51,$C$25:$C$526,0)&lt;=$H$7,1/$H$7,0)</f>
        <v>0.0196078431372549</v>
      </c>
      <c r="E51" s="17" t="n">
        <f aca="false">MAX(C51-$H$19,0)</f>
        <v>0.000891328615935751</v>
      </c>
    </row>
    <row r="52" customFormat="false" ht="15" hidden="false" customHeight="true" outlineLevel="0" collapsed="false">
      <c r="A52" s="23" t="n">
        <f aca="false">Daily_Returns_Raw_Data!A29</f>
        <v>42411</v>
      </c>
      <c r="B52" s="17" t="n">
        <f aca="false">SUMPRODUCT(Daily_Returns_Raw_Data!B29:X29,$AB$2:$AX$2)</f>
        <v>0.0308654606058268</v>
      </c>
      <c r="C52" s="17" t="n">
        <f aca="false">-B52</f>
        <v>-0.0308654606058268</v>
      </c>
      <c r="D52" s="17" t="n">
        <f aca="false">IF(RANK(C52,$C$25:$C$526,0)&lt;=$H$7,1/$H$7,0)</f>
        <v>0</v>
      </c>
      <c r="E52" s="17" t="n">
        <f aca="false">MAX(C52-$H$19,0)</f>
        <v>0</v>
      </c>
    </row>
    <row r="53" customFormat="false" ht="15" hidden="false" customHeight="true" outlineLevel="0" collapsed="false">
      <c r="A53" s="23" t="n">
        <f aca="false">Daily_Returns_Raw_Data!A30</f>
        <v>42412</v>
      </c>
      <c r="B53" s="17" t="n">
        <f aca="false">SUMPRODUCT(Daily_Returns_Raw_Data!B30:X30,$AB$2:$AX$2)</f>
        <v>0.017022589719777</v>
      </c>
      <c r="C53" s="17" t="n">
        <f aca="false">-B53</f>
        <v>-0.017022589719777</v>
      </c>
      <c r="D53" s="17" t="n">
        <f aca="false">IF(RANK(C53,$C$25:$C$526,0)&lt;=$H$7,1/$H$7,0)</f>
        <v>0</v>
      </c>
      <c r="E53" s="17" t="n">
        <f aca="false">MAX(C53-$H$19,0)</f>
        <v>0</v>
      </c>
    </row>
    <row r="54" customFormat="false" ht="15" hidden="false" customHeight="true" outlineLevel="0" collapsed="false">
      <c r="A54" s="23" t="n">
        <f aca="false">Daily_Returns_Raw_Data!A31</f>
        <v>42416</v>
      </c>
      <c r="B54" s="17" t="n">
        <f aca="false">SUMPRODUCT(Daily_Returns_Raw_Data!B31:X31,$AB$2:$AX$2)</f>
        <v>0.0242060741254882</v>
      </c>
      <c r="C54" s="17" t="n">
        <f aca="false">-B54</f>
        <v>-0.0242060741254882</v>
      </c>
      <c r="D54" s="17" t="n">
        <f aca="false">IF(RANK(C54,$C$25:$C$526,0)&lt;=$H$7,1/$H$7,0)</f>
        <v>0</v>
      </c>
      <c r="E54" s="17" t="n">
        <f aca="false">MAX(C54-$H$19,0)</f>
        <v>0</v>
      </c>
    </row>
    <row r="55" customFormat="false" ht="15" hidden="false" customHeight="true" outlineLevel="0" collapsed="false">
      <c r="A55" s="23" t="n">
        <f aca="false">Daily_Returns_Raw_Data!A32</f>
        <v>42417</v>
      </c>
      <c r="B55" s="17" t="n">
        <f aca="false">SUMPRODUCT(Daily_Returns_Raw_Data!B32:X32,$AB$2:$AX$2)</f>
        <v>-0.00847730692929458</v>
      </c>
      <c r="C55" s="17" t="n">
        <f aca="false">-B55</f>
        <v>0.00847730692929458</v>
      </c>
      <c r="D55" s="17" t="n">
        <f aca="false">IF(RANK(C55,$C$25:$C$526,0)&lt;=$H$7,1/$H$7,0)</f>
        <v>0</v>
      </c>
      <c r="E55" s="17" t="n">
        <f aca="false">MAX(C55-$H$19,0)</f>
        <v>0</v>
      </c>
    </row>
    <row r="56" customFormat="false" ht="15" hidden="false" customHeight="true" outlineLevel="0" collapsed="false">
      <c r="A56" s="23" t="n">
        <f aca="false">Daily_Returns_Raw_Data!A33</f>
        <v>42418</v>
      </c>
      <c r="B56" s="17" t="n">
        <f aca="false">SUMPRODUCT(Daily_Returns_Raw_Data!B33:X33,$AB$2:$AX$2)</f>
        <v>-0.00924149476977908</v>
      </c>
      <c r="C56" s="17" t="n">
        <f aca="false">-B56</f>
        <v>0.00924149476977908</v>
      </c>
      <c r="D56" s="17" t="n">
        <f aca="false">IF(RANK(C56,$C$25:$C$526,0)&lt;=$H$7,1/$H$7,0)</f>
        <v>0.0196078431372549</v>
      </c>
      <c r="E56" s="17" t="n">
        <f aca="false">MAX(C56-$H$19,0)</f>
        <v>0.000295041493097786</v>
      </c>
    </row>
    <row r="57" customFormat="false" ht="15" hidden="false" customHeight="true" outlineLevel="0" collapsed="false">
      <c r="A57" s="23" t="n">
        <f aca="false">Daily_Returns_Raw_Data!A34</f>
        <v>42419</v>
      </c>
      <c r="B57" s="17" t="n">
        <f aca="false">SUMPRODUCT(Daily_Returns_Raw_Data!B34:X34,$AB$2:$AX$2)</f>
        <v>0.021209474876522</v>
      </c>
      <c r="C57" s="17" t="n">
        <f aca="false">-B57</f>
        <v>-0.021209474876522</v>
      </c>
      <c r="D57" s="17" t="n">
        <f aca="false">IF(RANK(C57,$C$25:$C$526,0)&lt;=$H$7,1/$H$7,0)</f>
        <v>0</v>
      </c>
      <c r="E57" s="17" t="n">
        <f aca="false">MAX(C57-$H$19,0)</f>
        <v>0</v>
      </c>
    </row>
    <row r="58" customFormat="false" ht="15" hidden="false" customHeight="true" outlineLevel="0" collapsed="false">
      <c r="A58" s="23" t="n">
        <f aca="false">Daily_Returns_Raw_Data!A35</f>
        <v>42422</v>
      </c>
      <c r="B58" s="17" t="n">
        <f aca="false">SUMPRODUCT(Daily_Returns_Raw_Data!B35:X35,$AB$2:$AX$2)</f>
        <v>-0.0166687718210565</v>
      </c>
      <c r="C58" s="17" t="n">
        <f aca="false">-B58</f>
        <v>0.0166687718210565</v>
      </c>
      <c r="D58" s="17" t="n">
        <f aca="false">IF(RANK(C58,$C$25:$C$526,0)&lt;=$H$7,1/$H$7,0)</f>
        <v>0.0196078431372549</v>
      </c>
      <c r="E58" s="17" t="n">
        <f aca="false">MAX(C58-$H$19,0)</f>
        <v>0.00772231854437524</v>
      </c>
    </row>
    <row r="59" customFormat="false" ht="15" hidden="false" customHeight="true" outlineLevel="0" collapsed="false">
      <c r="A59" s="23" t="n">
        <f aca="false">Daily_Returns_Raw_Data!A36</f>
        <v>42423</v>
      </c>
      <c r="B59" s="17" t="n">
        <f aca="false">SUMPRODUCT(Daily_Returns_Raw_Data!B36:X36,$AB$2:$AX$2)</f>
        <v>0.00464169848586898</v>
      </c>
      <c r="C59" s="17" t="n">
        <f aca="false">-B59</f>
        <v>-0.00464169848586898</v>
      </c>
      <c r="D59" s="17" t="n">
        <f aca="false">IF(RANK(C59,$C$25:$C$526,0)&lt;=$H$7,1/$H$7,0)</f>
        <v>0</v>
      </c>
      <c r="E59" s="17" t="n">
        <f aca="false">MAX(C59-$H$19,0)</f>
        <v>0</v>
      </c>
    </row>
    <row r="60" customFormat="false" ht="15" hidden="false" customHeight="true" outlineLevel="0" collapsed="false">
      <c r="A60" s="23" t="n">
        <f aca="false">Daily_Returns_Raw_Data!A37</f>
        <v>42424</v>
      </c>
      <c r="B60" s="17" t="n">
        <f aca="false">SUMPRODUCT(Daily_Returns_Raw_Data!B37:X37,$AB$2:$AX$2)</f>
        <v>0.00919718083543848</v>
      </c>
      <c r="C60" s="17" t="n">
        <f aca="false">-B60</f>
        <v>-0.00919718083543848</v>
      </c>
      <c r="D60" s="17" t="n">
        <f aca="false">IF(RANK(C60,$C$25:$C$526,0)&lt;=$H$7,1/$H$7,0)</f>
        <v>0</v>
      </c>
      <c r="E60" s="17" t="n">
        <f aca="false">MAX(C60-$H$19,0)</f>
        <v>0</v>
      </c>
    </row>
    <row r="61" customFormat="false" ht="15" hidden="false" customHeight="true" outlineLevel="0" collapsed="false">
      <c r="A61" s="23" t="n">
        <f aca="false">Daily_Returns_Raw_Data!A38</f>
        <v>42425</v>
      </c>
      <c r="B61" s="17" t="n">
        <f aca="false">SUMPRODUCT(Daily_Returns_Raw_Data!B38:X38,$AB$2:$AX$2)</f>
        <v>-0.00412109712311368</v>
      </c>
      <c r="C61" s="17" t="n">
        <f aca="false">-B61</f>
        <v>0.00412109712311368</v>
      </c>
      <c r="D61" s="17" t="n">
        <f aca="false">IF(RANK(C61,$C$25:$C$526,0)&lt;=$H$7,1/$H$7,0)</f>
        <v>0</v>
      </c>
      <c r="E61" s="17" t="n">
        <f aca="false">MAX(C61-$H$19,0)</f>
        <v>0</v>
      </c>
    </row>
    <row r="62" customFormat="false" ht="15" hidden="false" customHeight="true" outlineLevel="0" collapsed="false">
      <c r="A62" s="23" t="n">
        <f aca="false">Daily_Returns_Raw_Data!A39</f>
        <v>42426</v>
      </c>
      <c r="B62" s="17" t="n">
        <f aca="false">SUMPRODUCT(Daily_Returns_Raw_Data!B39:X39,$AB$2:$AX$2)</f>
        <v>0.00361135741930006</v>
      </c>
      <c r="C62" s="17" t="n">
        <f aca="false">-B62</f>
        <v>-0.00361135741930006</v>
      </c>
      <c r="D62" s="17" t="n">
        <f aca="false">IF(RANK(C62,$C$25:$C$526,0)&lt;=$H$7,1/$H$7,0)</f>
        <v>0</v>
      </c>
      <c r="E62" s="17" t="n">
        <f aca="false">MAX(C62-$H$19,0)</f>
        <v>0</v>
      </c>
    </row>
    <row r="63" customFormat="false" ht="15" hidden="false" customHeight="true" outlineLevel="0" collapsed="false">
      <c r="A63" s="23" t="n">
        <f aca="false">Daily_Returns_Raw_Data!A40</f>
        <v>42429</v>
      </c>
      <c r="B63" s="17" t="n">
        <f aca="false">SUMPRODUCT(Daily_Returns_Raw_Data!B40:X40,$AB$2:$AX$2)</f>
        <v>0.0251796218620422</v>
      </c>
      <c r="C63" s="17" t="n">
        <f aca="false">-B63</f>
        <v>-0.0251796218620422</v>
      </c>
      <c r="D63" s="17" t="n">
        <f aca="false">IF(RANK(C63,$C$25:$C$526,0)&lt;=$H$7,1/$H$7,0)</f>
        <v>0</v>
      </c>
      <c r="E63" s="17" t="n">
        <f aca="false">MAX(C63-$H$19,0)</f>
        <v>0</v>
      </c>
    </row>
    <row r="64" customFormat="false" ht="15" hidden="false" customHeight="true" outlineLevel="0" collapsed="false">
      <c r="A64" s="23" t="n">
        <f aca="false">Daily_Returns_Raw_Data!A41</f>
        <v>42430</v>
      </c>
      <c r="B64" s="17" t="n">
        <f aca="false">SUMPRODUCT(Daily_Returns_Raw_Data!B41:X41,$AB$2:$AX$2)</f>
        <v>0.0191603185991407</v>
      </c>
      <c r="C64" s="17" t="n">
        <f aca="false">-B64</f>
        <v>-0.0191603185991407</v>
      </c>
      <c r="D64" s="17" t="n">
        <f aca="false">IF(RANK(C64,$C$25:$C$526,0)&lt;=$H$7,1/$H$7,0)</f>
        <v>0</v>
      </c>
      <c r="E64" s="17" t="n">
        <f aca="false">MAX(C64-$H$19,0)</f>
        <v>0</v>
      </c>
    </row>
    <row r="65" customFormat="false" ht="15" hidden="false" customHeight="true" outlineLevel="0" collapsed="false">
      <c r="A65" s="23" t="n">
        <f aca="false">Daily_Returns_Raw_Data!A42</f>
        <v>42431</v>
      </c>
      <c r="B65" s="17" t="n">
        <f aca="false">SUMPRODUCT(Daily_Returns_Raw_Data!B42:X42,$AB$2:$AX$2)</f>
        <v>0.0182421865763889</v>
      </c>
      <c r="C65" s="17" t="n">
        <f aca="false">-B65</f>
        <v>-0.0182421865763889</v>
      </c>
      <c r="D65" s="17" t="n">
        <f aca="false">IF(RANK(C65,$C$25:$C$526,0)&lt;=$H$7,1/$H$7,0)</f>
        <v>0</v>
      </c>
      <c r="E65" s="17" t="n">
        <f aca="false">MAX(C65-$H$19,0)</f>
        <v>0</v>
      </c>
    </row>
    <row r="66" customFormat="false" ht="15" hidden="false" customHeight="true" outlineLevel="0" collapsed="false">
      <c r="A66" s="23" t="n">
        <f aca="false">Daily_Returns_Raw_Data!A43</f>
        <v>42432</v>
      </c>
      <c r="B66" s="17" t="n">
        <f aca="false">SUMPRODUCT(Daily_Returns_Raw_Data!B43:X43,$AB$2:$AX$2)</f>
        <v>0.0133261008602807</v>
      </c>
      <c r="C66" s="17" t="n">
        <f aca="false">-B66</f>
        <v>-0.0133261008602807</v>
      </c>
      <c r="D66" s="17" t="n">
        <f aca="false">IF(RANK(C66,$C$25:$C$526,0)&lt;=$H$7,1/$H$7,0)</f>
        <v>0</v>
      </c>
      <c r="E66" s="17" t="n">
        <f aca="false">MAX(C66-$H$19,0)</f>
        <v>0</v>
      </c>
    </row>
    <row r="67" customFormat="false" ht="15" hidden="false" customHeight="true" outlineLevel="0" collapsed="false">
      <c r="A67" s="23" t="n">
        <f aca="false">Daily_Returns_Raw_Data!A44</f>
        <v>42433</v>
      </c>
      <c r="B67" s="17" t="n">
        <f aca="false">SUMPRODUCT(Daily_Returns_Raw_Data!B44:X44,$AB$2:$AX$2)</f>
        <v>0.00936998990882762</v>
      </c>
      <c r="C67" s="17" t="n">
        <f aca="false">-B67</f>
        <v>-0.00936998990882762</v>
      </c>
      <c r="D67" s="17" t="n">
        <f aca="false">IF(RANK(C67,$C$25:$C$526,0)&lt;=$H$7,1/$H$7,0)</f>
        <v>0</v>
      </c>
      <c r="E67" s="17" t="n">
        <f aca="false">MAX(C67-$H$19,0)</f>
        <v>0</v>
      </c>
    </row>
    <row r="68" customFormat="false" ht="15" hidden="false" customHeight="true" outlineLevel="0" collapsed="false">
      <c r="A68" s="23" t="n">
        <f aca="false">Daily_Returns_Raw_Data!A45</f>
        <v>42436</v>
      </c>
      <c r="B68" s="17" t="n">
        <f aca="false">SUMPRODUCT(Daily_Returns_Raw_Data!B45:X45,$AB$2:$AX$2)</f>
        <v>-0.0203735064280979</v>
      </c>
      <c r="C68" s="17" t="n">
        <f aca="false">-B68</f>
        <v>0.0203735064280979</v>
      </c>
      <c r="D68" s="17" t="n">
        <f aca="false">IF(RANK(C68,$C$25:$C$526,0)&lt;=$H$7,1/$H$7,0)</f>
        <v>0.0196078431372549</v>
      </c>
      <c r="E68" s="17" t="n">
        <f aca="false">MAX(C68-$H$19,0)</f>
        <v>0.0114270531514166</v>
      </c>
    </row>
    <row r="69" customFormat="false" ht="15" hidden="false" customHeight="true" outlineLevel="0" collapsed="false">
      <c r="A69" s="23" t="n">
        <f aca="false">Daily_Returns_Raw_Data!A46</f>
        <v>42437</v>
      </c>
      <c r="B69" s="17" t="n">
        <f aca="false">SUMPRODUCT(Daily_Returns_Raw_Data!B46:X46,$AB$2:$AX$2)</f>
        <v>0.00338544367426185</v>
      </c>
      <c r="C69" s="17" t="n">
        <f aca="false">-B69</f>
        <v>-0.00338544367426185</v>
      </c>
      <c r="D69" s="17" t="n">
        <f aca="false">IF(RANK(C69,$C$25:$C$526,0)&lt;=$H$7,1/$H$7,0)</f>
        <v>0</v>
      </c>
      <c r="E69" s="17" t="n">
        <f aca="false">MAX(C69-$H$19,0)</f>
        <v>0</v>
      </c>
    </row>
    <row r="70" customFormat="false" ht="15" hidden="false" customHeight="true" outlineLevel="0" collapsed="false">
      <c r="A70" s="23" t="n">
        <f aca="false">Daily_Returns_Raw_Data!A47</f>
        <v>42438</v>
      </c>
      <c r="B70" s="17" t="n">
        <f aca="false">SUMPRODUCT(Daily_Returns_Raw_Data!B47:X47,$AB$2:$AX$2)</f>
        <v>0.00264379926091864</v>
      </c>
      <c r="C70" s="17" t="n">
        <f aca="false">-B70</f>
        <v>-0.00264379926091864</v>
      </c>
      <c r="D70" s="17" t="n">
        <f aca="false">IF(RANK(C70,$C$25:$C$526,0)&lt;=$H$7,1/$H$7,0)</f>
        <v>0</v>
      </c>
      <c r="E70" s="17" t="n">
        <f aca="false">MAX(C70-$H$19,0)</f>
        <v>0</v>
      </c>
    </row>
    <row r="71" customFormat="false" ht="15" hidden="false" customHeight="true" outlineLevel="0" collapsed="false">
      <c r="A71" s="23" t="n">
        <f aca="false">Daily_Returns_Raw_Data!A48</f>
        <v>42439</v>
      </c>
      <c r="B71" s="17" t="n">
        <f aca="false">SUMPRODUCT(Daily_Returns_Raw_Data!B48:X48,$AB$2:$AX$2)</f>
        <v>0.012867943510225</v>
      </c>
      <c r="C71" s="17" t="n">
        <f aca="false">-B71</f>
        <v>-0.012867943510225</v>
      </c>
      <c r="D71" s="17" t="n">
        <f aca="false">IF(RANK(C71,$C$25:$C$526,0)&lt;=$H$7,1/$H$7,0)</f>
        <v>0</v>
      </c>
      <c r="E71" s="17" t="n">
        <f aca="false">MAX(C71-$H$19,0)</f>
        <v>0</v>
      </c>
    </row>
    <row r="72" customFormat="false" ht="15" hidden="false" customHeight="true" outlineLevel="0" collapsed="false">
      <c r="A72" s="23" t="n">
        <f aca="false">Daily_Returns_Raw_Data!A49</f>
        <v>42440</v>
      </c>
      <c r="B72" s="17" t="n">
        <f aca="false">SUMPRODUCT(Daily_Returns_Raw_Data!B49:X49,$AB$2:$AX$2)</f>
        <v>-0.00562834174071586</v>
      </c>
      <c r="C72" s="17" t="n">
        <f aca="false">-B72</f>
        <v>0.00562834174071586</v>
      </c>
      <c r="D72" s="17" t="n">
        <f aca="false">IF(RANK(C72,$C$25:$C$526,0)&lt;=$H$7,1/$H$7,0)</f>
        <v>0</v>
      </c>
      <c r="E72" s="17" t="n">
        <f aca="false">MAX(C72-$H$19,0)</f>
        <v>0</v>
      </c>
    </row>
    <row r="73" customFormat="false" ht="15" hidden="false" customHeight="true" outlineLevel="0" collapsed="false">
      <c r="A73" s="23" t="n">
        <f aca="false">Daily_Returns_Raw_Data!A50</f>
        <v>42443</v>
      </c>
      <c r="B73" s="17" t="n">
        <f aca="false">SUMPRODUCT(Daily_Returns_Raw_Data!B50:X50,$AB$2:$AX$2)</f>
        <v>-0.0115083910905362</v>
      </c>
      <c r="C73" s="17" t="n">
        <f aca="false">-B73</f>
        <v>0.0115083910905362</v>
      </c>
      <c r="D73" s="17" t="n">
        <f aca="false">IF(RANK(C73,$C$25:$C$526,0)&lt;=$H$7,1/$H$7,0)</f>
        <v>0.0196078431372549</v>
      </c>
      <c r="E73" s="17" t="n">
        <f aca="false">MAX(C73-$H$19,0)</f>
        <v>0.00256193781385492</v>
      </c>
    </row>
    <row r="74" customFormat="false" ht="15" hidden="false" customHeight="true" outlineLevel="0" collapsed="false">
      <c r="A74" s="23" t="n">
        <f aca="false">Daily_Returns_Raw_Data!A51</f>
        <v>42444</v>
      </c>
      <c r="B74" s="17" t="n">
        <f aca="false">SUMPRODUCT(Daily_Returns_Raw_Data!B51:X51,$AB$2:$AX$2)</f>
        <v>0.0128998065993111</v>
      </c>
      <c r="C74" s="17" t="n">
        <f aca="false">-B74</f>
        <v>-0.0128998065993111</v>
      </c>
      <c r="D74" s="17" t="n">
        <f aca="false">IF(RANK(C74,$C$25:$C$526,0)&lt;=$H$7,1/$H$7,0)</f>
        <v>0</v>
      </c>
      <c r="E74" s="17" t="n">
        <f aca="false">MAX(C74-$H$19,0)</f>
        <v>0</v>
      </c>
    </row>
    <row r="75" customFormat="false" ht="15" hidden="false" customHeight="true" outlineLevel="0" collapsed="false">
      <c r="A75" s="23" t="n">
        <f aca="false">Daily_Returns_Raw_Data!A52</f>
        <v>42445</v>
      </c>
      <c r="B75" s="17" t="n">
        <f aca="false">SUMPRODUCT(Daily_Returns_Raw_Data!B52:X52,$AB$2:$AX$2)</f>
        <v>0.00837383783680225</v>
      </c>
      <c r="C75" s="17" t="n">
        <f aca="false">-B75</f>
        <v>-0.00837383783680225</v>
      </c>
      <c r="D75" s="17" t="n">
        <f aca="false">IF(RANK(C75,$C$25:$C$526,0)&lt;=$H$7,1/$H$7,0)</f>
        <v>0</v>
      </c>
      <c r="E75" s="17" t="n">
        <f aca="false">MAX(C75-$H$19,0)</f>
        <v>0</v>
      </c>
    </row>
    <row r="76" customFormat="false" ht="15" hidden="false" customHeight="true" outlineLevel="0" collapsed="false">
      <c r="A76" s="23" t="n">
        <f aca="false">Daily_Returns_Raw_Data!A53</f>
        <v>42446</v>
      </c>
      <c r="B76" s="17" t="n">
        <f aca="false">SUMPRODUCT(Daily_Returns_Raw_Data!B53:X53,$AB$2:$AX$2)</f>
        <v>0.0064597084365352</v>
      </c>
      <c r="C76" s="17" t="n">
        <f aca="false">-B76</f>
        <v>-0.0064597084365352</v>
      </c>
      <c r="D76" s="17" t="n">
        <f aca="false">IF(RANK(C76,$C$25:$C$526,0)&lt;=$H$7,1/$H$7,0)</f>
        <v>0</v>
      </c>
      <c r="E76" s="17" t="n">
        <f aca="false">MAX(C76-$H$19,0)</f>
        <v>0</v>
      </c>
    </row>
    <row r="77" customFormat="false" ht="15" hidden="false" customHeight="true" outlineLevel="0" collapsed="false">
      <c r="A77" s="23" t="n">
        <f aca="false">Daily_Returns_Raw_Data!A54</f>
        <v>42447</v>
      </c>
      <c r="B77" s="17" t="n">
        <f aca="false">SUMPRODUCT(Daily_Returns_Raw_Data!B54:X54,$AB$2:$AX$2)</f>
        <v>0.00168110502140495</v>
      </c>
      <c r="C77" s="17" t="n">
        <f aca="false">-B77</f>
        <v>-0.00168110502140495</v>
      </c>
      <c r="D77" s="17" t="n">
        <f aca="false">IF(RANK(C77,$C$25:$C$526,0)&lt;=$H$7,1/$H$7,0)</f>
        <v>0</v>
      </c>
      <c r="E77" s="17" t="n">
        <f aca="false">MAX(C77-$H$19,0)</f>
        <v>0</v>
      </c>
    </row>
    <row r="78" customFormat="false" ht="15" hidden="false" customHeight="true" outlineLevel="0" collapsed="false">
      <c r="A78" s="23" t="n">
        <f aca="false">Daily_Returns_Raw_Data!A55</f>
        <v>42450</v>
      </c>
      <c r="B78" s="17" t="n">
        <f aca="false">SUMPRODUCT(Daily_Returns_Raw_Data!B55:X55,$AB$2:$AX$2)</f>
        <v>-0.00148187750003008</v>
      </c>
      <c r="C78" s="17" t="n">
        <f aca="false">-B78</f>
        <v>0.00148187750003008</v>
      </c>
      <c r="D78" s="17" t="n">
        <f aca="false">IF(RANK(C78,$C$25:$C$526,0)&lt;=$H$7,1/$H$7,0)</f>
        <v>0</v>
      </c>
      <c r="E78" s="17" t="n">
        <f aca="false">MAX(C78-$H$19,0)</f>
        <v>0</v>
      </c>
    </row>
    <row r="79" customFormat="false" ht="15" hidden="false" customHeight="true" outlineLevel="0" collapsed="false">
      <c r="A79" s="23" t="n">
        <f aca="false">Daily_Returns_Raw_Data!A56</f>
        <v>42451</v>
      </c>
      <c r="B79" s="17" t="n">
        <f aca="false">SUMPRODUCT(Daily_Returns_Raw_Data!B56:X56,$AB$2:$AX$2)</f>
        <v>-0.0200140588286642</v>
      </c>
      <c r="C79" s="17" t="n">
        <f aca="false">-B79</f>
        <v>0.0200140588286642</v>
      </c>
      <c r="D79" s="17" t="n">
        <f aca="false">IF(RANK(C79,$C$25:$C$526,0)&lt;=$H$7,1/$H$7,0)</f>
        <v>0.0196078431372549</v>
      </c>
      <c r="E79" s="17" t="n">
        <f aca="false">MAX(C79-$H$19,0)</f>
        <v>0.0110676055519829</v>
      </c>
    </row>
    <row r="80" customFormat="false" ht="15" hidden="false" customHeight="true" outlineLevel="0" collapsed="false">
      <c r="A80" s="23" t="n">
        <f aca="false">Daily_Returns_Raw_Data!A57</f>
        <v>42452</v>
      </c>
      <c r="B80" s="17" t="n">
        <f aca="false">SUMPRODUCT(Daily_Returns_Raw_Data!B57:X57,$AB$2:$AX$2)</f>
        <v>0.00243056662027634</v>
      </c>
      <c r="C80" s="17" t="n">
        <f aca="false">-B80</f>
        <v>-0.00243056662027634</v>
      </c>
      <c r="D80" s="17" t="n">
        <f aca="false">IF(RANK(C80,$C$25:$C$526,0)&lt;=$H$7,1/$H$7,0)</f>
        <v>0</v>
      </c>
      <c r="E80" s="17" t="n">
        <f aca="false">MAX(C80-$H$19,0)</f>
        <v>0</v>
      </c>
    </row>
    <row r="81" customFormat="false" ht="15" hidden="false" customHeight="true" outlineLevel="0" collapsed="false">
      <c r="A81" s="23" t="n">
        <f aca="false">Daily_Returns_Raw_Data!A58</f>
        <v>42453</v>
      </c>
      <c r="B81" s="17" t="n">
        <f aca="false">SUMPRODUCT(Daily_Returns_Raw_Data!B58:X58,$AB$2:$AX$2)</f>
        <v>0.00475236609439417</v>
      </c>
      <c r="C81" s="17" t="n">
        <f aca="false">-B81</f>
        <v>-0.00475236609439417</v>
      </c>
      <c r="D81" s="17" t="n">
        <f aca="false">IF(RANK(C81,$C$25:$C$526,0)&lt;=$H$7,1/$H$7,0)</f>
        <v>0</v>
      </c>
      <c r="E81" s="17" t="n">
        <f aca="false">MAX(C81-$H$19,0)</f>
        <v>0</v>
      </c>
    </row>
    <row r="82" customFormat="false" ht="15" hidden="false" customHeight="true" outlineLevel="0" collapsed="false">
      <c r="A82" s="23" t="n">
        <f aca="false">Daily_Returns_Raw_Data!A59</f>
        <v>42457</v>
      </c>
      <c r="B82" s="17" t="n">
        <f aca="false">SUMPRODUCT(Daily_Returns_Raw_Data!B59:X59,$AB$2:$AX$2)</f>
        <v>0.00494377434253154</v>
      </c>
      <c r="C82" s="17" t="n">
        <f aca="false">-B82</f>
        <v>-0.00494377434253154</v>
      </c>
      <c r="D82" s="17" t="n">
        <f aca="false">IF(RANK(C82,$C$25:$C$526,0)&lt;=$H$7,1/$H$7,0)</f>
        <v>0</v>
      </c>
      <c r="E82" s="17" t="n">
        <f aca="false">MAX(C82-$H$19,0)</f>
        <v>0</v>
      </c>
    </row>
    <row r="83" customFormat="false" ht="15" hidden="false" customHeight="true" outlineLevel="0" collapsed="false">
      <c r="A83" s="23" t="n">
        <f aca="false">Daily_Returns_Raw_Data!A60</f>
        <v>42458</v>
      </c>
      <c r="B83" s="17" t="n">
        <f aca="false">SUMPRODUCT(Daily_Returns_Raw_Data!B60:X60,$AB$2:$AX$2)</f>
        <v>0.00751783439599195</v>
      </c>
      <c r="C83" s="17" t="n">
        <f aca="false">-B83</f>
        <v>-0.00751783439599195</v>
      </c>
      <c r="D83" s="17" t="n">
        <f aca="false">IF(RANK(C83,$C$25:$C$526,0)&lt;=$H$7,1/$H$7,0)</f>
        <v>0</v>
      </c>
      <c r="E83" s="17" t="n">
        <f aca="false">MAX(C83-$H$19,0)</f>
        <v>0</v>
      </c>
    </row>
    <row r="84" customFormat="false" ht="15" hidden="false" customHeight="true" outlineLevel="0" collapsed="false">
      <c r="A84" s="23" t="n">
        <f aca="false">Daily_Returns_Raw_Data!A61</f>
        <v>42459</v>
      </c>
      <c r="B84" s="17" t="n">
        <f aca="false">SUMPRODUCT(Daily_Returns_Raw_Data!B61:X61,$AB$2:$AX$2)</f>
        <v>-0.000372218406100088</v>
      </c>
      <c r="C84" s="17" t="n">
        <f aca="false">-B84</f>
        <v>0.000372218406100088</v>
      </c>
      <c r="D84" s="17" t="n">
        <f aca="false">IF(RANK(C84,$C$25:$C$526,0)&lt;=$H$7,1/$H$7,0)</f>
        <v>0</v>
      </c>
      <c r="E84" s="17" t="n">
        <f aca="false">MAX(C84-$H$19,0)</f>
        <v>0</v>
      </c>
    </row>
    <row r="85" customFormat="false" ht="15" hidden="false" customHeight="true" outlineLevel="0" collapsed="false">
      <c r="A85" s="23" t="n">
        <f aca="false">Daily_Returns_Raw_Data!A62</f>
        <v>42460</v>
      </c>
      <c r="B85" s="17" t="n">
        <f aca="false">SUMPRODUCT(Daily_Returns_Raw_Data!B62:X62,$AB$2:$AX$2)</f>
        <v>0.00230810536628069</v>
      </c>
      <c r="C85" s="17" t="n">
        <f aca="false">-B85</f>
        <v>-0.00230810536628069</v>
      </c>
      <c r="D85" s="17" t="n">
        <f aca="false">IF(RANK(C85,$C$25:$C$526,0)&lt;=$H$7,1/$H$7,0)</f>
        <v>0</v>
      </c>
      <c r="E85" s="17" t="n">
        <f aca="false">MAX(C85-$H$19,0)</f>
        <v>0</v>
      </c>
    </row>
    <row r="86" customFormat="false" ht="15" hidden="false" customHeight="true" outlineLevel="0" collapsed="false">
      <c r="A86" s="23" t="n">
        <f aca="false">Daily_Returns_Raw_Data!A63</f>
        <v>42461</v>
      </c>
      <c r="B86" s="17" t="n">
        <f aca="false">SUMPRODUCT(Daily_Returns_Raw_Data!B63:X63,$AB$2:$AX$2)</f>
        <v>-0.0106585881293707</v>
      </c>
      <c r="C86" s="17" t="n">
        <f aca="false">-B86</f>
        <v>0.0106585881293707</v>
      </c>
      <c r="D86" s="17" t="n">
        <f aca="false">IF(RANK(C86,$C$25:$C$526,0)&lt;=$H$7,1/$H$7,0)</f>
        <v>0.0196078431372549</v>
      </c>
      <c r="E86" s="17" t="n">
        <f aca="false">MAX(C86-$H$19,0)</f>
        <v>0.00171213485268939</v>
      </c>
    </row>
    <row r="87" customFormat="false" ht="15" hidden="false" customHeight="true" outlineLevel="0" collapsed="false">
      <c r="A87" s="23" t="n">
        <f aca="false">Daily_Returns_Raw_Data!A64</f>
        <v>42464</v>
      </c>
      <c r="B87" s="17" t="n">
        <f aca="false">SUMPRODUCT(Daily_Returns_Raw_Data!B64:X64,$AB$2:$AX$2)</f>
        <v>0.000739427751355482</v>
      </c>
      <c r="C87" s="17" t="n">
        <f aca="false">-B87</f>
        <v>-0.000739427751355482</v>
      </c>
      <c r="D87" s="17" t="n">
        <f aca="false">IF(RANK(C87,$C$25:$C$526,0)&lt;=$H$7,1/$H$7,0)</f>
        <v>0</v>
      </c>
      <c r="E87" s="17" t="n">
        <f aca="false">MAX(C87-$H$19,0)</f>
        <v>0</v>
      </c>
    </row>
    <row r="88" customFormat="false" ht="15" hidden="false" customHeight="true" outlineLevel="0" collapsed="false">
      <c r="A88" s="23" t="n">
        <f aca="false">Daily_Returns_Raw_Data!A65</f>
        <v>42465</v>
      </c>
      <c r="B88" s="17" t="n">
        <f aca="false">SUMPRODUCT(Daily_Returns_Raw_Data!B65:X65,$AB$2:$AX$2)</f>
        <v>0.00608086914031065</v>
      </c>
      <c r="C88" s="17" t="n">
        <f aca="false">-B88</f>
        <v>-0.00608086914031065</v>
      </c>
      <c r="D88" s="17" t="n">
        <f aca="false">IF(RANK(C88,$C$25:$C$526,0)&lt;=$H$7,1/$H$7,0)</f>
        <v>0</v>
      </c>
      <c r="E88" s="17" t="n">
        <f aca="false">MAX(C88-$H$19,0)</f>
        <v>0</v>
      </c>
    </row>
    <row r="89" customFormat="false" ht="15" hidden="false" customHeight="true" outlineLevel="0" collapsed="false">
      <c r="A89" s="23" t="n">
        <f aca="false">Daily_Returns_Raw_Data!A66</f>
        <v>42466</v>
      </c>
      <c r="B89" s="17" t="n">
        <f aca="false">SUMPRODUCT(Daily_Returns_Raw_Data!B66:X66,$AB$2:$AX$2)</f>
        <v>-0.0140038112962614</v>
      </c>
      <c r="C89" s="17" t="n">
        <f aca="false">-B89</f>
        <v>0.0140038112962614</v>
      </c>
      <c r="D89" s="17" t="n">
        <f aca="false">IF(RANK(C89,$C$25:$C$526,0)&lt;=$H$7,1/$H$7,0)</f>
        <v>0.0196078431372549</v>
      </c>
      <c r="E89" s="17" t="n">
        <f aca="false">MAX(C89-$H$19,0)</f>
        <v>0.00505735801958007</v>
      </c>
    </row>
    <row r="90" customFormat="false" ht="15" hidden="false" customHeight="true" outlineLevel="0" collapsed="false">
      <c r="A90" s="23" t="n">
        <f aca="false">Daily_Returns_Raw_Data!A67</f>
        <v>42467</v>
      </c>
      <c r="B90" s="17" t="n">
        <f aca="false">SUMPRODUCT(Daily_Returns_Raw_Data!B67:X67,$AB$2:$AX$2)</f>
        <v>0.0134710114976246</v>
      </c>
      <c r="C90" s="17" t="n">
        <f aca="false">-B90</f>
        <v>-0.0134710114976246</v>
      </c>
      <c r="D90" s="17" t="n">
        <f aca="false">IF(RANK(C90,$C$25:$C$526,0)&lt;=$H$7,1/$H$7,0)</f>
        <v>0</v>
      </c>
      <c r="E90" s="17" t="n">
        <f aca="false">MAX(C90-$H$19,0)</f>
        <v>0</v>
      </c>
    </row>
    <row r="91" customFormat="false" ht="15" hidden="false" customHeight="true" outlineLevel="0" collapsed="false">
      <c r="A91" s="23" t="n">
        <f aca="false">Daily_Returns_Raw_Data!A68</f>
        <v>42468</v>
      </c>
      <c r="B91" s="17" t="n">
        <f aca="false">SUMPRODUCT(Daily_Returns_Raw_Data!B68:X68,$AB$2:$AX$2)</f>
        <v>0.00864218054564736</v>
      </c>
      <c r="C91" s="17" t="n">
        <f aca="false">-B91</f>
        <v>-0.00864218054564736</v>
      </c>
      <c r="D91" s="17" t="n">
        <f aca="false">IF(RANK(C91,$C$25:$C$526,0)&lt;=$H$7,1/$H$7,0)</f>
        <v>0</v>
      </c>
      <c r="E91" s="17" t="n">
        <f aca="false">MAX(C91-$H$19,0)</f>
        <v>0</v>
      </c>
    </row>
    <row r="92" customFormat="false" ht="15" hidden="false" customHeight="true" outlineLevel="0" collapsed="false">
      <c r="A92" s="23" t="n">
        <f aca="false">Daily_Returns_Raw_Data!A69</f>
        <v>42471</v>
      </c>
      <c r="B92" s="17" t="n">
        <f aca="false">SUMPRODUCT(Daily_Returns_Raw_Data!B69:X69,$AB$2:$AX$2)</f>
        <v>0.0168364889583432</v>
      </c>
      <c r="C92" s="17" t="n">
        <f aca="false">-B92</f>
        <v>-0.0168364889583432</v>
      </c>
      <c r="D92" s="17" t="n">
        <f aca="false">IF(RANK(C92,$C$25:$C$526,0)&lt;=$H$7,1/$H$7,0)</f>
        <v>0</v>
      </c>
      <c r="E92" s="17" t="n">
        <f aca="false">MAX(C92-$H$19,0)</f>
        <v>0</v>
      </c>
    </row>
    <row r="93" customFormat="false" ht="15" hidden="false" customHeight="true" outlineLevel="0" collapsed="false">
      <c r="A93" s="23" t="n">
        <f aca="false">Daily_Returns_Raw_Data!A70</f>
        <v>42472</v>
      </c>
      <c r="B93" s="17" t="n">
        <f aca="false">SUMPRODUCT(Daily_Returns_Raw_Data!B70:X70,$AB$2:$AX$2)</f>
        <v>0.011369552582698</v>
      </c>
      <c r="C93" s="17" t="n">
        <f aca="false">-B93</f>
        <v>-0.011369552582698</v>
      </c>
      <c r="D93" s="17" t="n">
        <f aca="false">IF(RANK(C93,$C$25:$C$526,0)&lt;=$H$7,1/$H$7,0)</f>
        <v>0</v>
      </c>
      <c r="E93" s="17" t="n">
        <f aca="false">MAX(C93-$H$19,0)</f>
        <v>0</v>
      </c>
    </row>
    <row r="94" customFormat="false" ht="15" hidden="false" customHeight="true" outlineLevel="0" collapsed="false">
      <c r="A94" s="23" t="n">
        <f aca="false">Daily_Returns_Raw_Data!A71</f>
        <v>42473</v>
      </c>
      <c r="B94" s="17" t="n">
        <f aca="false">SUMPRODUCT(Daily_Returns_Raw_Data!B71:X71,$AB$2:$AX$2)</f>
        <v>-0.00545650185206981</v>
      </c>
      <c r="C94" s="17" t="n">
        <f aca="false">-B94</f>
        <v>0.00545650185206981</v>
      </c>
      <c r="D94" s="17" t="n">
        <f aca="false">IF(RANK(C94,$C$25:$C$526,0)&lt;=$H$7,1/$H$7,0)</f>
        <v>0</v>
      </c>
      <c r="E94" s="17" t="n">
        <f aca="false">MAX(C94-$H$19,0)</f>
        <v>0</v>
      </c>
    </row>
    <row r="95" customFormat="false" ht="15" hidden="false" customHeight="true" outlineLevel="0" collapsed="false">
      <c r="A95" s="23" t="n">
        <f aca="false">Daily_Returns_Raw_Data!A72</f>
        <v>42474</v>
      </c>
      <c r="B95" s="17" t="n">
        <f aca="false">SUMPRODUCT(Daily_Returns_Raw_Data!B72:X72,$AB$2:$AX$2)</f>
        <v>-0.00482469985207773</v>
      </c>
      <c r="C95" s="17" t="n">
        <f aca="false">-B95</f>
        <v>0.00482469985207773</v>
      </c>
      <c r="D95" s="17" t="n">
        <f aca="false">IF(RANK(C95,$C$25:$C$526,0)&lt;=$H$7,1/$H$7,0)</f>
        <v>0</v>
      </c>
      <c r="E95" s="17" t="n">
        <f aca="false">MAX(C95-$H$19,0)</f>
        <v>0</v>
      </c>
    </row>
    <row r="96" customFormat="false" ht="15" hidden="false" customHeight="true" outlineLevel="0" collapsed="false">
      <c r="A96" s="23" t="n">
        <f aca="false">Daily_Returns_Raw_Data!A73</f>
        <v>42475</v>
      </c>
      <c r="B96" s="17" t="n">
        <f aca="false">SUMPRODUCT(Daily_Returns_Raw_Data!B73:X73,$AB$2:$AX$2)</f>
        <v>0.00192683861019797</v>
      </c>
      <c r="C96" s="17" t="n">
        <f aca="false">-B96</f>
        <v>-0.00192683861019797</v>
      </c>
      <c r="D96" s="17" t="n">
        <f aca="false">IF(RANK(C96,$C$25:$C$526,0)&lt;=$H$7,1/$H$7,0)</f>
        <v>0</v>
      </c>
      <c r="E96" s="17" t="n">
        <f aca="false">MAX(C96-$H$19,0)</f>
        <v>0</v>
      </c>
    </row>
    <row r="97" customFormat="false" ht="15" hidden="false" customHeight="true" outlineLevel="0" collapsed="false">
      <c r="A97" s="23" t="n">
        <f aca="false">Daily_Returns_Raw_Data!A74</f>
        <v>42478</v>
      </c>
      <c r="B97" s="17" t="n">
        <f aca="false">SUMPRODUCT(Daily_Returns_Raw_Data!B74:X74,$AB$2:$AX$2)</f>
        <v>0.0106850959698739</v>
      </c>
      <c r="C97" s="17" t="n">
        <f aca="false">-B97</f>
        <v>-0.0106850959698739</v>
      </c>
      <c r="D97" s="17" t="n">
        <f aca="false">IF(RANK(C97,$C$25:$C$526,0)&lt;=$H$7,1/$H$7,0)</f>
        <v>0</v>
      </c>
      <c r="E97" s="17" t="n">
        <f aca="false">MAX(C97-$H$19,0)</f>
        <v>0</v>
      </c>
    </row>
    <row r="98" customFormat="false" ht="15" hidden="false" customHeight="true" outlineLevel="0" collapsed="false">
      <c r="A98" s="23" t="n">
        <f aca="false">Daily_Returns_Raw_Data!A75</f>
        <v>42479</v>
      </c>
      <c r="B98" s="17" t="n">
        <f aca="false">SUMPRODUCT(Daily_Returns_Raw_Data!B75:X75,$AB$2:$AX$2)</f>
        <v>0.0116368145081087</v>
      </c>
      <c r="C98" s="17" t="n">
        <f aca="false">-B98</f>
        <v>-0.0116368145081087</v>
      </c>
      <c r="D98" s="17" t="n">
        <f aca="false">IF(RANK(C98,$C$25:$C$526,0)&lt;=$H$7,1/$H$7,0)</f>
        <v>0</v>
      </c>
      <c r="E98" s="17" t="n">
        <f aca="false">MAX(C98-$H$19,0)</f>
        <v>0</v>
      </c>
    </row>
    <row r="99" customFormat="false" ht="15" hidden="false" customHeight="true" outlineLevel="0" collapsed="false">
      <c r="A99" s="23" t="n">
        <f aca="false">Daily_Returns_Raw_Data!A76</f>
        <v>42480</v>
      </c>
      <c r="B99" s="17" t="n">
        <f aca="false">SUMPRODUCT(Daily_Returns_Raw_Data!B76:X76,$AB$2:$AX$2)</f>
        <v>-0.0124261407691882</v>
      </c>
      <c r="C99" s="17" t="n">
        <f aca="false">-B99</f>
        <v>0.0124261407691882</v>
      </c>
      <c r="D99" s="17" t="n">
        <f aca="false">IF(RANK(C99,$C$25:$C$526,0)&lt;=$H$7,1/$H$7,0)</f>
        <v>0.0196078431372549</v>
      </c>
      <c r="E99" s="17" t="n">
        <f aca="false">MAX(C99-$H$19,0)</f>
        <v>0.0034796874925069</v>
      </c>
    </row>
    <row r="100" customFormat="false" ht="15" hidden="false" customHeight="true" outlineLevel="0" collapsed="false">
      <c r="A100" s="23" t="n">
        <f aca="false">Daily_Returns_Raw_Data!A77</f>
        <v>42481</v>
      </c>
      <c r="B100" s="17" t="n">
        <f aca="false">SUMPRODUCT(Daily_Returns_Raw_Data!B77:X77,$AB$2:$AX$2)</f>
        <v>0.00113396817699618</v>
      </c>
      <c r="C100" s="17" t="n">
        <f aca="false">-B100</f>
        <v>-0.00113396817699618</v>
      </c>
      <c r="D100" s="17" t="n">
        <f aca="false">IF(RANK(C100,$C$25:$C$526,0)&lt;=$H$7,1/$H$7,0)</f>
        <v>0</v>
      </c>
      <c r="E100" s="17" t="n">
        <f aca="false">MAX(C100-$H$19,0)</f>
        <v>0</v>
      </c>
    </row>
    <row r="101" customFormat="false" ht="15" hidden="false" customHeight="true" outlineLevel="0" collapsed="false">
      <c r="A101" s="23" t="n">
        <f aca="false">Daily_Returns_Raw_Data!A78</f>
        <v>42482</v>
      </c>
      <c r="B101" s="17" t="n">
        <f aca="false">SUMPRODUCT(Daily_Returns_Raw_Data!B78:X78,$AB$2:$AX$2)</f>
        <v>-0.00589577876668334</v>
      </c>
      <c r="C101" s="17" t="n">
        <f aca="false">-B101</f>
        <v>0.00589577876668334</v>
      </c>
      <c r="D101" s="17" t="n">
        <f aca="false">IF(RANK(C101,$C$25:$C$526,0)&lt;=$H$7,1/$H$7,0)</f>
        <v>0</v>
      </c>
      <c r="E101" s="17" t="n">
        <f aca="false">MAX(C101-$H$19,0)</f>
        <v>0</v>
      </c>
    </row>
    <row r="102" customFormat="false" ht="15" hidden="false" customHeight="true" outlineLevel="0" collapsed="false">
      <c r="A102" s="23" t="n">
        <f aca="false">Daily_Returns_Raw_Data!A79</f>
        <v>42485</v>
      </c>
      <c r="B102" s="17" t="n">
        <f aca="false">SUMPRODUCT(Daily_Returns_Raw_Data!B79:X79,$AB$2:$AX$2)</f>
        <v>0.0116507964600009</v>
      </c>
      <c r="C102" s="17" t="n">
        <f aca="false">-B102</f>
        <v>-0.0116507964600009</v>
      </c>
      <c r="D102" s="17" t="n">
        <f aca="false">IF(RANK(C102,$C$25:$C$526,0)&lt;=$H$7,1/$H$7,0)</f>
        <v>0</v>
      </c>
      <c r="E102" s="17" t="n">
        <f aca="false">MAX(C102-$H$19,0)</f>
        <v>0</v>
      </c>
    </row>
    <row r="103" customFormat="false" ht="15" hidden="false" customHeight="true" outlineLevel="0" collapsed="false">
      <c r="A103" s="23" t="n">
        <f aca="false">Daily_Returns_Raw_Data!A80</f>
        <v>42486</v>
      </c>
      <c r="B103" s="17" t="n">
        <f aca="false">SUMPRODUCT(Daily_Returns_Raw_Data!B80:X80,$AB$2:$AX$2)</f>
        <v>0.00763704519630121</v>
      </c>
      <c r="C103" s="17" t="n">
        <f aca="false">-B103</f>
        <v>-0.00763704519630121</v>
      </c>
      <c r="D103" s="17" t="n">
        <f aca="false">IF(RANK(C103,$C$25:$C$526,0)&lt;=$H$7,1/$H$7,0)</f>
        <v>0</v>
      </c>
      <c r="E103" s="17" t="n">
        <f aca="false">MAX(C103-$H$19,0)</f>
        <v>0</v>
      </c>
    </row>
    <row r="104" customFormat="false" ht="15" hidden="false" customHeight="true" outlineLevel="0" collapsed="false">
      <c r="A104" s="23" t="n">
        <f aca="false">Daily_Returns_Raw_Data!A81</f>
        <v>42487</v>
      </c>
      <c r="B104" s="17" t="n">
        <f aca="false">SUMPRODUCT(Daily_Returns_Raw_Data!B81:X81,$AB$2:$AX$2)</f>
        <v>-0.000272535986388734</v>
      </c>
      <c r="C104" s="17" t="n">
        <f aca="false">-B104</f>
        <v>0.000272535986388734</v>
      </c>
      <c r="D104" s="17" t="n">
        <f aca="false">IF(RANK(C104,$C$25:$C$526,0)&lt;=$H$7,1/$H$7,0)</f>
        <v>0</v>
      </c>
      <c r="E104" s="17" t="n">
        <f aca="false">MAX(C104-$H$19,0)</f>
        <v>0</v>
      </c>
    </row>
    <row r="105" customFormat="false" ht="15" hidden="false" customHeight="true" outlineLevel="0" collapsed="false">
      <c r="A105" s="23" t="n">
        <f aca="false">Daily_Returns_Raw_Data!A82</f>
        <v>42488</v>
      </c>
      <c r="B105" s="17" t="n">
        <f aca="false">SUMPRODUCT(Daily_Returns_Raw_Data!B82:X82,$AB$2:$AX$2)</f>
        <v>-0.00268558195670502</v>
      </c>
      <c r="C105" s="17" t="n">
        <f aca="false">-B105</f>
        <v>0.00268558195670502</v>
      </c>
      <c r="D105" s="17" t="n">
        <f aca="false">IF(RANK(C105,$C$25:$C$526,0)&lt;=$H$7,1/$H$7,0)</f>
        <v>0</v>
      </c>
      <c r="E105" s="17" t="n">
        <f aca="false">MAX(C105-$H$19,0)</f>
        <v>0</v>
      </c>
    </row>
    <row r="106" customFormat="false" ht="15" hidden="false" customHeight="true" outlineLevel="0" collapsed="false">
      <c r="A106" s="23" t="n">
        <f aca="false">Daily_Returns_Raw_Data!A83</f>
        <v>42489</v>
      </c>
      <c r="B106" s="17" t="n">
        <f aca="false">SUMPRODUCT(Daily_Returns_Raw_Data!B83:X83,$AB$2:$AX$2)</f>
        <v>-0.00227101078790845</v>
      </c>
      <c r="C106" s="17" t="n">
        <f aca="false">-B106</f>
        <v>0.00227101078790845</v>
      </c>
      <c r="D106" s="17" t="n">
        <f aca="false">IF(RANK(C106,$C$25:$C$526,0)&lt;=$H$7,1/$H$7,0)</f>
        <v>0</v>
      </c>
      <c r="E106" s="17" t="n">
        <f aca="false">MAX(C106-$H$19,0)</f>
        <v>0</v>
      </c>
    </row>
    <row r="107" customFormat="false" ht="15" hidden="false" customHeight="true" outlineLevel="0" collapsed="false">
      <c r="A107" s="23" t="n">
        <f aca="false">Daily_Returns_Raw_Data!A84</f>
        <v>42492</v>
      </c>
      <c r="B107" s="17" t="n">
        <f aca="false">SUMPRODUCT(Daily_Returns_Raw_Data!B84:X84,$AB$2:$AX$2)</f>
        <v>-0.0215089511873056</v>
      </c>
      <c r="C107" s="17" t="n">
        <f aca="false">-B107</f>
        <v>0.0215089511873056</v>
      </c>
      <c r="D107" s="17" t="n">
        <f aca="false">IF(RANK(C107,$C$25:$C$526,0)&lt;=$H$7,1/$H$7,0)</f>
        <v>0.0196078431372549</v>
      </c>
      <c r="E107" s="17" t="n">
        <f aca="false">MAX(C107-$H$19,0)</f>
        <v>0.0125624979106244</v>
      </c>
    </row>
    <row r="108" customFormat="false" ht="15" hidden="false" customHeight="true" outlineLevel="0" collapsed="false">
      <c r="A108" s="23" t="n">
        <f aca="false">Daily_Returns_Raw_Data!A85</f>
        <v>42493</v>
      </c>
      <c r="B108" s="17" t="n">
        <f aca="false">SUMPRODUCT(Daily_Returns_Raw_Data!B85:X85,$AB$2:$AX$2)</f>
        <v>-0.0128754506713758</v>
      </c>
      <c r="C108" s="17" t="n">
        <f aca="false">-B108</f>
        <v>0.0128754506713758</v>
      </c>
      <c r="D108" s="17" t="n">
        <f aca="false">IF(RANK(C108,$C$25:$C$526,0)&lt;=$H$7,1/$H$7,0)</f>
        <v>0.0196078431372549</v>
      </c>
      <c r="E108" s="17" t="n">
        <f aca="false">MAX(C108-$H$19,0)</f>
        <v>0.00392899739469454</v>
      </c>
    </row>
    <row r="109" customFormat="false" ht="15" hidden="false" customHeight="true" outlineLevel="0" collapsed="false">
      <c r="A109" s="23" t="n">
        <f aca="false">Daily_Returns_Raw_Data!A86</f>
        <v>42494</v>
      </c>
      <c r="B109" s="17" t="n">
        <f aca="false">SUMPRODUCT(Daily_Returns_Raw_Data!B86:X86,$AB$2:$AX$2)</f>
        <v>-0.00645904692097318</v>
      </c>
      <c r="C109" s="17" t="n">
        <f aca="false">-B109</f>
        <v>0.00645904692097318</v>
      </c>
      <c r="D109" s="17" t="n">
        <f aca="false">IF(RANK(C109,$C$25:$C$526,0)&lt;=$H$7,1/$H$7,0)</f>
        <v>0</v>
      </c>
      <c r="E109" s="17" t="n">
        <f aca="false">MAX(C109-$H$19,0)</f>
        <v>0</v>
      </c>
    </row>
    <row r="110" customFormat="false" ht="15" hidden="false" customHeight="true" outlineLevel="0" collapsed="false">
      <c r="A110" s="23" t="n">
        <f aca="false">Daily_Returns_Raw_Data!A87</f>
        <v>42495</v>
      </c>
      <c r="B110" s="17" t="n">
        <f aca="false">SUMPRODUCT(Daily_Returns_Raw_Data!B87:X87,$AB$2:$AX$2)</f>
        <v>0.00194426940081122</v>
      </c>
      <c r="C110" s="17" t="n">
        <f aca="false">-B110</f>
        <v>-0.00194426940081122</v>
      </c>
      <c r="D110" s="17" t="n">
        <f aca="false">IF(RANK(C110,$C$25:$C$526,0)&lt;=$H$7,1/$H$7,0)</f>
        <v>0</v>
      </c>
      <c r="E110" s="17" t="n">
        <f aca="false">MAX(C110-$H$19,0)</f>
        <v>0</v>
      </c>
    </row>
    <row r="111" customFormat="false" ht="15" hidden="false" customHeight="true" outlineLevel="0" collapsed="false">
      <c r="A111" s="23" t="n">
        <f aca="false">Daily_Returns_Raw_Data!A88</f>
        <v>42496</v>
      </c>
      <c r="B111" s="17" t="n">
        <f aca="false">SUMPRODUCT(Daily_Returns_Raw_Data!B88:X88,$AB$2:$AX$2)</f>
        <v>-0.00923085619219844</v>
      </c>
      <c r="C111" s="17" t="n">
        <f aca="false">-B111</f>
        <v>0.00923085619219844</v>
      </c>
      <c r="D111" s="17" t="n">
        <f aca="false">IF(RANK(C111,$C$25:$C$526,0)&lt;=$H$7,1/$H$7,0)</f>
        <v>0.0196078431372549</v>
      </c>
      <c r="E111" s="17" t="n">
        <f aca="false">MAX(C111-$H$19,0)</f>
        <v>0.000284402915517141</v>
      </c>
    </row>
    <row r="112" customFormat="false" ht="15" hidden="false" customHeight="true" outlineLevel="0" collapsed="false">
      <c r="A112" s="23" t="n">
        <f aca="false">Daily_Returns_Raw_Data!A89</f>
        <v>42499</v>
      </c>
      <c r="B112" s="17" t="n">
        <f aca="false">SUMPRODUCT(Daily_Returns_Raw_Data!B89:X89,$AB$2:$AX$2)</f>
        <v>0.0181544246051664</v>
      </c>
      <c r="C112" s="17" t="n">
        <f aca="false">-B112</f>
        <v>-0.0181544246051664</v>
      </c>
      <c r="D112" s="17" t="n">
        <f aca="false">IF(RANK(C112,$C$25:$C$526,0)&lt;=$H$7,1/$H$7,0)</f>
        <v>0</v>
      </c>
      <c r="E112" s="17" t="n">
        <f aca="false">MAX(C112-$H$19,0)</f>
        <v>0</v>
      </c>
    </row>
    <row r="113" customFormat="false" ht="15" hidden="false" customHeight="true" outlineLevel="0" collapsed="false">
      <c r="A113" s="23" t="n">
        <f aca="false">Daily_Returns_Raw_Data!A90</f>
        <v>42500</v>
      </c>
      <c r="B113" s="17" t="n">
        <f aca="false">SUMPRODUCT(Daily_Returns_Raw_Data!B90:X90,$AB$2:$AX$2)</f>
        <v>0.00136753941174399</v>
      </c>
      <c r="C113" s="17" t="n">
        <f aca="false">-B113</f>
        <v>-0.00136753941174399</v>
      </c>
      <c r="D113" s="17" t="n">
        <f aca="false">IF(RANK(C113,$C$25:$C$526,0)&lt;=$H$7,1/$H$7,0)</f>
        <v>0</v>
      </c>
      <c r="E113" s="17" t="n">
        <f aca="false">MAX(C113-$H$19,0)</f>
        <v>0</v>
      </c>
    </row>
    <row r="114" customFormat="false" ht="15" hidden="false" customHeight="true" outlineLevel="0" collapsed="false">
      <c r="A114" s="23" t="n">
        <f aca="false">Daily_Returns_Raw_Data!A91</f>
        <v>42501</v>
      </c>
      <c r="B114" s="17" t="n">
        <f aca="false">SUMPRODUCT(Daily_Returns_Raw_Data!B91:X91,$AB$2:$AX$2)</f>
        <v>-0.00670989252804996</v>
      </c>
      <c r="C114" s="17" t="n">
        <f aca="false">-B114</f>
        <v>0.00670989252804996</v>
      </c>
      <c r="D114" s="17" t="n">
        <f aca="false">IF(RANK(C114,$C$25:$C$526,0)&lt;=$H$7,1/$H$7,0)</f>
        <v>0</v>
      </c>
      <c r="E114" s="17" t="n">
        <f aca="false">MAX(C114-$H$19,0)</f>
        <v>0</v>
      </c>
    </row>
    <row r="115" customFormat="false" ht="15" hidden="false" customHeight="true" outlineLevel="0" collapsed="false">
      <c r="A115" s="23" t="n">
        <f aca="false">Daily_Returns_Raw_Data!A92</f>
        <v>42502</v>
      </c>
      <c r="B115" s="17" t="n">
        <f aca="false">SUMPRODUCT(Daily_Returns_Raw_Data!B92:X92,$AB$2:$AX$2)</f>
        <v>-0.0126630539971239</v>
      </c>
      <c r="C115" s="17" t="n">
        <f aca="false">-B115</f>
        <v>0.0126630539971239</v>
      </c>
      <c r="D115" s="17" t="n">
        <f aca="false">IF(RANK(C115,$C$25:$C$526,0)&lt;=$H$7,1/$H$7,0)</f>
        <v>0.0196078431372549</v>
      </c>
      <c r="E115" s="17" t="n">
        <f aca="false">MAX(C115-$H$19,0)</f>
        <v>0.0037166007204426</v>
      </c>
    </row>
    <row r="116" customFormat="false" ht="15" hidden="false" customHeight="true" outlineLevel="0" collapsed="false">
      <c r="A116" s="23" t="n">
        <f aca="false">Daily_Returns_Raw_Data!A93</f>
        <v>42503</v>
      </c>
      <c r="B116" s="17" t="n">
        <f aca="false">SUMPRODUCT(Daily_Returns_Raw_Data!B93:X93,$AB$2:$AX$2)</f>
        <v>0.0101676929244242</v>
      </c>
      <c r="C116" s="17" t="n">
        <f aca="false">-B116</f>
        <v>-0.0101676929244242</v>
      </c>
      <c r="D116" s="17" t="n">
        <f aca="false">IF(RANK(C116,$C$25:$C$526,0)&lt;=$H$7,1/$H$7,0)</f>
        <v>0</v>
      </c>
      <c r="E116" s="17" t="n">
        <f aca="false">MAX(C116-$H$19,0)</f>
        <v>0</v>
      </c>
    </row>
    <row r="117" customFormat="false" ht="15" hidden="false" customHeight="true" outlineLevel="0" collapsed="false">
      <c r="A117" s="23" t="n">
        <f aca="false">Daily_Returns_Raw_Data!A94</f>
        <v>42506</v>
      </c>
      <c r="B117" s="17" t="n">
        <f aca="false">SUMPRODUCT(Daily_Returns_Raw_Data!B94:X94,$AB$2:$AX$2)</f>
        <v>-0.0088154437642403</v>
      </c>
      <c r="C117" s="17" t="n">
        <f aca="false">-B117</f>
        <v>0.0088154437642403</v>
      </c>
      <c r="D117" s="17" t="n">
        <f aca="false">IF(RANK(C117,$C$25:$C$526,0)&lt;=$H$7,1/$H$7,0)</f>
        <v>0</v>
      </c>
      <c r="E117" s="17" t="n">
        <f aca="false">MAX(C117-$H$19,0)</f>
        <v>0</v>
      </c>
    </row>
    <row r="118" customFormat="false" ht="15" hidden="false" customHeight="true" outlineLevel="0" collapsed="false">
      <c r="A118" s="23" t="n">
        <f aca="false">Daily_Returns_Raw_Data!A95</f>
        <v>42507</v>
      </c>
      <c r="B118" s="17" t="n">
        <f aca="false">SUMPRODUCT(Daily_Returns_Raw_Data!B95:X95,$AB$2:$AX$2)</f>
        <v>-0.00479572860481801</v>
      </c>
      <c r="C118" s="17" t="n">
        <f aca="false">-B118</f>
        <v>0.00479572860481801</v>
      </c>
      <c r="D118" s="17" t="n">
        <f aca="false">IF(RANK(C118,$C$25:$C$526,0)&lt;=$H$7,1/$H$7,0)</f>
        <v>0</v>
      </c>
      <c r="E118" s="17" t="n">
        <f aca="false">MAX(C118-$H$19,0)</f>
        <v>0</v>
      </c>
    </row>
    <row r="119" customFormat="false" ht="15" hidden="false" customHeight="true" outlineLevel="0" collapsed="false">
      <c r="A119" s="23" t="n">
        <f aca="false">Daily_Returns_Raw_Data!A96</f>
        <v>42508</v>
      </c>
      <c r="B119" s="17" t="n">
        <f aca="false">SUMPRODUCT(Daily_Returns_Raw_Data!B96:X96,$AB$2:$AX$2)</f>
        <v>-0.00277090227307392</v>
      </c>
      <c r="C119" s="17" t="n">
        <f aca="false">-B119</f>
        <v>0.00277090227307392</v>
      </c>
      <c r="D119" s="17" t="n">
        <f aca="false">IF(RANK(C119,$C$25:$C$526,0)&lt;=$H$7,1/$H$7,0)</f>
        <v>0</v>
      </c>
      <c r="E119" s="17" t="n">
        <f aca="false">MAX(C119-$H$19,0)</f>
        <v>0</v>
      </c>
    </row>
    <row r="120" customFormat="false" ht="15" hidden="false" customHeight="true" outlineLevel="0" collapsed="false">
      <c r="A120" s="23" t="n">
        <f aca="false">Daily_Returns_Raw_Data!A97</f>
        <v>42509</v>
      </c>
      <c r="B120" s="17" t="n">
        <f aca="false">SUMPRODUCT(Daily_Returns_Raw_Data!B97:X97,$AB$2:$AX$2)</f>
        <v>0.003639835945814</v>
      </c>
      <c r="C120" s="17" t="n">
        <f aca="false">-B120</f>
        <v>-0.003639835945814</v>
      </c>
      <c r="D120" s="17" t="n">
        <f aca="false">IF(RANK(C120,$C$25:$C$526,0)&lt;=$H$7,1/$H$7,0)</f>
        <v>0</v>
      </c>
      <c r="E120" s="17" t="n">
        <f aca="false">MAX(C120-$H$19,0)</f>
        <v>0</v>
      </c>
    </row>
    <row r="121" customFormat="false" ht="15" hidden="false" customHeight="true" outlineLevel="0" collapsed="false">
      <c r="A121" s="23" t="n">
        <f aca="false">Daily_Returns_Raw_Data!A98</f>
        <v>42510</v>
      </c>
      <c r="B121" s="17" t="n">
        <f aca="false">SUMPRODUCT(Daily_Returns_Raw_Data!B98:X98,$AB$2:$AX$2)</f>
        <v>-0.00495756348604819</v>
      </c>
      <c r="C121" s="17" t="n">
        <f aca="false">-B121</f>
        <v>0.00495756348604819</v>
      </c>
      <c r="D121" s="17" t="n">
        <f aca="false">IF(RANK(C121,$C$25:$C$526,0)&lt;=$H$7,1/$H$7,0)</f>
        <v>0</v>
      </c>
      <c r="E121" s="17" t="n">
        <f aca="false">MAX(C121-$H$19,0)</f>
        <v>0</v>
      </c>
    </row>
    <row r="122" customFormat="false" ht="15" hidden="false" customHeight="true" outlineLevel="0" collapsed="false">
      <c r="A122" s="23" t="n">
        <f aca="false">Daily_Returns_Raw_Data!A99</f>
        <v>42513</v>
      </c>
      <c r="B122" s="17" t="n">
        <f aca="false">SUMPRODUCT(Daily_Returns_Raw_Data!B99:X99,$AB$2:$AX$2)</f>
        <v>0.00941504360828938</v>
      </c>
      <c r="C122" s="17" t="n">
        <f aca="false">-B122</f>
        <v>-0.00941504360828938</v>
      </c>
      <c r="D122" s="17" t="n">
        <f aca="false">IF(RANK(C122,$C$25:$C$526,0)&lt;=$H$7,1/$H$7,0)</f>
        <v>0</v>
      </c>
      <c r="E122" s="17" t="n">
        <f aca="false">MAX(C122-$H$19,0)</f>
        <v>0</v>
      </c>
    </row>
    <row r="123" customFormat="false" ht="15" hidden="false" customHeight="true" outlineLevel="0" collapsed="false">
      <c r="A123" s="23" t="n">
        <f aca="false">Daily_Returns_Raw_Data!A100</f>
        <v>42514</v>
      </c>
      <c r="B123" s="17" t="n">
        <f aca="false">SUMPRODUCT(Daily_Returns_Raw_Data!B100:X100,$AB$2:$AX$2)</f>
        <v>0.0103092525068861</v>
      </c>
      <c r="C123" s="17" t="n">
        <f aca="false">-B123</f>
        <v>-0.0103092525068861</v>
      </c>
      <c r="D123" s="17" t="n">
        <f aca="false">IF(RANK(C123,$C$25:$C$526,0)&lt;=$H$7,1/$H$7,0)</f>
        <v>0</v>
      </c>
      <c r="E123" s="17" t="n">
        <f aca="false">MAX(C123-$H$19,0)</f>
        <v>0</v>
      </c>
    </row>
    <row r="124" customFormat="false" ht="15" hidden="false" customHeight="true" outlineLevel="0" collapsed="false">
      <c r="A124" s="23" t="n">
        <f aca="false">Daily_Returns_Raw_Data!A101</f>
        <v>42515</v>
      </c>
      <c r="B124" s="17" t="n">
        <f aca="false">SUMPRODUCT(Daily_Returns_Raw_Data!B101:X101,$AB$2:$AX$2)</f>
        <v>0.0022153023121078</v>
      </c>
      <c r="C124" s="17" t="n">
        <f aca="false">-B124</f>
        <v>-0.0022153023121078</v>
      </c>
      <c r="D124" s="17" t="n">
        <f aca="false">IF(RANK(C124,$C$25:$C$526,0)&lt;=$H$7,1/$H$7,0)</f>
        <v>0</v>
      </c>
      <c r="E124" s="17" t="n">
        <f aca="false">MAX(C124-$H$19,0)</f>
        <v>0</v>
      </c>
    </row>
    <row r="125" customFormat="false" ht="15" hidden="false" customHeight="true" outlineLevel="0" collapsed="false">
      <c r="A125" s="23" t="n">
        <f aca="false">Daily_Returns_Raw_Data!A102</f>
        <v>42516</v>
      </c>
      <c r="B125" s="17" t="n">
        <f aca="false">SUMPRODUCT(Daily_Returns_Raw_Data!B102:X102,$AB$2:$AX$2)</f>
        <v>-0.000860771636586506</v>
      </c>
      <c r="C125" s="17" t="n">
        <f aca="false">-B125</f>
        <v>0.000860771636586506</v>
      </c>
      <c r="D125" s="17" t="n">
        <f aca="false">IF(RANK(C125,$C$25:$C$526,0)&lt;=$H$7,1/$H$7,0)</f>
        <v>0</v>
      </c>
      <c r="E125" s="17" t="n">
        <f aca="false">MAX(C125-$H$19,0)</f>
        <v>0</v>
      </c>
    </row>
    <row r="126" customFormat="false" ht="15" hidden="false" customHeight="true" outlineLevel="0" collapsed="false">
      <c r="A126" s="23" t="n">
        <f aca="false">Daily_Returns_Raw_Data!A103</f>
        <v>42517</v>
      </c>
      <c r="B126" s="17" t="n">
        <f aca="false">SUMPRODUCT(Daily_Returns_Raw_Data!B103:X103,$AB$2:$AX$2)</f>
        <v>0.0023757091078079</v>
      </c>
      <c r="C126" s="17" t="n">
        <f aca="false">-B126</f>
        <v>-0.0023757091078079</v>
      </c>
      <c r="D126" s="17" t="n">
        <f aca="false">IF(RANK(C126,$C$25:$C$526,0)&lt;=$H$7,1/$H$7,0)</f>
        <v>0</v>
      </c>
      <c r="E126" s="17" t="n">
        <f aca="false">MAX(C126-$H$19,0)</f>
        <v>0</v>
      </c>
    </row>
    <row r="127" customFormat="false" ht="15" hidden="false" customHeight="true" outlineLevel="0" collapsed="false">
      <c r="A127" s="23" t="n">
        <f aca="false">Daily_Returns_Raw_Data!A104</f>
        <v>42521</v>
      </c>
      <c r="B127" s="17" t="n">
        <f aca="false">SUMPRODUCT(Daily_Returns_Raw_Data!B104:X104,$AB$2:$AX$2)</f>
        <v>0.00618936344192267</v>
      </c>
      <c r="C127" s="17" t="n">
        <f aca="false">-B127</f>
        <v>-0.00618936344192267</v>
      </c>
      <c r="D127" s="17" t="n">
        <f aca="false">IF(RANK(C127,$C$25:$C$526,0)&lt;=$H$7,1/$H$7,0)</f>
        <v>0</v>
      </c>
      <c r="E127" s="17" t="n">
        <f aca="false">MAX(C127-$H$19,0)</f>
        <v>0</v>
      </c>
    </row>
    <row r="128" customFormat="false" ht="15" hidden="false" customHeight="true" outlineLevel="0" collapsed="false">
      <c r="A128" s="23" t="n">
        <f aca="false">Daily_Returns_Raw_Data!A105</f>
        <v>42522</v>
      </c>
      <c r="B128" s="17" t="n">
        <f aca="false">SUMPRODUCT(Daily_Returns_Raw_Data!B105:X105,$AB$2:$AX$2)</f>
        <v>0.00395924935952248</v>
      </c>
      <c r="C128" s="17" t="n">
        <f aca="false">-B128</f>
        <v>-0.00395924935952248</v>
      </c>
      <c r="D128" s="17" t="n">
        <f aca="false">IF(RANK(C128,$C$25:$C$526,0)&lt;=$H$7,1/$H$7,0)</f>
        <v>0</v>
      </c>
      <c r="E128" s="17" t="n">
        <f aca="false">MAX(C128-$H$19,0)</f>
        <v>0</v>
      </c>
    </row>
    <row r="129" customFormat="false" ht="15" hidden="false" customHeight="true" outlineLevel="0" collapsed="false">
      <c r="A129" s="23" t="n">
        <f aca="false">Daily_Returns_Raw_Data!A106</f>
        <v>42523</v>
      </c>
      <c r="B129" s="17" t="n">
        <f aca="false">SUMPRODUCT(Daily_Returns_Raw_Data!B106:X106,$AB$2:$AX$2)</f>
        <v>0.00433822547081979</v>
      </c>
      <c r="C129" s="17" t="n">
        <f aca="false">-B129</f>
        <v>-0.00433822547081979</v>
      </c>
      <c r="D129" s="17" t="n">
        <f aca="false">IF(RANK(C129,$C$25:$C$526,0)&lt;=$H$7,1/$H$7,0)</f>
        <v>0</v>
      </c>
      <c r="E129" s="17" t="n">
        <f aca="false">MAX(C129-$H$19,0)</f>
        <v>0</v>
      </c>
    </row>
    <row r="130" customFormat="false" ht="15" hidden="false" customHeight="true" outlineLevel="0" collapsed="false">
      <c r="A130" s="23" t="n">
        <f aca="false">Daily_Returns_Raw_Data!A107</f>
        <v>42524</v>
      </c>
      <c r="B130" s="17" t="n">
        <f aca="false">SUMPRODUCT(Daily_Returns_Raw_Data!B107:X107,$AB$2:$AX$2)</f>
        <v>0.0085864247841314</v>
      </c>
      <c r="C130" s="17" t="n">
        <f aca="false">-B130</f>
        <v>-0.0085864247841314</v>
      </c>
      <c r="D130" s="17" t="n">
        <f aca="false">IF(RANK(C130,$C$25:$C$526,0)&lt;=$H$7,1/$H$7,0)</f>
        <v>0</v>
      </c>
      <c r="E130" s="17" t="n">
        <f aca="false">MAX(C130-$H$19,0)</f>
        <v>0</v>
      </c>
    </row>
    <row r="131" customFormat="false" ht="15" hidden="false" customHeight="true" outlineLevel="0" collapsed="false">
      <c r="A131" s="23" t="n">
        <f aca="false">Daily_Returns_Raw_Data!A108</f>
        <v>42527</v>
      </c>
      <c r="B131" s="17" t="n">
        <f aca="false">SUMPRODUCT(Daily_Returns_Raw_Data!B108:X108,$AB$2:$AX$2)</f>
        <v>0.00210610614342677</v>
      </c>
      <c r="C131" s="17" t="n">
        <f aca="false">-B131</f>
        <v>-0.00210610614342677</v>
      </c>
      <c r="D131" s="17" t="n">
        <f aca="false">IF(RANK(C131,$C$25:$C$526,0)&lt;=$H$7,1/$H$7,0)</f>
        <v>0</v>
      </c>
      <c r="E131" s="17" t="n">
        <f aca="false">MAX(C131-$H$19,0)</f>
        <v>0</v>
      </c>
    </row>
    <row r="132" customFormat="false" ht="15" hidden="false" customHeight="true" outlineLevel="0" collapsed="false">
      <c r="A132" s="23" t="n">
        <f aca="false">Daily_Returns_Raw_Data!A109</f>
        <v>42528</v>
      </c>
      <c r="B132" s="17" t="n">
        <f aca="false">SUMPRODUCT(Daily_Returns_Raw_Data!B109:X109,$AB$2:$AX$2)</f>
        <v>0.010108194381493</v>
      </c>
      <c r="C132" s="17" t="n">
        <f aca="false">-B132</f>
        <v>-0.010108194381493</v>
      </c>
      <c r="D132" s="17" t="n">
        <f aca="false">IF(RANK(C132,$C$25:$C$526,0)&lt;=$H$7,1/$H$7,0)</f>
        <v>0</v>
      </c>
      <c r="E132" s="17" t="n">
        <f aca="false">MAX(C132-$H$19,0)</f>
        <v>0</v>
      </c>
    </row>
    <row r="133" customFormat="false" ht="15" hidden="false" customHeight="true" outlineLevel="0" collapsed="false">
      <c r="A133" s="23" t="n">
        <f aca="false">Daily_Returns_Raw_Data!A110</f>
        <v>42529</v>
      </c>
      <c r="B133" s="17" t="n">
        <f aca="false">SUMPRODUCT(Daily_Returns_Raw_Data!B110:X110,$AB$2:$AX$2)</f>
        <v>-0.0103711166931076</v>
      </c>
      <c r="C133" s="17" t="n">
        <f aca="false">-B133</f>
        <v>0.0103711166931076</v>
      </c>
      <c r="D133" s="17" t="n">
        <f aca="false">IF(RANK(C133,$C$25:$C$526,0)&lt;=$H$7,1/$H$7,0)</f>
        <v>0.0196078431372549</v>
      </c>
      <c r="E133" s="17" t="n">
        <f aca="false">MAX(C133-$H$19,0)</f>
        <v>0.0014246634164263</v>
      </c>
    </row>
    <row r="134" customFormat="false" ht="15" hidden="false" customHeight="true" outlineLevel="0" collapsed="false">
      <c r="A134" s="23" t="n">
        <f aca="false">Daily_Returns_Raw_Data!A111</f>
        <v>42530</v>
      </c>
      <c r="B134" s="17" t="n">
        <f aca="false">SUMPRODUCT(Daily_Returns_Raw_Data!B111:X111,$AB$2:$AX$2)</f>
        <v>-0.0183006920391874</v>
      </c>
      <c r="C134" s="17" t="n">
        <f aca="false">-B134</f>
        <v>0.0183006920391874</v>
      </c>
      <c r="D134" s="17" t="n">
        <f aca="false">IF(RANK(C134,$C$25:$C$526,0)&lt;=$H$7,1/$H$7,0)</f>
        <v>0.0196078431372549</v>
      </c>
      <c r="E134" s="17" t="n">
        <f aca="false">MAX(C134-$H$19,0)</f>
        <v>0.00935423876250613</v>
      </c>
    </row>
    <row r="135" customFormat="false" ht="15" hidden="false" customHeight="true" outlineLevel="0" collapsed="false">
      <c r="A135" s="23" t="n">
        <f aca="false">Daily_Returns_Raw_Data!A112</f>
        <v>42531</v>
      </c>
      <c r="B135" s="17" t="n">
        <f aca="false">SUMPRODUCT(Daily_Returns_Raw_Data!B112:X112,$AB$2:$AX$2)</f>
        <v>-0.00931280257099566</v>
      </c>
      <c r="C135" s="17" t="n">
        <f aca="false">-B135</f>
        <v>0.00931280257099566</v>
      </c>
      <c r="D135" s="17" t="n">
        <f aca="false">IF(RANK(C135,$C$25:$C$526,0)&lt;=$H$7,1/$H$7,0)</f>
        <v>0.0196078431372549</v>
      </c>
      <c r="E135" s="17" t="n">
        <f aca="false">MAX(C135-$H$19,0)</f>
        <v>0.000366349294314368</v>
      </c>
    </row>
    <row r="136" customFormat="false" ht="15" hidden="false" customHeight="true" outlineLevel="0" collapsed="false">
      <c r="A136" s="23" t="n">
        <f aca="false">Daily_Returns_Raw_Data!A113</f>
        <v>42534</v>
      </c>
      <c r="B136" s="17" t="n">
        <f aca="false">SUMPRODUCT(Daily_Returns_Raw_Data!B113:X113,$AB$2:$AX$2)</f>
        <v>-0.00303010643157738</v>
      </c>
      <c r="C136" s="17" t="n">
        <f aca="false">-B136</f>
        <v>0.00303010643157738</v>
      </c>
      <c r="D136" s="17" t="n">
        <f aca="false">IF(RANK(C136,$C$25:$C$526,0)&lt;=$H$7,1/$H$7,0)</f>
        <v>0</v>
      </c>
      <c r="E136" s="17" t="n">
        <f aca="false">MAX(C136-$H$19,0)</f>
        <v>0</v>
      </c>
    </row>
    <row r="137" customFormat="false" ht="15" hidden="false" customHeight="true" outlineLevel="0" collapsed="false">
      <c r="A137" s="23" t="n">
        <f aca="false">Daily_Returns_Raw_Data!A114</f>
        <v>42535</v>
      </c>
      <c r="B137" s="17" t="n">
        <f aca="false">SUMPRODUCT(Daily_Returns_Raw_Data!B114:X114,$AB$2:$AX$2)</f>
        <v>0.000487751417112585</v>
      </c>
      <c r="C137" s="17" t="n">
        <f aca="false">-B137</f>
        <v>-0.000487751417112585</v>
      </c>
      <c r="D137" s="17" t="n">
        <f aca="false">IF(RANK(C137,$C$25:$C$526,0)&lt;=$H$7,1/$H$7,0)</f>
        <v>0</v>
      </c>
      <c r="E137" s="17" t="n">
        <f aca="false">MAX(C137-$H$19,0)</f>
        <v>0</v>
      </c>
    </row>
    <row r="138" customFormat="false" ht="15" hidden="false" customHeight="true" outlineLevel="0" collapsed="false">
      <c r="A138" s="23" t="n">
        <f aca="false">Daily_Returns_Raw_Data!A115</f>
        <v>42536</v>
      </c>
      <c r="B138" s="17" t="n">
        <f aca="false">SUMPRODUCT(Daily_Returns_Raw_Data!B115:X115,$AB$2:$AX$2)</f>
        <v>0.00114614130271558</v>
      </c>
      <c r="C138" s="17" t="n">
        <f aca="false">-B138</f>
        <v>-0.00114614130271558</v>
      </c>
      <c r="D138" s="17" t="n">
        <f aca="false">IF(RANK(C138,$C$25:$C$526,0)&lt;=$H$7,1/$H$7,0)</f>
        <v>0</v>
      </c>
      <c r="E138" s="17" t="n">
        <f aca="false">MAX(C138-$H$19,0)</f>
        <v>0</v>
      </c>
    </row>
    <row r="139" customFormat="false" ht="15" hidden="false" customHeight="true" outlineLevel="0" collapsed="false">
      <c r="A139" s="23" t="n">
        <f aca="false">Daily_Returns_Raw_Data!A116</f>
        <v>42537</v>
      </c>
      <c r="B139" s="17" t="n">
        <f aca="false">SUMPRODUCT(Daily_Returns_Raw_Data!B116:X116,$AB$2:$AX$2)</f>
        <v>0.00122243743048166</v>
      </c>
      <c r="C139" s="17" t="n">
        <f aca="false">-B139</f>
        <v>-0.00122243743048166</v>
      </c>
      <c r="D139" s="17" t="n">
        <f aca="false">IF(RANK(C139,$C$25:$C$526,0)&lt;=$H$7,1/$H$7,0)</f>
        <v>0</v>
      </c>
      <c r="E139" s="17" t="n">
        <f aca="false">MAX(C139-$H$19,0)</f>
        <v>0</v>
      </c>
    </row>
    <row r="140" customFormat="false" ht="15" hidden="false" customHeight="true" outlineLevel="0" collapsed="false">
      <c r="A140" s="23" t="n">
        <f aca="false">Daily_Returns_Raw_Data!A117</f>
        <v>42538</v>
      </c>
      <c r="B140" s="17" t="n">
        <f aca="false">SUMPRODUCT(Daily_Returns_Raw_Data!B117:X117,$AB$2:$AX$2)</f>
        <v>0.00491385932542399</v>
      </c>
      <c r="C140" s="17" t="n">
        <f aca="false">-B140</f>
        <v>-0.00491385932542399</v>
      </c>
      <c r="D140" s="17" t="n">
        <f aca="false">IF(RANK(C140,$C$25:$C$526,0)&lt;=$H$7,1/$H$7,0)</f>
        <v>0</v>
      </c>
      <c r="E140" s="17" t="n">
        <f aca="false">MAX(C140-$H$19,0)</f>
        <v>0</v>
      </c>
    </row>
    <row r="141" customFormat="false" ht="15" hidden="false" customHeight="true" outlineLevel="0" collapsed="false">
      <c r="A141" s="23" t="n">
        <f aca="false">Daily_Returns_Raw_Data!A118</f>
        <v>42541</v>
      </c>
      <c r="B141" s="17" t="n">
        <f aca="false">SUMPRODUCT(Daily_Returns_Raw_Data!B118:X118,$AB$2:$AX$2)</f>
        <v>0.0023511779429904</v>
      </c>
      <c r="C141" s="17" t="n">
        <f aca="false">-B141</f>
        <v>-0.0023511779429904</v>
      </c>
      <c r="D141" s="17" t="n">
        <f aca="false">IF(RANK(C141,$C$25:$C$526,0)&lt;=$H$7,1/$H$7,0)</f>
        <v>0</v>
      </c>
      <c r="E141" s="17" t="n">
        <f aca="false">MAX(C141-$H$19,0)</f>
        <v>0</v>
      </c>
    </row>
    <row r="142" customFormat="false" ht="15" hidden="false" customHeight="true" outlineLevel="0" collapsed="false">
      <c r="A142" s="23" t="n">
        <f aca="false">Daily_Returns_Raw_Data!A119</f>
        <v>42542</v>
      </c>
      <c r="B142" s="17" t="n">
        <f aca="false">SUMPRODUCT(Daily_Returns_Raw_Data!B119:X119,$AB$2:$AX$2)</f>
        <v>-0.00209401307765162</v>
      </c>
      <c r="C142" s="17" t="n">
        <f aca="false">-B142</f>
        <v>0.00209401307765162</v>
      </c>
      <c r="D142" s="17" t="n">
        <f aca="false">IF(RANK(C142,$C$25:$C$526,0)&lt;=$H$7,1/$H$7,0)</f>
        <v>0</v>
      </c>
      <c r="E142" s="17" t="n">
        <f aca="false">MAX(C142-$H$19,0)</f>
        <v>0</v>
      </c>
    </row>
    <row r="143" customFormat="false" ht="15" hidden="false" customHeight="true" outlineLevel="0" collapsed="false">
      <c r="A143" s="23" t="n">
        <f aca="false">Daily_Returns_Raw_Data!A120</f>
        <v>42543</v>
      </c>
      <c r="B143" s="17" t="n">
        <f aca="false">SUMPRODUCT(Daily_Returns_Raw_Data!B120:X120,$AB$2:$AX$2)</f>
        <v>0.0162919657757824</v>
      </c>
      <c r="C143" s="17" t="n">
        <f aca="false">-B143</f>
        <v>-0.0162919657757824</v>
      </c>
      <c r="D143" s="17" t="n">
        <f aca="false">IF(RANK(C143,$C$25:$C$526,0)&lt;=$H$7,1/$H$7,0)</f>
        <v>0</v>
      </c>
      <c r="E143" s="17" t="n">
        <f aca="false">MAX(C143-$H$19,0)</f>
        <v>0</v>
      </c>
    </row>
    <row r="144" customFormat="false" ht="15" hidden="false" customHeight="true" outlineLevel="0" collapsed="false">
      <c r="A144" s="23" t="n">
        <f aca="false">Daily_Returns_Raw_Data!A121</f>
        <v>42544</v>
      </c>
      <c r="B144" s="17" t="n">
        <f aca="false">SUMPRODUCT(Daily_Returns_Raw_Data!B121:X121,$AB$2:$AX$2)</f>
        <v>-0.0341605962577653</v>
      </c>
      <c r="C144" s="17" t="n">
        <f aca="false">-B144</f>
        <v>0.0341605962577653</v>
      </c>
      <c r="D144" s="17" t="n">
        <f aca="false">IF(RANK(C144,$C$25:$C$526,0)&lt;=$H$7,1/$H$7,0)</f>
        <v>0.0196078431372549</v>
      </c>
      <c r="E144" s="17" t="n">
        <f aca="false">MAX(C144-$H$19,0)</f>
        <v>0.025214142981084</v>
      </c>
    </row>
    <row r="145" customFormat="false" ht="15" hidden="false" customHeight="true" outlineLevel="0" collapsed="false">
      <c r="A145" s="23" t="n">
        <f aca="false">Daily_Returns_Raw_Data!A122</f>
        <v>42545</v>
      </c>
      <c r="B145" s="17" t="n">
        <f aca="false">SUMPRODUCT(Daily_Returns_Raw_Data!B122:X122,$AB$2:$AX$2)</f>
        <v>-0.0196774168789821</v>
      </c>
      <c r="C145" s="17" t="n">
        <f aca="false">-B145</f>
        <v>0.0196774168789821</v>
      </c>
      <c r="D145" s="17" t="n">
        <f aca="false">IF(RANK(C145,$C$25:$C$526,0)&lt;=$H$7,1/$H$7,0)</f>
        <v>0.0196078431372549</v>
      </c>
      <c r="E145" s="17" t="n">
        <f aca="false">MAX(C145-$H$19,0)</f>
        <v>0.0107309636023008</v>
      </c>
    </row>
    <row r="146" customFormat="false" ht="15" hidden="false" customHeight="true" outlineLevel="0" collapsed="false">
      <c r="A146" s="23" t="n">
        <f aca="false">Daily_Returns_Raw_Data!A123</f>
        <v>42548</v>
      </c>
      <c r="B146" s="17" t="n">
        <f aca="false">SUMPRODUCT(Daily_Returns_Raw_Data!B123:X123,$AB$2:$AX$2)</f>
        <v>0.0209865901743758</v>
      </c>
      <c r="C146" s="17" t="n">
        <f aca="false">-B146</f>
        <v>-0.0209865901743758</v>
      </c>
      <c r="D146" s="17" t="n">
        <f aca="false">IF(RANK(C146,$C$25:$C$526,0)&lt;=$H$7,1/$H$7,0)</f>
        <v>0</v>
      </c>
      <c r="E146" s="17" t="n">
        <f aca="false">MAX(C146-$H$19,0)</f>
        <v>0</v>
      </c>
    </row>
    <row r="147" customFormat="false" ht="15" hidden="false" customHeight="true" outlineLevel="0" collapsed="false">
      <c r="A147" s="23" t="n">
        <f aca="false">Daily_Returns_Raw_Data!A124</f>
        <v>42549</v>
      </c>
      <c r="B147" s="17" t="n">
        <f aca="false">SUMPRODUCT(Daily_Returns_Raw_Data!B124:X124,$AB$2:$AX$2)</f>
        <v>0.0213465439864959</v>
      </c>
      <c r="C147" s="17" t="n">
        <f aca="false">-B147</f>
        <v>-0.0213465439864959</v>
      </c>
      <c r="D147" s="17" t="n">
        <f aca="false">IF(RANK(C147,$C$25:$C$526,0)&lt;=$H$7,1/$H$7,0)</f>
        <v>0</v>
      </c>
      <c r="E147" s="17" t="n">
        <f aca="false">MAX(C147-$H$19,0)</f>
        <v>0</v>
      </c>
    </row>
    <row r="148" customFormat="false" ht="15" hidden="false" customHeight="true" outlineLevel="0" collapsed="false">
      <c r="A148" s="23" t="n">
        <f aca="false">Daily_Returns_Raw_Data!A125</f>
        <v>42550</v>
      </c>
      <c r="B148" s="17" t="n">
        <f aca="false">SUMPRODUCT(Daily_Returns_Raw_Data!B125:X125,$AB$2:$AX$2)</f>
        <v>0.0145360681395814</v>
      </c>
      <c r="C148" s="17" t="n">
        <f aca="false">-B148</f>
        <v>-0.0145360681395814</v>
      </c>
      <c r="D148" s="17" t="n">
        <f aca="false">IF(RANK(C148,$C$25:$C$526,0)&lt;=$H$7,1/$H$7,0)</f>
        <v>0</v>
      </c>
      <c r="E148" s="17" t="n">
        <f aca="false">MAX(C148-$H$19,0)</f>
        <v>0</v>
      </c>
    </row>
    <row r="149" customFormat="false" ht="15" hidden="false" customHeight="true" outlineLevel="0" collapsed="false">
      <c r="A149" s="23" t="n">
        <f aca="false">Daily_Returns_Raw_Data!A126</f>
        <v>42551</v>
      </c>
      <c r="B149" s="17" t="n">
        <f aca="false">SUMPRODUCT(Daily_Returns_Raw_Data!B126:X126,$AB$2:$AX$2)</f>
        <v>0.00121501494432287</v>
      </c>
      <c r="C149" s="17" t="n">
        <f aca="false">-B149</f>
        <v>-0.00121501494432287</v>
      </c>
      <c r="D149" s="17" t="n">
        <f aca="false">IF(RANK(C149,$C$25:$C$526,0)&lt;=$H$7,1/$H$7,0)</f>
        <v>0</v>
      </c>
      <c r="E149" s="17" t="n">
        <f aca="false">MAX(C149-$H$19,0)</f>
        <v>0</v>
      </c>
    </row>
    <row r="150" customFormat="false" ht="15" hidden="false" customHeight="true" outlineLevel="0" collapsed="false">
      <c r="A150" s="23" t="n">
        <f aca="false">Daily_Returns_Raw_Data!A127</f>
        <v>42552</v>
      </c>
      <c r="B150" s="17" t="n">
        <f aca="false">SUMPRODUCT(Daily_Returns_Raw_Data!B127:X127,$AB$2:$AX$2)</f>
        <v>-0.00795641532933224</v>
      </c>
      <c r="C150" s="17" t="n">
        <f aca="false">-B150</f>
        <v>0.00795641532933224</v>
      </c>
      <c r="D150" s="17" t="n">
        <f aca="false">IF(RANK(C150,$C$25:$C$526,0)&lt;=$H$7,1/$H$7,0)</f>
        <v>0</v>
      </c>
      <c r="E150" s="17" t="n">
        <f aca="false">MAX(C150-$H$19,0)</f>
        <v>0</v>
      </c>
    </row>
    <row r="151" customFormat="false" ht="15" hidden="false" customHeight="true" outlineLevel="0" collapsed="false">
      <c r="A151" s="23" t="n">
        <f aca="false">Daily_Returns_Raw_Data!A128</f>
        <v>42556</v>
      </c>
      <c r="B151" s="17" t="n">
        <f aca="false">SUMPRODUCT(Daily_Returns_Raw_Data!B128:X128,$AB$2:$AX$2)</f>
        <v>0.00559253168174399</v>
      </c>
      <c r="C151" s="17" t="n">
        <f aca="false">-B151</f>
        <v>-0.00559253168174399</v>
      </c>
      <c r="D151" s="17" t="n">
        <f aca="false">IF(RANK(C151,$C$25:$C$526,0)&lt;=$H$7,1/$H$7,0)</f>
        <v>0</v>
      </c>
      <c r="E151" s="17" t="n">
        <f aca="false">MAX(C151-$H$19,0)</f>
        <v>0</v>
      </c>
    </row>
    <row r="152" customFormat="false" ht="15" hidden="false" customHeight="true" outlineLevel="0" collapsed="false">
      <c r="A152" s="23" t="n">
        <f aca="false">Daily_Returns_Raw_Data!A129</f>
        <v>42557</v>
      </c>
      <c r="B152" s="17" t="n">
        <f aca="false">SUMPRODUCT(Daily_Returns_Raw_Data!B129:X129,$AB$2:$AX$2)</f>
        <v>-0.00342418686438049</v>
      </c>
      <c r="C152" s="17" t="n">
        <f aca="false">-B152</f>
        <v>0.00342418686438049</v>
      </c>
      <c r="D152" s="17" t="n">
        <f aca="false">IF(RANK(C152,$C$25:$C$526,0)&lt;=$H$7,1/$H$7,0)</f>
        <v>0</v>
      </c>
      <c r="E152" s="17" t="n">
        <f aca="false">MAX(C152-$H$19,0)</f>
        <v>0</v>
      </c>
    </row>
    <row r="153" customFormat="false" ht="15" hidden="false" customHeight="true" outlineLevel="0" collapsed="false">
      <c r="A153" s="23" t="n">
        <f aca="false">Daily_Returns_Raw_Data!A130</f>
        <v>42558</v>
      </c>
      <c r="B153" s="17" t="n">
        <f aca="false">SUMPRODUCT(Daily_Returns_Raw_Data!B130:X130,$AB$2:$AX$2)</f>
        <v>0.0164783659691577</v>
      </c>
      <c r="C153" s="17" t="n">
        <f aca="false">-B153</f>
        <v>-0.0164783659691577</v>
      </c>
      <c r="D153" s="17" t="n">
        <f aca="false">IF(RANK(C153,$C$25:$C$526,0)&lt;=$H$7,1/$H$7,0)</f>
        <v>0</v>
      </c>
      <c r="E153" s="17" t="n">
        <f aca="false">MAX(C153-$H$19,0)</f>
        <v>0</v>
      </c>
    </row>
    <row r="154" customFormat="false" ht="15" hidden="false" customHeight="true" outlineLevel="0" collapsed="false">
      <c r="A154" s="23" t="n">
        <f aca="false">Daily_Returns_Raw_Data!A131</f>
        <v>42559</v>
      </c>
      <c r="B154" s="17" t="n">
        <f aca="false">SUMPRODUCT(Daily_Returns_Raw_Data!B131:X131,$AB$2:$AX$2)</f>
        <v>0.00250125690820792</v>
      </c>
      <c r="C154" s="17" t="n">
        <f aca="false">-B154</f>
        <v>-0.00250125690820792</v>
      </c>
      <c r="D154" s="17" t="n">
        <f aca="false">IF(RANK(C154,$C$25:$C$526,0)&lt;=$H$7,1/$H$7,0)</f>
        <v>0</v>
      </c>
      <c r="E154" s="17" t="n">
        <f aca="false">MAX(C154-$H$19,0)</f>
        <v>0</v>
      </c>
    </row>
    <row r="155" customFormat="false" ht="15" hidden="false" customHeight="true" outlineLevel="0" collapsed="false">
      <c r="A155" s="23" t="n">
        <f aca="false">Daily_Returns_Raw_Data!A132</f>
        <v>42562</v>
      </c>
      <c r="B155" s="17" t="n">
        <f aca="false">SUMPRODUCT(Daily_Returns_Raw_Data!B132:X132,$AB$2:$AX$2)</f>
        <v>0.00940209051062114</v>
      </c>
      <c r="C155" s="17" t="n">
        <f aca="false">-B155</f>
        <v>-0.00940209051062114</v>
      </c>
      <c r="D155" s="17" t="n">
        <f aca="false">IF(RANK(C155,$C$25:$C$526,0)&lt;=$H$7,1/$H$7,0)</f>
        <v>0</v>
      </c>
      <c r="E155" s="17" t="n">
        <f aca="false">MAX(C155-$H$19,0)</f>
        <v>0</v>
      </c>
    </row>
    <row r="156" customFormat="false" ht="15" hidden="false" customHeight="true" outlineLevel="0" collapsed="false">
      <c r="A156" s="23" t="n">
        <f aca="false">Daily_Returns_Raw_Data!A133</f>
        <v>42563</v>
      </c>
      <c r="B156" s="17" t="n">
        <f aca="false">SUMPRODUCT(Daily_Returns_Raw_Data!B133:X133,$AB$2:$AX$2)</f>
        <v>0.00114504798915341</v>
      </c>
      <c r="C156" s="17" t="n">
        <f aca="false">-B156</f>
        <v>-0.00114504798915341</v>
      </c>
      <c r="D156" s="17" t="n">
        <f aca="false">IF(RANK(C156,$C$25:$C$526,0)&lt;=$H$7,1/$H$7,0)</f>
        <v>0</v>
      </c>
      <c r="E156" s="17" t="n">
        <f aca="false">MAX(C156-$H$19,0)</f>
        <v>0</v>
      </c>
    </row>
    <row r="157" customFormat="false" ht="15" hidden="false" customHeight="true" outlineLevel="0" collapsed="false">
      <c r="A157" s="23" t="n">
        <f aca="false">Daily_Returns_Raw_Data!A134</f>
        <v>42564</v>
      </c>
      <c r="B157" s="17" t="n">
        <f aca="false">SUMPRODUCT(Daily_Returns_Raw_Data!B134:X134,$AB$2:$AX$2)</f>
        <v>0.00824516750799343</v>
      </c>
      <c r="C157" s="17" t="n">
        <f aca="false">-B157</f>
        <v>-0.00824516750799343</v>
      </c>
      <c r="D157" s="17" t="n">
        <f aca="false">IF(RANK(C157,$C$25:$C$526,0)&lt;=$H$7,1/$H$7,0)</f>
        <v>0</v>
      </c>
      <c r="E157" s="17" t="n">
        <f aca="false">MAX(C157-$H$19,0)</f>
        <v>0</v>
      </c>
    </row>
    <row r="158" customFormat="false" ht="15" hidden="false" customHeight="true" outlineLevel="0" collapsed="false">
      <c r="A158" s="23" t="n">
        <f aca="false">Daily_Returns_Raw_Data!A135</f>
        <v>42565</v>
      </c>
      <c r="B158" s="17" t="n">
        <f aca="false">SUMPRODUCT(Daily_Returns_Raw_Data!B135:X135,$AB$2:$AX$2)</f>
        <v>-0.00338307648088937</v>
      </c>
      <c r="C158" s="17" t="n">
        <f aca="false">-B158</f>
        <v>0.00338307648088937</v>
      </c>
      <c r="D158" s="17" t="n">
        <f aca="false">IF(RANK(C158,$C$25:$C$526,0)&lt;=$H$7,1/$H$7,0)</f>
        <v>0</v>
      </c>
      <c r="E158" s="17" t="n">
        <f aca="false">MAX(C158-$H$19,0)</f>
        <v>0</v>
      </c>
    </row>
    <row r="159" customFormat="false" ht="15" hidden="false" customHeight="true" outlineLevel="0" collapsed="false">
      <c r="A159" s="23" t="n">
        <f aca="false">Daily_Returns_Raw_Data!A136</f>
        <v>42566</v>
      </c>
      <c r="B159" s="17" t="n">
        <f aca="false">SUMPRODUCT(Daily_Returns_Raw_Data!B136:X136,$AB$2:$AX$2)</f>
        <v>-0.000155236737560399</v>
      </c>
      <c r="C159" s="17" t="n">
        <f aca="false">-B159</f>
        <v>0.000155236737560399</v>
      </c>
      <c r="D159" s="17" t="n">
        <f aca="false">IF(RANK(C159,$C$25:$C$526,0)&lt;=$H$7,1/$H$7,0)</f>
        <v>0</v>
      </c>
      <c r="E159" s="17" t="n">
        <f aca="false">MAX(C159-$H$19,0)</f>
        <v>0</v>
      </c>
    </row>
    <row r="160" customFormat="false" ht="15" hidden="false" customHeight="true" outlineLevel="0" collapsed="false">
      <c r="A160" s="23" t="n">
        <f aca="false">Daily_Returns_Raw_Data!A137</f>
        <v>42569</v>
      </c>
      <c r="B160" s="17" t="n">
        <f aca="false">SUMPRODUCT(Daily_Returns_Raw_Data!B137:X137,$AB$2:$AX$2)</f>
        <v>-0.00498134521395764</v>
      </c>
      <c r="C160" s="17" t="n">
        <f aca="false">-B160</f>
        <v>0.00498134521395764</v>
      </c>
      <c r="D160" s="17" t="n">
        <f aca="false">IF(RANK(C160,$C$25:$C$526,0)&lt;=$H$7,1/$H$7,0)</f>
        <v>0</v>
      </c>
      <c r="E160" s="17" t="n">
        <f aca="false">MAX(C160-$H$19,0)</f>
        <v>0</v>
      </c>
    </row>
    <row r="161" customFormat="false" ht="15" hidden="false" customHeight="true" outlineLevel="0" collapsed="false">
      <c r="A161" s="23" t="n">
        <f aca="false">Daily_Returns_Raw_Data!A138</f>
        <v>42570</v>
      </c>
      <c r="B161" s="17" t="n">
        <f aca="false">SUMPRODUCT(Daily_Returns_Raw_Data!B138:X138,$AB$2:$AX$2)</f>
        <v>0.00856383303332657</v>
      </c>
      <c r="C161" s="17" t="n">
        <f aca="false">-B161</f>
        <v>-0.00856383303332657</v>
      </c>
      <c r="D161" s="17" t="n">
        <f aca="false">IF(RANK(C161,$C$25:$C$526,0)&lt;=$H$7,1/$H$7,0)</f>
        <v>0</v>
      </c>
      <c r="E161" s="17" t="n">
        <f aca="false">MAX(C161-$H$19,0)</f>
        <v>0</v>
      </c>
    </row>
    <row r="162" customFormat="false" ht="15" hidden="false" customHeight="true" outlineLevel="0" collapsed="false">
      <c r="A162" s="23" t="n">
        <f aca="false">Daily_Returns_Raw_Data!A139</f>
        <v>42571</v>
      </c>
      <c r="B162" s="17" t="n">
        <f aca="false">SUMPRODUCT(Daily_Returns_Raw_Data!B139:X139,$AB$2:$AX$2)</f>
        <v>0.00071698929730185</v>
      </c>
      <c r="C162" s="17" t="n">
        <f aca="false">-B162</f>
        <v>-0.00071698929730185</v>
      </c>
      <c r="D162" s="17" t="n">
        <f aca="false">IF(RANK(C162,$C$25:$C$526,0)&lt;=$H$7,1/$H$7,0)</f>
        <v>0</v>
      </c>
      <c r="E162" s="17" t="n">
        <f aca="false">MAX(C162-$H$19,0)</f>
        <v>0</v>
      </c>
    </row>
    <row r="163" customFormat="false" ht="15" hidden="false" customHeight="true" outlineLevel="0" collapsed="false">
      <c r="A163" s="23" t="n">
        <f aca="false">Daily_Returns_Raw_Data!A140</f>
        <v>42572</v>
      </c>
      <c r="B163" s="17" t="n">
        <f aca="false">SUMPRODUCT(Daily_Returns_Raw_Data!B140:X140,$AB$2:$AX$2)</f>
        <v>0.00500198918852159</v>
      </c>
      <c r="C163" s="17" t="n">
        <f aca="false">-B163</f>
        <v>-0.00500198918852159</v>
      </c>
      <c r="D163" s="17" t="n">
        <f aca="false">IF(RANK(C163,$C$25:$C$526,0)&lt;=$H$7,1/$H$7,0)</f>
        <v>0</v>
      </c>
      <c r="E163" s="17" t="n">
        <f aca="false">MAX(C163-$H$19,0)</f>
        <v>0</v>
      </c>
    </row>
    <row r="164" customFormat="false" ht="15" hidden="false" customHeight="true" outlineLevel="0" collapsed="false">
      <c r="A164" s="23" t="n">
        <f aca="false">Daily_Returns_Raw_Data!A141</f>
        <v>42573</v>
      </c>
      <c r="B164" s="17" t="n">
        <f aca="false">SUMPRODUCT(Daily_Returns_Raw_Data!B141:X141,$AB$2:$AX$2)</f>
        <v>-0.00819369184887915</v>
      </c>
      <c r="C164" s="17" t="n">
        <f aca="false">-B164</f>
        <v>0.00819369184887915</v>
      </c>
      <c r="D164" s="17" t="n">
        <f aca="false">IF(RANK(C164,$C$25:$C$526,0)&lt;=$H$7,1/$H$7,0)</f>
        <v>0</v>
      </c>
      <c r="E164" s="17" t="n">
        <f aca="false">MAX(C164-$H$19,0)</f>
        <v>0</v>
      </c>
    </row>
    <row r="165" customFormat="false" ht="15" hidden="false" customHeight="true" outlineLevel="0" collapsed="false">
      <c r="A165" s="23" t="n">
        <f aca="false">Daily_Returns_Raw_Data!A142</f>
        <v>42576</v>
      </c>
      <c r="B165" s="17" t="n">
        <f aca="false">SUMPRODUCT(Daily_Returns_Raw_Data!B142:X142,$AB$2:$AX$2)</f>
        <v>0.00768906123181518</v>
      </c>
      <c r="C165" s="17" t="n">
        <f aca="false">-B165</f>
        <v>-0.00768906123181518</v>
      </c>
      <c r="D165" s="17" t="n">
        <f aca="false">IF(RANK(C165,$C$25:$C$526,0)&lt;=$H$7,1/$H$7,0)</f>
        <v>0</v>
      </c>
      <c r="E165" s="17" t="n">
        <f aca="false">MAX(C165-$H$19,0)</f>
        <v>0</v>
      </c>
    </row>
    <row r="166" customFormat="false" ht="15" hidden="false" customHeight="true" outlineLevel="0" collapsed="false">
      <c r="A166" s="23" t="n">
        <f aca="false">Daily_Returns_Raw_Data!A143</f>
        <v>42577</v>
      </c>
      <c r="B166" s="17" t="n">
        <f aca="false">SUMPRODUCT(Daily_Returns_Raw_Data!B143:X143,$AB$2:$AX$2)</f>
        <v>-0.00268768712060772</v>
      </c>
      <c r="C166" s="17" t="n">
        <f aca="false">-B166</f>
        <v>0.00268768712060772</v>
      </c>
      <c r="D166" s="17" t="n">
        <f aca="false">IF(RANK(C166,$C$25:$C$526,0)&lt;=$H$7,1/$H$7,0)</f>
        <v>0</v>
      </c>
      <c r="E166" s="17" t="n">
        <f aca="false">MAX(C166-$H$19,0)</f>
        <v>0</v>
      </c>
    </row>
    <row r="167" customFormat="false" ht="15" hidden="false" customHeight="true" outlineLevel="0" collapsed="false">
      <c r="A167" s="23" t="n">
        <f aca="false">Daily_Returns_Raw_Data!A144</f>
        <v>42578</v>
      </c>
      <c r="B167" s="17" t="n">
        <f aca="false">SUMPRODUCT(Daily_Returns_Raw_Data!B144:X144,$AB$2:$AX$2)</f>
        <v>-0.00586839580229644</v>
      </c>
      <c r="C167" s="17" t="n">
        <f aca="false">-B167</f>
        <v>0.00586839580229644</v>
      </c>
      <c r="D167" s="17" t="n">
        <f aca="false">IF(RANK(C167,$C$25:$C$526,0)&lt;=$H$7,1/$H$7,0)</f>
        <v>0</v>
      </c>
      <c r="E167" s="17" t="n">
        <f aca="false">MAX(C167-$H$19,0)</f>
        <v>0</v>
      </c>
    </row>
    <row r="168" customFormat="false" ht="15" hidden="false" customHeight="true" outlineLevel="0" collapsed="false">
      <c r="A168" s="23" t="n">
        <f aca="false">Daily_Returns_Raw_Data!A145</f>
        <v>42579</v>
      </c>
      <c r="B168" s="17" t="n">
        <f aca="false">SUMPRODUCT(Daily_Returns_Raw_Data!B145:X145,$AB$2:$AX$2)</f>
        <v>0.00360294857901019</v>
      </c>
      <c r="C168" s="17" t="n">
        <f aca="false">-B168</f>
        <v>-0.00360294857901019</v>
      </c>
      <c r="D168" s="17" t="n">
        <f aca="false">IF(RANK(C168,$C$25:$C$526,0)&lt;=$H$7,1/$H$7,0)</f>
        <v>0</v>
      </c>
      <c r="E168" s="17" t="n">
        <f aca="false">MAX(C168-$H$19,0)</f>
        <v>0</v>
      </c>
    </row>
    <row r="169" customFormat="false" ht="15" hidden="false" customHeight="true" outlineLevel="0" collapsed="false">
      <c r="A169" s="23" t="n">
        <f aca="false">Daily_Returns_Raw_Data!A146</f>
        <v>42580</v>
      </c>
      <c r="B169" s="17" t="n">
        <f aca="false">SUMPRODUCT(Daily_Returns_Raw_Data!B146:X146,$AB$2:$AX$2)</f>
        <v>-0.0055031936461134</v>
      </c>
      <c r="C169" s="17" t="n">
        <f aca="false">-B169</f>
        <v>0.0055031936461134</v>
      </c>
      <c r="D169" s="17" t="n">
        <f aca="false">IF(RANK(C169,$C$25:$C$526,0)&lt;=$H$7,1/$H$7,0)</f>
        <v>0</v>
      </c>
      <c r="E169" s="17" t="n">
        <f aca="false">MAX(C169-$H$19,0)</f>
        <v>0</v>
      </c>
    </row>
    <row r="170" customFormat="false" ht="15" hidden="false" customHeight="true" outlineLevel="0" collapsed="false">
      <c r="A170" s="23" t="n">
        <f aca="false">Daily_Returns_Raw_Data!A147</f>
        <v>42583</v>
      </c>
      <c r="B170" s="17" t="n">
        <f aca="false">SUMPRODUCT(Daily_Returns_Raw_Data!B147:X147,$AB$2:$AX$2)</f>
        <v>-0.00720156994880774</v>
      </c>
      <c r="C170" s="17" t="n">
        <f aca="false">-B170</f>
        <v>0.00720156994880774</v>
      </c>
      <c r="D170" s="17" t="n">
        <f aca="false">IF(RANK(C170,$C$25:$C$526,0)&lt;=$H$7,1/$H$7,0)</f>
        <v>0</v>
      </c>
      <c r="E170" s="17" t="n">
        <f aca="false">MAX(C170-$H$19,0)</f>
        <v>0</v>
      </c>
    </row>
    <row r="171" customFormat="false" ht="15" hidden="false" customHeight="true" outlineLevel="0" collapsed="false">
      <c r="A171" s="23" t="n">
        <f aca="false">Daily_Returns_Raw_Data!A148</f>
        <v>42584</v>
      </c>
      <c r="B171" s="17" t="n">
        <f aca="false">SUMPRODUCT(Daily_Returns_Raw_Data!B148:X148,$AB$2:$AX$2)</f>
        <v>0.00849105291131871</v>
      </c>
      <c r="C171" s="17" t="n">
        <f aca="false">-B171</f>
        <v>-0.00849105291131871</v>
      </c>
      <c r="D171" s="17" t="n">
        <f aca="false">IF(RANK(C171,$C$25:$C$526,0)&lt;=$H$7,1/$H$7,0)</f>
        <v>0</v>
      </c>
      <c r="E171" s="17" t="n">
        <f aca="false">MAX(C171-$H$19,0)</f>
        <v>0</v>
      </c>
    </row>
    <row r="172" customFormat="false" ht="15" hidden="false" customHeight="true" outlineLevel="0" collapsed="false">
      <c r="A172" s="23" t="n">
        <f aca="false">Daily_Returns_Raw_Data!A149</f>
        <v>42585</v>
      </c>
      <c r="B172" s="17" t="n">
        <f aca="false">SUMPRODUCT(Daily_Returns_Raw_Data!B149:X149,$AB$2:$AX$2)</f>
        <v>0.0103398703988909</v>
      </c>
      <c r="C172" s="17" t="n">
        <f aca="false">-B172</f>
        <v>-0.0103398703988909</v>
      </c>
      <c r="D172" s="17" t="n">
        <f aca="false">IF(RANK(C172,$C$25:$C$526,0)&lt;=$H$7,1/$H$7,0)</f>
        <v>0</v>
      </c>
      <c r="E172" s="17" t="n">
        <f aca="false">MAX(C172-$H$19,0)</f>
        <v>0</v>
      </c>
    </row>
    <row r="173" customFormat="false" ht="15" hidden="false" customHeight="true" outlineLevel="0" collapsed="false">
      <c r="A173" s="23" t="n">
        <f aca="false">Daily_Returns_Raw_Data!A150</f>
        <v>42586</v>
      </c>
      <c r="B173" s="17" t="n">
        <f aca="false">SUMPRODUCT(Daily_Returns_Raw_Data!B150:X150,$AB$2:$AX$2)</f>
        <v>0.00506729201162632</v>
      </c>
      <c r="C173" s="17" t="n">
        <f aca="false">-B173</f>
        <v>-0.00506729201162632</v>
      </c>
      <c r="D173" s="17" t="n">
        <f aca="false">IF(RANK(C173,$C$25:$C$526,0)&lt;=$H$7,1/$H$7,0)</f>
        <v>0</v>
      </c>
      <c r="E173" s="17" t="n">
        <f aca="false">MAX(C173-$H$19,0)</f>
        <v>0</v>
      </c>
    </row>
    <row r="174" customFormat="false" ht="15" hidden="false" customHeight="true" outlineLevel="0" collapsed="false">
      <c r="A174" s="23" t="n">
        <f aca="false">Daily_Returns_Raw_Data!A151</f>
        <v>42587</v>
      </c>
      <c r="B174" s="17" t="n">
        <f aca="false">SUMPRODUCT(Daily_Returns_Raw_Data!B151:X151,$AB$2:$AX$2)</f>
        <v>-0.00281018056018583</v>
      </c>
      <c r="C174" s="17" t="n">
        <f aca="false">-B174</f>
        <v>0.00281018056018583</v>
      </c>
      <c r="D174" s="17" t="n">
        <f aca="false">IF(RANK(C174,$C$25:$C$526,0)&lt;=$H$7,1/$H$7,0)</f>
        <v>0</v>
      </c>
      <c r="E174" s="17" t="n">
        <f aca="false">MAX(C174-$H$19,0)</f>
        <v>0</v>
      </c>
    </row>
    <row r="175" customFormat="false" ht="15" hidden="false" customHeight="true" outlineLevel="0" collapsed="false">
      <c r="A175" s="23" t="n">
        <f aca="false">Daily_Returns_Raw_Data!A152</f>
        <v>42590</v>
      </c>
      <c r="B175" s="17" t="n">
        <f aca="false">SUMPRODUCT(Daily_Returns_Raw_Data!B152:X152,$AB$2:$AX$2)</f>
        <v>0.00481120819412664</v>
      </c>
      <c r="C175" s="17" t="n">
        <f aca="false">-B175</f>
        <v>-0.00481120819412664</v>
      </c>
      <c r="D175" s="17" t="n">
        <f aca="false">IF(RANK(C175,$C$25:$C$526,0)&lt;=$H$7,1/$H$7,0)</f>
        <v>0</v>
      </c>
      <c r="E175" s="17" t="n">
        <f aca="false">MAX(C175-$H$19,0)</f>
        <v>0</v>
      </c>
    </row>
    <row r="176" customFormat="false" ht="15" hidden="false" customHeight="true" outlineLevel="0" collapsed="false">
      <c r="A176" s="23" t="n">
        <f aca="false">Daily_Returns_Raw_Data!A153</f>
        <v>42591</v>
      </c>
      <c r="B176" s="17" t="n">
        <f aca="false">SUMPRODUCT(Daily_Returns_Raw_Data!B153:X153,$AB$2:$AX$2)</f>
        <v>-0.00219867257795846</v>
      </c>
      <c r="C176" s="17" t="n">
        <f aca="false">-B176</f>
        <v>0.00219867257795846</v>
      </c>
      <c r="D176" s="17" t="n">
        <f aca="false">IF(RANK(C176,$C$25:$C$526,0)&lt;=$H$7,1/$H$7,0)</f>
        <v>0</v>
      </c>
      <c r="E176" s="17" t="n">
        <f aca="false">MAX(C176-$H$19,0)</f>
        <v>0</v>
      </c>
    </row>
    <row r="177" customFormat="false" ht="15" hidden="false" customHeight="true" outlineLevel="0" collapsed="false">
      <c r="A177" s="23" t="n">
        <f aca="false">Daily_Returns_Raw_Data!A154</f>
        <v>42592</v>
      </c>
      <c r="B177" s="17" t="n">
        <f aca="false">SUMPRODUCT(Daily_Returns_Raw_Data!B154:X154,$AB$2:$AX$2)</f>
        <v>0.00611487245664879</v>
      </c>
      <c r="C177" s="17" t="n">
        <f aca="false">-B177</f>
        <v>-0.00611487245664879</v>
      </c>
      <c r="D177" s="17" t="n">
        <f aca="false">IF(RANK(C177,$C$25:$C$526,0)&lt;=$H$7,1/$H$7,0)</f>
        <v>0</v>
      </c>
      <c r="E177" s="17" t="n">
        <f aca="false">MAX(C177-$H$19,0)</f>
        <v>0</v>
      </c>
    </row>
    <row r="178" customFormat="false" ht="15" hidden="false" customHeight="true" outlineLevel="0" collapsed="false">
      <c r="A178" s="23" t="n">
        <f aca="false">Daily_Returns_Raw_Data!A155</f>
        <v>42593</v>
      </c>
      <c r="B178" s="17" t="n">
        <f aca="false">SUMPRODUCT(Daily_Returns_Raw_Data!B155:X155,$AB$2:$AX$2)</f>
        <v>-0.00698579945682107</v>
      </c>
      <c r="C178" s="17" t="n">
        <f aca="false">-B178</f>
        <v>0.00698579945682107</v>
      </c>
      <c r="D178" s="17" t="n">
        <f aca="false">IF(RANK(C178,$C$25:$C$526,0)&lt;=$H$7,1/$H$7,0)</f>
        <v>0</v>
      </c>
      <c r="E178" s="17" t="n">
        <f aca="false">MAX(C178-$H$19,0)</f>
        <v>0</v>
      </c>
    </row>
    <row r="179" customFormat="false" ht="15" hidden="false" customHeight="true" outlineLevel="0" collapsed="false">
      <c r="A179" s="23" t="n">
        <f aca="false">Daily_Returns_Raw_Data!A156</f>
        <v>42594</v>
      </c>
      <c r="B179" s="17" t="n">
        <f aca="false">SUMPRODUCT(Daily_Returns_Raw_Data!B156:X156,$AB$2:$AX$2)</f>
        <v>0.00951721614209634</v>
      </c>
      <c r="C179" s="17" t="n">
        <f aca="false">-B179</f>
        <v>-0.00951721614209634</v>
      </c>
      <c r="D179" s="17" t="n">
        <f aca="false">IF(RANK(C179,$C$25:$C$526,0)&lt;=$H$7,1/$H$7,0)</f>
        <v>0</v>
      </c>
      <c r="E179" s="17" t="n">
        <f aca="false">MAX(C179-$H$19,0)</f>
        <v>0</v>
      </c>
    </row>
    <row r="180" customFormat="false" ht="15" hidden="false" customHeight="true" outlineLevel="0" collapsed="false">
      <c r="A180" s="23" t="n">
        <f aca="false">Daily_Returns_Raw_Data!A157</f>
        <v>42597</v>
      </c>
      <c r="B180" s="17" t="n">
        <f aca="false">SUMPRODUCT(Daily_Returns_Raw_Data!B157:X157,$AB$2:$AX$2)</f>
        <v>-0.00330068929707344</v>
      </c>
      <c r="C180" s="17" t="n">
        <f aca="false">-B180</f>
        <v>0.00330068929707344</v>
      </c>
      <c r="D180" s="17" t="n">
        <f aca="false">IF(RANK(C180,$C$25:$C$526,0)&lt;=$H$7,1/$H$7,0)</f>
        <v>0</v>
      </c>
      <c r="E180" s="17" t="n">
        <f aca="false">MAX(C180-$H$19,0)</f>
        <v>0</v>
      </c>
    </row>
    <row r="181" customFormat="false" ht="15" hidden="false" customHeight="true" outlineLevel="0" collapsed="false">
      <c r="A181" s="23" t="n">
        <f aca="false">Daily_Returns_Raw_Data!A158</f>
        <v>42598</v>
      </c>
      <c r="B181" s="17" t="n">
        <f aca="false">SUMPRODUCT(Daily_Returns_Raw_Data!B158:X158,$AB$2:$AX$2)</f>
        <v>-0.00317751169805498</v>
      </c>
      <c r="C181" s="17" t="n">
        <f aca="false">-B181</f>
        <v>0.00317751169805498</v>
      </c>
      <c r="D181" s="17" t="n">
        <f aca="false">IF(RANK(C181,$C$25:$C$526,0)&lt;=$H$7,1/$H$7,0)</f>
        <v>0</v>
      </c>
      <c r="E181" s="17" t="n">
        <f aca="false">MAX(C181-$H$19,0)</f>
        <v>0</v>
      </c>
    </row>
    <row r="182" customFormat="false" ht="15" hidden="false" customHeight="true" outlineLevel="0" collapsed="false">
      <c r="A182" s="23" t="n">
        <f aca="false">Daily_Returns_Raw_Data!A159</f>
        <v>42599</v>
      </c>
      <c r="B182" s="17" t="n">
        <f aca="false">SUMPRODUCT(Daily_Returns_Raw_Data!B159:X159,$AB$2:$AX$2)</f>
        <v>0.00167974671407837</v>
      </c>
      <c r="C182" s="17" t="n">
        <f aca="false">-B182</f>
        <v>-0.00167974671407837</v>
      </c>
      <c r="D182" s="17" t="n">
        <f aca="false">IF(RANK(C182,$C$25:$C$526,0)&lt;=$H$7,1/$H$7,0)</f>
        <v>0</v>
      </c>
      <c r="E182" s="17" t="n">
        <f aca="false">MAX(C182-$H$19,0)</f>
        <v>0</v>
      </c>
    </row>
    <row r="183" customFormat="false" ht="15" hidden="false" customHeight="true" outlineLevel="0" collapsed="false">
      <c r="A183" s="23" t="n">
        <f aca="false">Daily_Returns_Raw_Data!A160</f>
        <v>42600</v>
      </c>
      <c r="B183" s="17" t="n">
        <f aca="false">SUMPRODUCT(Daily_Returns_Raw_Data!B160:X160,$AB$2:$AX$2)</f>
        <v>0.000174380981255313</v>
      </c>
      <c r="C183" s="17" t="n">
        <f aca="false">-B183</f>
        <v>-0.000174380981255313</v>
      </c>
      <c r="D183" s="17" t="n">
        <f aca="false">IF(RANK(C183,$C$25:$C$526,0)&lt;=$H$7,1/$H$7,0)</f>
        <v>0</v>
      </c>
      <c r="E183" s="17" t="n">
        <f aca="false">MAX(C183-$H$19,0)</f>
        <v>0</v>
      </c>
    </row>
    <row r="184" customFormat="false" ht="15" hidden="false" customHeight="true" outlineLevel="0" collapsed="false">
      <c r="A184" s="23" t="n">
        <f aca="false">Daily_Returns_Raw_Data!A161</f>
        <v>42601</v>
      </c>
      <c r="B184" s="17" t="n">
        <f aca="false">SUMPRODUCT(Daily_Returns_Raw_Data!B161:X161,$AB$2:$AX$2)</f>
        <v>-0.0033592187323311</v>
      </c>
      <c r="C184" s="17" t="n">
        <f aca="false">-B184</f>
        <v>0.0033592187323311</v>
      </c>
      <c r="D184" s="17" t="n">
        <f aca="false">IF(RANK(C184,$C$25:$C$526,0)&lt;=$H$7,1/$H$7,0)</f>
        <v>0</v>
      </c>
      <c r="E184" s="17" t="n">
        <f aca="false">MAX(C184-$H$19,0)</f>
        <v>0</v>
      </c>
    </row>
    <row r="185" customFormat="false" ht="15" hidden="false" customHeight="true" outlineLevel="0" collapsed="false">
      <c r="A185" s="23" t="n">
        <f aca="false">Daily_Returns_Raw_Data!A162</f>
        <v>42604</v>
      </c>
      <c r="B185" s="17" t="n">
        <f aca="false">SUMPRODUCT(Daily_Returns_Raw_Data!B162:X162,$AB$2:$AX$2)</f>
        <v>0.00356636350294436</v>
      </c>
      <c r="C185" s="17" t="n">
        <f aca="false">-B185</f>
        <v>-0.00356636350294436</v>
      </c>
      <c r="D185" s="17" t="n">
        <f aca="false">IF(RANK(C185,$C$25:$C$526,0)&lt;=$H$7,1/$H$7,0)</f>
        <v>0</v>
      </c>
      <c r="E185" s="17" t="n">
        <f aca="false">MAX(C185-$H$19,0)</f>
        <v>0</v>
      </c>
    </row>
    <row r="186" customFormat="false" ht="15" hidden="false" customHeight="true" outlineLevel="0" collapsed="false">
      <c r="A186" s="23" t="n">
        <f aca="false">Daily_Returns_Raw_Data!A163</f>
        <v>42605</v>
      </c>
      <c r="B186" s="17" t="n">
        <f aca="false">SUMPRODUCT(Daily_Returns_Raw_Data!B163:X163,$AB$2:$AX$2)</f>
        <v>-0.00780631835554571</v>
      </c>
      <c r="C186" s="17" t="n">
        <f aca="false">-B186</f>
        <v>0.00780631835554571</v>
      </c>
      <c r="D186" s="17" t="n">
        <f aca="false">IF(RANK(C186,$C$25:$C$526,0)&lt;=$H$7,1/$H$7,0)</f>
        <v>0</v>
      </c>
      <c r="E186" s="17" t="n">
        <f aca="false">MAX(C186-$H$19,0)</f>
        <v>0</v>
      </c>
    </row>
    <row r="187" customFormat="false" ht="15" hidden="false" customHeight="true" outlineLevel="0" collapsed="false">
      <c r="A187" s="23" t="n">
        <f aca="false">Daily_Returns_Raw_Data!A164</f>
        <v>42606</v>
      </c>
      <c r="B187" s="17" t="n">
        <f aca="false">SUMPRODUCT(Daily_Returns_Raw_Data!B164:X164,$AB$2:$AX$2)</f>
        <v>0.000848385309761523</v>
      </c>
      <c r="C187" s="17" t="n">
        <f aca="false">-B187</f>
        <v>-0.000848385309761523</v>
      </c>
      <c r="D187" s="17" t="n">
        <f aca="false">IF(RANK(C187,$C$25:$C$526,0)&lt;=$H$7,1/$H$7,0)</f>
        <v>0</v>
      </c>
      <c r="E187" s="17" t="n">
        <f aca="false">MAX(C187-$H$19,0)</f>
        <v>0</v>
      </c>
    </row>
    <row r="188" customFormat="false" ht="15" hidden="false" customHeight="true" outlineLevel="0" collapsed="false">
      <c r="A188" s="23" t="n">
        <f aca="false">Daily_Returns_Raw_Data!A165</f>
        <v>42607</v>
      </c>
      <c r="B188" s="17" t="n">
        <f aca="false">SUMPRODUCT(Daily_Returns_Raw_Data!B165:X165,$AB$2:$AX$2)</f>
        <v>0.0030449850395727</v>
      </c>
      <c r="C188" s="17" t="n">
        <f aca="false">-B188</f>
        <v>-0.0030449850395727</v>
      </c>
      <c r="D188" s="17" t="n">
        <f aca="false">IF(RANK(C188,$C$25:$C$526,0)&lt;=$H$7,1/$H$7,0)</f>
        <v>0</v>
      </c>
      <c r="E188" s="17" t="n">
        <f aca="false">MAX(C188-$H$19,0)</f>
        <v>0</v>
      </c>
    </row>
    <row r="189" customFormat="false" ht="15" hidden="false" customHeight="true" outlineLevel="0" collapsed="false">
      <c r="A189" s="23" t="n">
        <f aca="false">Daily_Returns_Raw_Data!A166</f>
        <v>42608</v>
      </c>
      <c r="B189" s="17" t="n">
        <f aca="false">SUMPRODUCT(Daily_Returns_Raw_Data!B166:X166,$AB$2:$AX$2)</f>
        <v>0.0165102773785098</v>
      </c>
      <c r="C189" s="17" t="n">
        <f aca="false">-B189</f>
        <v>-0.0165102773785098</v>
      </c>
      <c r="D189" s="17" t="n">
        <f aca="false">IF(RANK(C189,$C$25:$C$526,0)&lt;=$H$7,1/$H$7,0)</f>
        <v>0</v>
      </c>
      <c r="E189" s="17" t="n">
        <f aca="false">MAX(C189-$H$19,0)</f>
        <v>0</v>
      </c>
    </row>
    <row r="190" customFormat="false" ht="15" hidden="false" customHeight="true" outlineLevel="0" collapsed="false">
      <c r="A190" s="23" t="n">
        <f aca="false">Daily_Returns_Raw_Data!A167</f>
        <v>42611</v>
      </c>
      <c r="B190" s="17" t="n">
        <f aca="false">SUMPRODUCT(Daily_Returns_Raw_Data!B167:X167,$AB$2:$AX$2)</f>
        <v>-0.0111968383184292</v>
      </c>
      <c r="C190" s="17" t="n">
        <f aca="false">-B190</f>
        <v>0.0111968383184292</v>
      </c>
      <c r="D190" s="17" t="n">
        <f aca="false">IF(RANK(C190,$C$25:$C$526,0)&lt;=$H$7,1/$H$7,0)</f>
        <v>0.0196078431372549</v>
      </c>
      <c r="E190" s="17" t="n">
        <f aca="false">MAX(C190-$H$19,0)</f>
        <v>0.00225038504174794</v>
      </c>
    </row>
    <row r="191" customFormat="false" ht="15" hidden="false" customHeight="true" outlineLevel="0" collapsed="false">
      <c r="A191" s="23" t="n">
        <f aca="false">Daily_Returns_Raw_Data!A168</f>
        <v>42612</v>
      </c>
      <c r="B191" s="17" t="n">
        <f aca="false">SUMPRODUCT(Daily_Returns_Raw_Data!B168:X168,$AB$2:$AX$2)</f>
        <v>-0.0084028575046131</v>
      </c>
      <c r="C191" s="17" t="n">
        <f aca="false">-B191</f>
        <v>0.0084028575046131</v>
      </c>
      <c r="D191" s="17" t="n">
        <f aca="false">IF(RANK(C191,$C$25:$C$526,0)&lt;=$H$7,1/$H$7,0)</f>
        <v>0</v>
      </c>
      <c r="E191" s="17" t="n">
        <f aca="false">MAX(C191-$H$19,0)</f>
        <v>0</v>
      </c>
    </row>
    <row r="192" customFormat="false" ht="15" hidden="false" customHeight="true" outlineLevel="0" collapsed="false">
      <c r="A192" s="23" t="n">
        <f aca="false">Daily_Returns_Raw_Data!A169</f>
        <v>42613</v>
      </c>
      <c r="B192" s="17" t="n">
        <f aca="false">SUMPRODUCT(Daily_Returns_Raw_Data!B169:X169,$AB$2:$AX$2)</f>
        <v>0.00527180315718715</v>
      </c>
      <c r="C192" s="17" t="n">
        <f aca="false">-B192</f>
        <v>-0.00527180315718715</v>
      </c>
      <c r="D192" s="17" t="n">
        <f aca="false">IF(RANK(C192,$C$25:$C$526,0)&lt;=$H$7,1/$H$7,0)</f>
        <v>0</v>
      </c>
      <c r="E192" s="17" t="n">
        <f aca="false">MAX(C192-$H$19,0)</f>
        <v>0</v>
      </c>
    </row>
    <row r="193" customFormat="false" ht="15" hidden="false" customHeight="true" outlineLevel="0" collapsed="false">
      <c r="A193" s="23" t="n">
        <f aca="false">Daily_Returns_Raw_Data!A170</f>
        <v>42614</v>
      </c>
      <c r="B193" s="17" t="n">
        <f aca="false">SUMPRODUCT(Daily_Returns_Raw_Data!B170:X170,$AB$2:$AX$2)</f>
        <v>0.0122345478917948</v>
      </c>
      <c r="C193" s="17" t="n">
        <f aca="false">-B193</f>
        <v>-0.0122345478917948</v>
      </c>
      <c r="D193" s="17" t="n">
        <f aca="false">IF(RANK(C193,$C$25:$C$526,0)&lt;=$H$7,1/$H$7,0)</f>
        <v>0</v>
      </c>
      <c r="E193" s="17" t="n">
        <f aca="false">MAX(C193-$H$19,0)</f>
        <v>0</v>
      </c>
    </row>
    <row r="194" customFormat="false" ht="15" hidden="false" customHeight="true" outlineLevel="0" collapsed="false">
      <c r="A194" s="23" t="n">
        <f aca="false">Daily_Returns_Raw_Data!A171</f>
        <v>42615</v>
      </c>
      <c r="B194" s="17" t="n">
        <f aca="false">SUMPRODUCT(Daily_Returns_Raw_Data!B171:X171,$AB$2:$AX$2)</f>
        <v>0.00780030268808911</v>
      </c>
      <c r="C194" s="17" t="n">
        <f aca="false">-B194</f>
        <v>-0.00780030268808911</v>
      </c>
      <c r="D194" s="17" t="n">
        <f aca="false">IF(RANK(C194,$C$25:$C$526,0)&lt;=$H$7,1/$H$7,0)</f>
        <v>0</v>
      </c>
      <c r="E194" s="17" t="n">
        <f aca="false">MAX(C194-$H$19,0)</f>
        <v>0</v>
      </c>
    </row>
    <row r="195" customFormat="false" ht="15" hidden="false" customHeight="true" outlineLevel="0" collapsed="false">
      <c r="A195" s="23" t="n">
        <f aca="false">Daily_Returns_Raw_Data!A172</f>
        <v>42619</v>
      </c>
      <c r="B195" s="17" t="n">
        <f aca="false">SUMPRODUCT(Daily_Returns_Raw_Data!B172:X172,$AB$2:$AX$2)</f>
        <v>-0.000104503237555246</v>
      </c>
      <c r="C195" s="17" t="n">
        <f aca="false">-B195</f>
        <v>0.000104503237555246</v>
      </c>
      <c r="D195" s="17" t="n">
        <f aca="false">IF(RANK(C195,$C$25:$C$526,0)&lt;=$H$7,1/$H$7,0)</f>
        <v>0</v>
      </c>
      <c r="E195" s="17" t="n">
        <f aca="false">MAX(C195-$H$19,0)</f>
        <v>0</v>
      </c>
    </row>
    <row r="196" customFormat="false" ht="15" hidden="false" customHeight="true" outlineLevel="0" collapsed="false">
      <c r="A196" s="23" t="n">
        <f aca="false">Daily_Returns_Raw_Data!A173</f>
        <v>42620</v>
      </c>
      <c r="B196" s="17" t="n">
        <f aca="false">SUMPRODUCT(Daily_Returns_Raw_Data!B173:X173,$AB$2:$AX$2)</f>
        <v>0.00049096959736268</v>
      </c>
      <c r="C196" s="17" t="n">
        <f aca="false">-B196</f>
        <v>-0.00049096959736268</v>
      </c>
      <c r="D196" s="17" t="n">
        <f aca="false">IF(RANK(C196,$C$25:$C$526,0)&lt;=$H$7,1/$H$7,0)</f>
        <v>0</v>
      </c>
      <c r="E196" s="17" t="n">
        <f aca="false">MAX(C196-$H$19,0)</f>
        <v>0</v>
      </c>
    </row>
    <row r="197" customFormat="false" ht="15" hidden="false" customHeight="true" outlineLevel="0" collapsed="false">
      <c r="A197" s="23" t="n">
        <f aca="false">Daily_Returns_Raw_Data!A174</f>
        <v>42621</v>
      </c>
      <c r="B197" s="17" t="n">
        <f aca="false">SUMPRODUCT(Daily_Returns_Raw_Data!B174:X174,$AB$2:$AX$2)</f>
        <v>-0.0262544082530587</v>
      </c>
      <c r="C197" s="17" t="n">
        <f aca="false">-B197</f>
        <v>0.0262544082530587</v>
      </c>
      <c r="D197" s="17" t="n">
        <f aca="false">IF(RANK(C197,$C$25:$C$526,0)&lt;=$H$7,1/$H$7,0)</f>
        <v>0.0196078431372549</v>
      </c>
      <c r="E197" s="17" t="n">
        <f aca="false">MAX(C197-$H$19,0)</f>
        <v>0.0173079549763774</v>
      </c>
    </row>
    <row r="198" customFormat="false" ht="15" hidden="false" customHeight="true" outlineLevel="0" collapsed="false">
      <c r="A198" s="23" t="n">
        <f aca="false">Daily_Returns_Raw_Data!A175</f>
        <v>42622</v>
      </c>
      <c r="B198" s="17" t="n">
        <f aca="false">SUMPRODUCT(Daily_Returns_Raw_Data!B175:X175,$AB$2:$AX$2)</f>
        <v>0.0146310293517694</v>
      </c>
      <c r="C198" s="17" t="n">
        <f aca="false">-B198</f>
        <v>-0.0146310293517694</v>
      </c>
      <c r="D198" s="17" t="n">
        <f aca="false">IF(RANK(C198,$C$25:$C$526,0)&lt;=$H$7,1/$H$7,0)</f>
        <v>0</v>
      </c>
      <c r="E198" s="17" t="n">
        <f aca="false">MAX(C198-$H$19,0)</f>
        <v>0</v>
      </c>
    </row>
    <row r="199" customFormat="false" ht="15" hidden="false" customHeight="true" outlineLevel="0" collapsed="false">
      <c r="A199" s="23" t="n">
        <f aca="false">Daily_Returns_Raw_Data!A176</f>
        <v>42625</v>
      </c>
      <c r="B199" s="17" t="n">
        <f aca="false">SUMPRODUCT(Daily_Returns_Raw_Data!B176:X176,$AB$2:$AX$2)</f>
        <v>-0.0246344641874124</v>
      </c>
      <c r="C199" s="17" t="n">
        <f aca="false">-B199</f>
        <v>0.0246344641874124</v>
      </c>
      <c r="D199" s="17" t="n">
        <f aca="false">IF(RANK(C199,$C$25:$C$526,0)&lt;=$H$7,1/$H$7,0)</f>
        <v>0.0196078431372549</v>
      </c>
      <c r="E199" s="17" t="n">
        <f aca="false">MAX(C199-$H$19,0)</f>
        <v>0.0156880109107311</v>
      </c>
    </row>
    <row r="200" customFormat="false" ht="15" hidden="false" customHeight="true" outlineLevel="0" collapsed="false">
      <c r="A200" s="23" t="n">
        <f aca="false">Daily_Returns_Raw_Data!A177</f>
        <v>42626</v>
      </c>
      <c r="B200" s="17" t="n">
        <f aca="false">SUMPRODUCT(Daily_Returns_Raw_Data!B177:X177,$AB$2:$AX$2)</f>
        <v>-0.0042299932164604</v>
      </c>
      <c r="C200" s="17" t="n">
        <f aca="false">-B200</f>
        <v>0.0042299932164604</v>
      </c>
      <c r="D200" s="17" t="n">
        <f aca="false">IF(RANK(C200,$C$25:$C$526,0)&lt;=$H$7,1/$H$7,0)</f>
        <v>0</v>
      </c>
      <c r="E200" s="17" t="n">
        <f aca="false">MAX(C200-$H$19,0)</f>
        <v>0</v>
      </c>
    </row>
    <row r="201" customFormat="false" ht="15" hidden="false" customHeight="true" outlineLevel="0" collapsed="false">
      <c r="A201" s="23" t="n">
        <f aca="false">Daily_Returns_Raw_Data!A178</f>
        <v>42627</v>
      </c>
      <c r="B201" s="17" t="n">
        <f aca="false">SUMPRODUCT(Daily_Returns_Raw_Data!B178:X178,$AB$2:$AX$2)</f>
        <v>0.0111076270229102</v>
      </c>
      <c r="C201" s="17" t="n">
        <f aca="false">-B201</f>
        <v>-0.0111076270229102</v>
      </c>
      <c r="D201" s="17" t="n">
        <f aca="false">IF(RANK(C201,$C$25:$C$526,0)&lt;=$H$7,1/$H$7,0)</f>
        <v>0</v>
      </c>
      <c r="E201" s="17" t="n">
        <f aca="false">MAX(C201-$H$19,0)</f>
        <v>0</v>
      </c>
    </row>
    <row r="202" customFormat="false" ht="15" hidden="false" customHeight="true" outlineLevel="0" collapsed="false">
      <c r="A202" s="23" t="n">
        <f aca="false">Daily_Returns_Raw_Data!A179</f>
        <v>42628</v>
      </c>
      <c r="B202" s="17" t="n">
        <f aca="false">SUMPRODUCT(Daily_Returns_Raw_Data!B179:X179,$AB$2:$AX$2)</f>
        <v>-0.00510149341600297</v>
      </c>
      <c r="C202" s="17" t="n">
        <f aca="false">-B202</f>
        <v>0.00510149341600297</v>
      </c>
      <c r="D202" s="17" t="n">
        <f aca="false">IF(RANK(C202,$C$25:$C$526,0)&lt;=$H$7,1/$H$7,0)</f>
        <v>0</v>
      </c>
      <c r="E202" s="17" t="n">
        <f aca="false">MAX(C202-$H$19,0)</f>
        <v>0</v>
      </c>
    </row>
    <row r="203" customFormat="false" ht="15" hidden="false" customHeight="true" outlineLevel="0" collapsed="false">
      <c r="A203" s="23" t="n">
        <f aca="false">Daily_Returns_Raw_Data!A180</f>
        <v>42629</v>
      </c>
      <c r="B203" s="17" t="n">
        <f aca="false">SUMPRODUCT(Daily_Returns_Raw_Data!B180:X180,$AB$2:$AX$2)</f>
        <v>0.00403200563056283</v>
      </c>
      <c r="C203" s="17" t="n">
        <f aca="false">-B203</f>
        <v>-0.00403200563056283</v>
      </c>
      <c r="D203" s="17" t="n">
        <f aca="false">IF(RANK(C203,$C$25:$C$526,0)&lt;=$H$7,1/$H$7,0)</f>
        <v>0</v>
      </c>
      <c r="E203" s="17" t="n">
        <f aca="false">MAX(C203-$H$19,0)</f>
        <v>0</v>
      </c>
    </row>
    <row r="204" customFormat="false" ht="15" hidden="false" customHeight="true" outlineLevel="0" collapsed="false">
      <c r="A204" s="23" t="n">
        <f aca="false">Daily_Returns_Raw_Data!A181</f>
        <v>42632</v>
      </c>
      <c r="B204" s="17" t="n">
        <f aca="false">SUMPRODUCT(Daily_Returns_Raw_Data!B181:X181,$AB$2:$AX$2)</f>
        <v>0.00128775329255775</v>
      </c>
      <c r="C204" s="17" t="n">
        <f aca="false">-B204</f>
        <v>-0.00128775329255775</v>
      </c>
      <c r="D204" s="17" t="n">
        <f aca="false">IF(RANK(C204,$C$25:$C$526,0)&lt;=$H$7,1/$H$7,0)</f>
        <v>0</v>
      </c>
      <c r="E204" s="17" t="n">
        <f aca="false">MAX(C204-$H$19,0)</f>
        <v>0</v>
      </c>
    </row>
    <row r="205" customFormat="false" ht="15" hidden="false" customHeight="true" outlineLevel="0" collapsed="false">
      <c r="A205" s="23" t="n">
        <f aca="false">Daily_Returns_Raw_Data!A182</f>
        <v>42633</v>
      </c>
      <c r="B205" s="17" t="n">
        <f aca="false">SUMPRODUCT(Daily_Returns_Raw_Data!B182:X182,$AB$2:$AX$2)</f>
        <v>0.016801836780321</v>
      </c>
      <c r="C205" s="17" t="n">
        <f aca="false">-B205</f>
        <v>-0.016801836780321</v>
      </c>
      <c r="D205" s="17" t="n">
        <f aca="false">IF(RANK(C205,$C$25:$C$526,0)&lt;=$H$7,1/$H$7,0)</f>
        <v>0</v>
      </c>
      <c r="E205" s="17" t="n">
        <f aca="false">MAX(C205-$H$19,0)</f>
        <v>0</v>
      </c>
    </row>
    <row r="206" customFormat="false" ht="15" hidden="false" customHeight="true" outlineLevel="0" collapsed="false">
      <c r="A206" s="23" t="n">
        <f aca="false">Daily_Returns_Raw_Data!A183</f>
        <v>42634</v>
      </c>
      <c r="B206" s="17" t="n">
        <f aca="false">SUMPRODUCT(Daily_Returns_Raw_Data!B183:X183,$AB$2:$AX$2)</f>
        <v>0.00287745008619448</v>
      </c>
      <c r="C206" s="17" t="n">
        <f aca="false">-B206</f>
        <v>-0.00287745008619448</v>
      </c>
      <c r="D206" s="17" t="n">
        <f aca="false">IF(RANK(C206,$C$25:$C$526,0)&lt;=$H$7,1/$H$7,0)</f>
        <v>0</v>
      </c>
      <c r="E206" s="17" t="n">
        <f aca="false">MAX(C206-$H$19,0)</f>
        <v>0</v>
      </c>
    </row>
    <row r="207" customFormat="false" ht="15" hidden="false" customHeight="true" outlineLevel="0" collapsed="false">
      <c r="A207" s="23" t="n">
        <f aca="false">Daily_Returns_Raw_Data!A184</f>
        <v>42635</v>
      </c>
      <c r="B207" s="17" t="n">
        <f aca="false">SUMPRODUCT(Daily_Returns_Raw_Data!B184:X184,$AB$2:$AX$2)</f>
        <v>-0.00491407234031301</v>
      </c>
      <c r="C207" s="17" t="n">
        <f aca="false">-B207</f>
        <v>0.00491407234031301</v>
      </c>
      <c r="D207" s="17" t="n">
        <f aca="false">IF(RANK(C207,$C$25:$C$526,0)&lt;=$H$7,1/$H$7,0)</f>
        <v>0</v>
      </c>
      <c r="E207" s="17" t="n">
        <f aca="false">MAX(C207-$H$19,0)</f>
        <v>0</v>
      </c>
    </row>
    <row r="208" customFormat="false" ht="15" hidden="false" customHeight="true" outlineLevel="0" collapsed="false">
      <c r="A208" s="23" t="n">
        <f aca="false">Daily_Returns_Raw_Data!A185</f>
        <v>42636</v>
      </c>
      <c r="B208" s="17" t="n">
        <f aca="false">SUMPRODUCT(Daily_Returns_Raw_Data!B185:X185,$AB$2:$AX$2)</f>
        <v>-0.0105395999684321</v>
      </c>
      <c r="C208" s="17" t="n">
        <f aca="false">-B208</f>
        <v>0.0105395999684321</v>
      </c>
      <c r="D208" s="17" t="n">
        <f aca="false">IF(RANK(C208,$C$25:$C$526,0)&lt;=$H$7,1/$H$7,0)</f>
        <v>0.0196078431372549</v>
      </c>
      <c r="E208" s="17" t="n">
        <f aca="false">MAX(C208-$H$19,0)</f>
        <v>0.00159314669175079</v>
      </c>
    </row>
    <row r="209" customFormat="false" ht="15" hidden="false" customHeight="true" outlineLevel="0" collapsed="false">
      <c r="A209" s="23" t="n">
        <f aca="false">Daily_Returns_Raw_Data!A186</f>
        <v>42639</v>
      </c>
      <c r="B209" s="17" t="n">
        <f aca="false">SUMPRODUCT(Daily_Returns_Raw_Data!B186:X186,$AB$2:$AX$2)</f>
        <v>0.0053991194928266</v>
      </c>
      <c r="C209" s="17" t="n">
        <f aca="false">-B209</f>
        <v>-0.0053991194928266</v>
      </c>
      <c r="D209" s="17" t="n">
        <f aca="false">IF(RANK(C209,$C$25:$C$526,0)&lt;=$H$7,1/$H$7,0)</f>
        <v>0</v>
      </c>
      <c r="E209" s="17" t="n">
        <f aca="false">MAX(C209-$H$19,0)</f>
        <v>0</v>
      </c>
    </row>
    <row r="210" customFormat="false" ht="15" hidden="false" customHeight="true" outlineLevel="0" collapsed="false">
      <c r="A210" s="23" t="n">
        <f aca="false">Daily_Returns_Raw_Data!A187</f>
        <v>42640</v>
      </c>
      <c r="B210" s="17" t="n">
        <f aca="false">SUMPRODUCT(Daily_Returns_Raw_Data!B187:X187,$AB$2:$AX$2)</f>
        <v>0.00826437492203742</v>
      </c>
      <c r="C210" s="17" t="n">
        <f aca="false">-B210</f>
        <v>-0.00826437492203742</v>
      </c>
      <c r="D210" s="17" t="n">
        <f aca="false">IF(RANK(C210,$C$25:$C$526,0)&lt;=$H$7,1/$H$7,0)</f>
        <v>0</v>
      </c>
      <c r="E210" s="17" t="n">
        <f aca="false">MAX(C210-$H$19,0)</f>
        <v>0</v>
      </c>
    </row>
    <row r="211" customFormat="false" ht="15" hidden="false" customHeight="true" outlineLevel="0" collapsed="false">
      <c r="A211" s="23" t="n">
        <f aca="false">Daily_Returns_Raw_Data!A188</f>
        <v>42641</v>
      </c>
      <c r="B211" s="17" t="n">
        <f aca="false">SUMPRODUCT(Daily_Returns_Raw_Data!B188:X188,$AB$2:$AX$2)</f>
        <v>-0.00774294451011108</v>
      </c>
      <c r="C211" s="17" t="n">
        <f aca="false">-B211</f>
        <v>0.00774294451011108</v>
      </c>
      <c r="D211" s="17" t="n">
        <f aca="false">IF(RANK(C211,$C$25:$C$526,0)&lt;=$H$7,1/$H$7,0)</f>
        <v>0</v>
      </c>
      <c r="E211" s="17" t="n">
        <f aca="false">MAX(C211-$H$19,0)</f>
        <v>0</v>
      </c>
    </row>
    <row r="212" customFormat="false" ht="15" hidden="false" customHeight="true" outlineLevel="0" collapsed="false">
      <c r="A212" s="23" t="n">
        <f aca="false">Daily_Returns_Raw_Data!A189</f>
        <v>42642</v>
      </c>
      <c r="B212" s="17" t="n">
        <f aca="false">SUMPRODUCT(Daily_Returns_Raw_Data!B189:X189,$AB$2:$AX$2)</f>
        <v>0.00684941297447608</v>
      </c>
      <c r="C212" s="17" t="n">
        <f aca="false">-B212</f>
        <v>-0.00684941297447608</v>
      </c>
      <c r="D212" s="17" t="n">
        <f aca="false">IF(RANK(C212,$C$25:$C$526,0)&lt;=$H$7,1/$H$7,0)</f>
        <v>0</v>
      </c>
      <c r="E212" s="17" t="n">
        <f aca="false">MAX(C212-$H$19,0)</f>
        <v>0</v>
      </c>
    </row>
    <row r="213" customFormat="false" ht="15" hidden="false" customHeight="true" outlineLevel="0" collapsed="false">
      <c r="A213" s="23" t="n">
        <f aca="false">Daily_Returns_Raw_Data!A190</f>
        <v>42643</v>
      </c>
      <c r="B213" s="17" t="n">
        <f aca="false">SUMPRODUCT(Daily_Returns_Raw_Data!B190:X190,$AB$2:$AX$2)</f>
        <v>0.00169577461682056</v>
      </c>
      <c r="C213" s="17" t="n">
        <f aca="false">-B213</f>
        <v>-0.00169577461682056</v>
      </c>
      <c r="D213" s="17" t="n">
        <f aca="false">IF(RANK(C213,$C$25:$C$526,0)&lt;=$H$7,1/$H$7,0)</f>
        <v>0</v>
      </c>
      <c r="E213" s="17" t="n">
        <f aca="false">MAX(C213-$H$19,0)</f>
        <v>0</v>
      </c>
    </row>
    <row r="214" customFormat="false" ht="15" hidden="false" customHeight="true" outlineLevel="0" collapsed="false">
      <c r="A214" s="23" t="n">
        <f aca="false">Daily_Returns_Raw_Data!A191</f>
        <v>42646</v>
      </c>
      <c r="B214" s="17" t="n">
        <f aca="false">SUMPRODUCT(Daily_Returns_Raw_Data!B191:X191,$AB$2:$AX$2)</f>
        <v>-0.00894645327668129</v>
      </c>
      <c r="C214" s="17" t="n">
        <f aca="false">-B214</f>
        <v>0.00894645327668129</v>
      </c>
      <c r="D214" s="17" t="n">
        <f aca="false">IF(RANK(C214,$C$25:$C$526,0)&lt;=$H$7,1/$H$7,0)</f>
        <v>0.0196078431372549</v>
      </c>
      <c r="E214" s="17" t="n">
        <f aca="false">MAX(C214-$H$19,0)</f>
        <v>0</v>
      </c>
    </row>
    <row r="215" customFormat="false" ht="15" hidden="false" customHeight="true" outlineLevel="0" collapsed="false">
      <c r="A215" s="23" t="n">
        <f aca="false">Daily_Returns_Raw_Data!A192</f>
        <v>42647</v>
      </c>
      <c r="B215" s="17" t="n">
        <f aca="false">SUMPRODUCT(Daily_Returns_Raw_Data!B192:X192,$AB$2:$AX$2)</f>
        <v>0.0154405522081314</v>
      </c>
      <c r="C215" s="17" t="n">
        <f aca="false">-B215</f>
        <v>-0.0154405522081314</v>
      </c>
      <c r="D215" s="17" t="n">
        <f aca="false">IF(RANK(C215,$C$25:$C$526,0)&lt;=$H$7,1/$H$7,0)</f>
        <v>0</v>
      </c>
      <c r="E215" s="17" t="n">
        <f aca="false">MAX(C215-$H$19,0)</f>
        <v>0</v>
      </c>
    </row>
    <row r="216" customFormat="false" ht="15" hidden="false" customHeight="true" outlineLevel="0" collapsed="false">
      <c r="A216" s="23" t="n">
        <f aca="false">Daily_Returns_Raw_Data!A193</f>
        <v>42648</v>
      </c>
      <c r="B216" s="17" t="n">
        <f aca="false">SUMPRODUCT(Daily_Returns_Raw_Data!B193:X193,$AB$2:$AX$2)</f>
        <v>0.00398207011536711</v>
      </c>
      <c r="C216" s="17" t="n">
        <f aca="false">-B216</f>
        <v>-0.00398207011536711</v>
      </c>
      <c r="D216" s="17" t="n">
        <f aca="false">IF(RANK(C216,$C$25:$C$526,0)&lt;=$H$7,1/$H$7,0)</f>
        <v>0</v>
      </c>
      <c r="E216" s="17" t="n">
        <f aca="false">MAX(C216-$H$19,0)</f>
        <v>0</v>
      </c>
    </row>
    <row r="217" customFormat="false" ht="15" hidden="false" customHeight="true" outlineLevel="0" collapsed="false">
      <c r="A217" s="23" t="n">
        <f aca="false">Daily_Returns_Raw_Data!A194</f>
        <v>42649</v>
      </c>
      <c r="B217" s="17" t="n">
        <f aca="false">SUMPRODUCT(Daily_Returns_Raw_Data!B194:X194,$AB$2:$AX$2)</f>
        <v>0.00580818259733055</v>
      </c>
      <c r="C217" s="17" t="n">
        <f aca="false">-B217</f>
        <v>-0.00580818259733055</v>
      </c>
      <c r="D217" s="17" t="n">
        <f aca="false">IF(RANK(C217,$C$25:$C$526,0)&lt;=$H$7,1/$H$7,0)</f>
        <v>0</v>
      </c>
      <c r="E217" s="17" t="n">
        <f aca="false">MAX(C217-$H$19,0)</f>
        <v>0</v>
      </c>
    </row>
    <row r="218" customFormat="false" ht="15" hidden="false" customHeight="true" outlineLevel="0" collapsed="false">
      <c r="A218" s="23" t="n">
        <f aca="false">Daily_Returns_Raw_Data!A195</f>
        <v>42650</v>
      </c>
      <c r="B218" s="17" t="n">
        <f aca="false">SUMPRODUCT(Daily_Returns_Raw_Data!B195:X195,$AB$2:$AX$2)</f>
        <v>0.00293347524780477</v>
      </c>
      <c r="C218" s="17" t="n">
        <f aca="false">-B218</f>
        <v>-0.00293347524780477</v>
      </c>
      <c r="D218" s="17" t="n">
        <f aca="false">IF(RANK(C218,$C$25:$C$526,0)&lt;=$H$7,1/$H$7,0)</f>
        <v>0</v>
      </c>
      <c r="E218" s="17" t="n">
        <f aca="false">MAX(C218-$H$19,0)</f>
        <v>0</v>
      </c>
    </row>
    <row r="219" customFormat="false" ht="15" hidden="false" customHeight="true" outlineLevel="0" collapsed="false">
      <c r="A219" s="23" t="n">
        <f aca="false">Daily_Returns_Raw_Data!A196</f>
        <v>42653</v>
      </c>
      <c r="B219" s="17" t="n">
        <f aca="false">SUMPRODUCT(Daily_Returns_Raw_Data!B196:X196,$AB$2:$AX$2)</f>
        <v>-0.00662957610798801</v>
      </c>
      <c r="C219" s="17" t="n">
        <f aca="false">-B219</f>
        <v>0.00662957610798801</v>
      </c>
      <c r="D219" s="17" t="n">
        <f aca="false">IF(RANK(C219,$C$25:$C$526,0)&lt;=$H$7,1/$H$7,0)</f>
        <v>0</v>
      </c>
      <c r="E219" s="17" t="n">
        <f aca="false">MAX(C219-$H$19,0)</f>
        <v>0</v>
      </c>
    </row>
    <row r="220" customFormat="false" ht="15" hidden="false" customHeight="true" outlineLevel="0" collapsed="false">
      <c r="A220" s="23" t="n">
        <f aca="false">Daily_Returns_Raw_Data!A197</f>
        <v>42654</v>
      </c>
      <c r="B220" s="17" t="n">
        <f aca="false">SUMPRODUCT(Daily_Returns_Raw_Data!B197:X197,$AB$2:$AX$2)</f>
        <v>-0.00273433658034253</v>
      </c>
      <c r="C220" s="17" t="n">
        <f aca="false">-B220</f>
        <v>0.00273433658034253</v>
      </c>
      <c r="D220" s="17" t="n">
        <f aca="false">IF(RANK(C220,$C$25:$C$526,0)&lt;=$H$7,1/$H$7,0)</f>
        <v>0</v>
      </c>
      <c r="E220" s="17" t="n">
        <f aca="false">MAX(C220-$H$19,0)</f>
        <v>0</v>
      </c>
    </row>
    <row r="221" customFormat="false" ht="15" hidden="false" customHeight="true" outlineLevel="0" collapsed="false">
      <c r="A221" s="23" t="n">
        <f aca="false">Daily_Returns_Raw_Data!A198</f>
        <v>42655</v>
      </c>
      <c r="B221" s="17" t="n">
        <f aca="false">SUMPRODUCT(Daily_Returns_Raw_Data!B198:X198,$AB$2:$AX$2)</f>
        <v>-0.00592932130339099</v>
      </c>
      <c r="C221" s="17" t="n">
        <f aca="false">-B221</f>
        <v>0.00592932130339099</v>
      </c>
      <c r="D221" s="17" t="n">
        <f aca="false">IF(RANK(C221,$C$25:$C$526,0)&lt;=$H$7,1/$H$7,0)</f>
        <v>0</v>
      </c>
      <c r="E221" s="17" t="n">
        <f aca="false">MAX(C221-$H$19,0)</f>
        <v>0</v>
      </c>
    </row>
    <row r="222" customFormat="false" ht="15" hidden="false" customHeight="true" outlineLevel="0" collapsed="false">
      <c r="A222" s="23" t="n">
        <f aca="false">Daily_Returns_Raw_Data!A199</f>
        <v>42656</v>
      </c>
      <c r="B222" s="17" t="n">
        <f aca="false">SUMPRODUCT(Daily_Returns_Raw_Data!B199:X199,$AB$2:$AX$2)</f>
        <v>0.00208255285145499</v>
      </c>
      <c r="C222" s="17" t="n">
        <f aca="false">-B222</f>
        <v>-0.00208255285145499</v>
      </c>
      <c r="D222" s="17" t="n">
        <f aca="false">IF(RANK(C222,$C$25:$C$526,0)&lt;=$H$7,1/$H$7,0)</f>
        <v>0</v>
      </c>
      <c r="E222" s="17" t="n">
        <f aca="false">MAX(C222-$H$19,0)</f>
        <v>0</v>
      </c>
    </row>
    <row r="223" customFormat="false" ht="15" hidden="false" customHeight="true" outlineLevel="0" collapsed="false">
      <c r="A223" s="23" t="n">
        <f aca="false">Daily_Returns_Raw_Data!A200</f>
        <v>42657</v>
      </c>
      <c r="B223" s="17" t="n">
        <f aca="false">SUMPRODUCT(Daily_Returns_Raw_Data!B200:X200,$AB$2:$AX$2)</f>
        <v>-0.00105968294490657</v>
      </c>
      <c r="C223" s="17" t="n">
        <f aca="false">-B223</f>
        <v>0.00105968294490657</v>
      </c>
      <c r="D223" s="17" t="n">
        <f aca="false">IF(RANK(C223,$C$25:$C$526,0)&lt;=$H$7,1/$H$7,0)</f>
        <v>0</v>
      </c>
      <c r="E223" s="17" t="n">
        <f aca="false">MAX(C223-$H$19,0)</f>
        <v>0</v>
      </c>
    </row>
    <row r="224" customFormat="false" ht="15" hidden="false" customHeight="true" outlineLevel="0" collapsed="false">
      <c r="A224" s="23" t="n">
        <f aca="false">Daily_Returns_Raw_Data!A201</f>
        <v>42660</v>
      </c>
      <c r="B224" s="17" t="n">
        <f aca="false">SUMPRODUCT(Daily_Returns_Raw_Data!B201:X201,$AB$2:$AX$2)</f>
        <v>0.0101503250980661</v>
      </c>
      <c r="C224" s="17" t="n">
        <f aca="false">-B224</f>
        <v>-0.0101503250980661</v>
      </c>
      <c r="D224" s="17" t="n">
        <f aca="false">IF(RANK(C224,$C$25:$C$526,0)&lt;=$H$7,1/$H$7,0)</f>
        <v>0</v>
      </c>
      <c r="E224" s="17" t="n">
        <f aca="false">MAX(C224-$H$19,0)</f>
        <v>0</v>
      </c>
    </row>
    <row r="225" customFormat="false" ht="15" hidden="false" customHeight="true" outlineLevel="0" collapsed="false">
      <c r="A225" s="23" t="n">
        <f aca="false">Daily_Returns_Raw_Data!A202</f>
        <v>42661</v>
      </c>
      <c r="B225" s="17" t="n">
        <f aca="false">SUMPRODUCT(Daily_Returns_Raw_Data!B202:X202,$AB$2:$AX$2)</f>
        <v>0.00356588602492809</v>
      </c>
      <c r="C225" s="17" t="n">
        <f aca="false">-B225</f>
        <v>-0.00356588602492809</v>
      </c>
      <c r="D225" s="17" t="n">
        <f aca="false">IF(RANK(C225,$C$25:$C$526,0)&lt;=$H$7,1/$H$7,0)</f>
        <v>0</v>
      </c>
      <c r="E225" s="17" t="n">
        <f aca="false">MAX(C225-$H$19,0)</f>
        <v>0</v>
      </c>
    </row>
    <row r="226" customFormat="false" ht="15" hidden="false" customHeight="true" outlineLevel="0" collapsed="false">
      <c r="A226" s="23" t="n">
        <f aca="false">Daily_Returns_Raw_Data!A203</f>
        <v>42662</v>
      </c>
      <c r="B226" s="17" t="n">
        <f aca="false">SUMPRODUCT(Daily_Returns_Raw_Data!B203:X203,$AB$2:$AX$2)</f>
        <v>0.00306839807119367</v>
      </c>
      <c r="C226" s="17" t="n">
        <f aca="false">-B226</f>
        <v>-0.00306839807119367</v>
      </c>
      <c r="D226" s="17" t="n">
        <f aca="false">IF(RANK(C226,$C$25:$C$526,0)&lt;=$H$7,1/$H$7,0)</f>
        <v>0</v>
      </c>
      <c r="E226" s="17" t="n">
        <f aca="false">MAX(C226-$H$19,0)</f>
        <v>0</v>
      </c>
    </row>
    <row r="227" customFormat="false" ht="15" hidden="false" customHeight="true" outlineLevel="0" collapsed="false">
      <c r="A227" s="23" t="n">
        <f aca="false">Daily_Returns_Raw_Data!A204</f>
        <v>42663</v>
      </c>
      <c r="B227" s="17" t="n">
        <f aca="false">SUMPRODUCT(Daily_Returns_Raw_Data!B204:X204,$AB$2:$AX$2)</f>
        <v>-0.00128132142486777</v>
      </c>
      <c r="C227" s="17" t="n">
        <f aca="false">-B227</f>
        <v>0.00128132142486777</v>
      </c>
      <c r="D227" s="17" t="n">
        <f aca="false">IF(RANK(C227,$C$25:$C$526,0)&lt;=$H$7,1/$H$7,0)</f>
        <v>0</v>
      </c>
      <c r="E227" s="17" t="n">
        <f aca="false">MAX(C227-$H$19,0)</f>
        <v>0</v>
      </c>
    </row>
    <row r="228" customFormat="false" ht="15" hidden="false" customHeight="true" outlineLevel="0" collapsed="false">
      <c r="A228" s="23" t="n">
        <f aca="false">Daily_Returns_Raw_Data!A205</f>
        <v>42664</v>
      </c>
      <c r="B228" s="17" t="n">
        <f aca="false">SUMPRODUCT(Daily_Returns_Raw_Data!B205:X205,$AB$2:$AX$2)</f>
        <v>0.00466668774807068</v>
      </c>
      <c r="C228" s="17" t="n">
        <f aca="false">-B228</f>
        <v>-0.00466668774807068</v>
      </c>
      <c r="D228" s="17" t="n">
        <f aca="false">IF(RANK(C228,$C$25:$C$526,0)&lt;=$H$7,1/$H$7,0)</f>
        <v>0</v>
      </c>
      <c r="E228" s="17" t="n">
        <f aca="false">MAX(C228-$H$19,0)</f>
        <v>0</v>
      </c>
    </row>
    <row r="229" customFormat="false" ht="15" hidden="false" customHeight="true" outlineLevel="0" collapsed="false">
      <c r="A229" s="23" t="n">
        <f aca="false">Daily_Returns_Raw_Data!A206</f>
        <v>42667</v>
      </c>
      <c r="B229" s="17" t="n">
        <f aca="false">SUMPRODUCT(Daily_Returns_Raw_Data!B206:X206,$AB$2:$AX$2)</f>
        <v>-0.00183256990174911</v>
      </c>
      <c r="C229" s="17" t="n">
        <f aca="false">-B229</f>
        <v>0.00183256990174911</v>
      </c>
      <c r="D229" s="17" t="n">
        <f aca="false">IF(RANK(C229,$C$25:$C$526,0)&lt;=$H$7,1/$H$7,0)</f>
        <v>0</v>
      </c>
      <c r="E229" s="17" t="n">
        <f aca="false">MAX(C229-$H$19,0)</f>
        <v>0</v>
      </c>
    </row>
    <row r="230" customFormat="false" ht="15" hidden="false" customHeight="true" outlineLevel="0" collapsed="false">
      <c r="A230" s="23" t="n">
        <f aca="false">Daily_Returns_Raw_Data!A207</f>
        <v>42668</v>
      </c>
      <c r="B230" s="17" t="n">
        <f aca="false">SUMPRODUCT(Daily_Returns_Raw_Data!B207:X207,$AB$2:$AX$2)</f>
        <v>0.00253044822574061</v>
      </c>
      <c r="C230" s="17" t="n">
        <f aca="false">-B230</f>
        <v>-0.00253044822574061</v>
      </c>
      <c r="D230" s="17" t="n">
        <f aca="false">IF(RANK(C230,$C$25:$C$526,0)&lt;=$H$7,1/$H$7,0)</f>
        <v>0</v>
      </c>
      <c r="E230" s="17" t="n">
        <f aca="false">MAX(C230-$H$19,0)</f>
        <v>0</v>
      </c>
    </row>
    <row r="231" customFormat="false" ht="15" hidden="false" customHeight="true" outlineLevel="0" collapsed="false">
      <c r="A231" s="23" t="n">
        <f aca="false">Daily_Returns_Raw_Data!A208</f>
        <v>42669</v>
      </c>
      <c r="B231" s="17" t="n">
        <f aca="false">SUMPRODUCT(Daily_Returns_Raw_Data!B208:X208,$AB$2:$AX$2)</f>
        <v>0.00400334112723401</v>
      </c>
      <c r="C231" s="17" t="n">
        <f aca="false">-B231</f>
        <v>-0.00400334112723401</v>
      </c>
      <c r="D231" s="17" t="n">
        <f aca="false">IF(RANK(C231,$C$25:$C$526,0)&lt;=$H$7,1/$H$7,0)</f>
        <v>0</v>
      </c>
      <c r="E231" s="17" t="n">
        <f aca="false">MAX(C231-$H$19,0)</f>
        <v>0</v>
      </c>
    </row>
    <row r="232" customFormat="false" ht="15" hidden="false" customHeight="true" outlineLevel="0" collapsed="false">
      <c r="A232" s="23" t="n">
        <f aca="false">Daily_Returns_Raw_Data!A209</f>
        <v>42670</v>
      </c>
      <c r="B232" s="17" t="n">
        <f aca="false">SUMPRODUCT(Daily_Returns_Raw_Data!B209:X209,$AB$2:$AX$2)</f>
        <v>-0.00867940743461172</v>
      </c>
      <c r="C232" s="17" t="n">
        <f aca="false">-B232</f>
        <v>0.00867940743461172</v>
      </c>
      <c r="D232" s="17" t="n">
        <f aca="false">IF(RANK(C232,$C$25:$C$526,0)&lt;=$H$7,1/$H$7,0)</f>
        <v>0</v>
      </c>
      <c r="E232" s="17" t="n">
        <f aca="false">MAX(C232-$H$19,0)</f>
        <v>0</v>
      </c>
    </row>
    <row r="233" customFormat="false" ht="15" hidden="false" customHeight="true" outlineLevel="0" collapsed="false">
      <c r="A233" s="23" t="n">
        <f aca="false">Daily_Returns_Raw_Data!A210</f>
        <v>42671</v>
      </c>
      <c r="B233" s="17" t="n">
        <f aca="false">SUMPRODUCT(Daily_Returns_Raw_Data!B210:X210,$AB$2:$AX$2)</f>
        <v>-0.00637568927579799</v>
      </c>
      <c r="C233" s="17" t="n">
        <f aca="false">-B233</f>
        <v>0.00637568927579799</v>
      </c>
      <c r="D233" s="17" t="n">
        <f aca="false">IF(RANK(C233,$C$25:$C$526,0)&lt;=$H$7,1/$H$7,0)</f>
        <v>0</v>
      </c>
      <c r="E233" s="17" t="n">
        <f aca="false">MAX(C233-$H$19,0)</f>
        <v>0</v>
      </c>
    </row>
    <row r="234" customFormat="false" ht="15" hidden="false" customHeight="true" outlineLevel="0" collapsed="false">
      <c r="A234" s="23" t="n">
        <f aca="false">Daily_Returns_Raw_Data!A211</f>
        <v>42674</v>
      </c>
      <c r="B234" s="17" t="n">
        <f aca="false">SUMPRODUCT(Daily_Returns_Raw_Data!B211:X211,$AB$2:$AX$2)</f>
        <v>-0.0111776191436117</v>
      </c>
      <c r="C234" s="17" t="n">
        <f aca="false">-B234</f>
        <v>0.0111776191436117</v>
      </c>
      <c r="D234" s="17" t="n">
        <f aca="false">IF(RANK(C234,$C$25:$C$526,0)&lt;=$H$7,1/$H$7,0)</f>
        <v>0.0196078431372549</v>
      </c>
      <c r="E234" s="17" t="n">
        <f aca="false">MAX(C234-$H$19,0)</f>
        <v>0.00223116586693039</v>
      </c>
    </row>
    <row r="235" customFormat="false" ht="15" hidden="false" customHeight="true" outlineLevel="0" collapsed="false">
      <c r="A235" s="23" t="n">
        <f aca="false">Daily_Returns_Raw_Data!A212</f>
        <v>42675</v>
      </c>
      <c r="B235" s="17" t="n">
        <f aca="false">SUMPRODUCT(Daily_Returns_Raw_Data!B212:X212,$AB$2:$AX$2)</f>
        <v>-0.00992942136557998</v>
      </c>
      <c r="C235" s="17" t="n">
        <f aca="false">-B235</f>
        <v>0.00992942136557998</v>
      </c>
      <c r="D235" s="17" t="n">
        <f aca="false">IF(RANK(C235,$C$25:$C$526,0)&lt;=$H$7,1/$H$7,0)</f>
        <v>0.0196078431372549</v>
      </c>
      <c r="E235" s="17" t="n">
        <f aca="false">MAX(C235-$H$19,0)</f>
        <v>0.000982968088898684</v>
      </c>
    </row>
    <row r="236" customFormat="false" ht="15" hidden="false" customHeight="true" outlineLevel="0" collapsed="false">
      <c r="A236" s="23" t="n">
        <f aca="false">Daily_Returns_Raw_Data!A213</f>
        <v>42676</v>
      </c>
      <c r="B236" s="17" t="n">
        <f aca="false">SUMPRODUCT(Daily_Returns_Raw_Data!B213:X213,$AB$2:$AX$2)</f>
        <v>-0.0117428629374387</v>
      </c>
      <c r="C236" s="17" t="n">
        <f aca="false">-B236</f>
        <v>0.0117428629374387</v>
      </c>
      <c r="D236" s="17" t="n">
        <f aca="false">IF(RANK(C236,$C$25:$C$526,0)&lt;=$H$7,1/$H$7,0)</f>
        <v>0.0196078431372549</v>
      </c>
      <c r="E236" s="17" t="n">
        <f aca="false">MAX(C236-$H$19,0)</f>
        <v>0.00279640966075745</v>
      </c>
    </row>
    <row r="237" customFormat="false" ht="15" hidden="false" customHeight="true" outlineLevel="0" collapsed="false">
      <c r="A237" s="23" t="n">
        <f aca="false">Daily_Returns_Raw_Data!A214</f>
        <v>42677</v>
      </c>
      <c r="B237" s="17" t="n">
        <f aca="false">SUMPRODUCT(Daily_Returns_Raw_Data!B214:X214,$AB$2:$AX$2)</f>
        <v>0.00101879901866619</v>
      </c>
      <c r="C237" s="17" t="n">
        <f aca="false">-B237</f>
        <v>-0.00101879901866619</v>
      </c>
      <c r="D237" s="17" t="n">
        <f aca="false">IF(RANK(C237,$C$25:$C$526,0)&lt;=$H$7,1/$H$7,0)</f>
        <v>0</v>
      </c>
      <c r="E237" s="17" t="n">
        <f aca="false">MAX(C237-$H$19,0)</f>
        <v>0</v>
      </c>
    </row>
    <row r="238" customFormat="false" ht="15" hidden="false" customHeight="true" outlineLevel="0" collapsed="false">
      <c r="A238" s="23" t="n">
        <f aca="false">Daily_Returns_Raw_Data!A215</f>
        <v>42678</v>
      </c>
      <c r="B238" s="17" t="n">
        <f aca="false">SUMPRODUCT(Daily_Returns_Raw_Data!B215:X215,$AB$2:$AX$2)</f>
        <v>0.0260662708037011</v>
      </c>
      <c r="C238" s="17" t="n">
        <f aca="false">-B238</f>
        <v>-0.0260662708037011</v>
      </c>
      <c r="D238" s="17" t="n">
        <f aca="false">IF(RANK(C238,$C$25:$C$526,0)&lt;=$H$7,1/$H$7,0)</f>
        <v>0</v>
      </c>
      <c r="E238" s="17" t="n">
        <f aca="false">MAX(C238-$H$19,0)</f>
        <v>0</v>
      </c>
    </row>
    <row r="239" customFormat="false" ht="15" hidden="false" customHeight="true" outlineLevel="0" collapsed="false">
      <c r="A239" s="23" t="n">
        <f aca="false">Daily_Returns_Raw_Data!A216</f>
        <v>42681</v>
      </c>
      <c r="B239" s="17" t="n">
        <f aca="false">SUMPRODUCT(Daily_Returns_Raw_Data!B216:X216,$AB$2:$AX$2)</f>
        <v>-0.00237742194610528</v>
      </c>
      <c r="C239" s="17" t="n">
        <f aca="false">-B239</f>
        <v>0.00237742194610528</v>
      </c>
      <c r="D239" s="17" t="n">
        <f aca="false">IF(RANK(C239,$C$25:$C$526,0)&lt;=$H$7,1/$H$7,0)</f>
        <v>0</v>
      </c>
      <c r="E239" s="17" t="n">
        <f aca="false">MAX(C239-$H$19,0)</f>
        <v>0</v>
      </c>
    </row>
    <row r="240" customFormat="false" ht="15" hidden="false" customHeight="true" outlineLevel="0" collapsed="false">
      <c r="A240" s="23" t="n">
        <f aca="false">Daily_Returns_Raw_Data!A217</f>
        <v>42682</v>
      </c>
      <c r="B240" s="17" t="n">
        <f aca="false">SUMPRODUCT(Daily_Returns_Raw_Data!B217:X217,$AB$2:$AX$2)</f>
        <v>0.0173217912736767</v>
      </c>
      <c r="C240" s="17" t="n">
        <f aca="false">-B240</f>
        <v>-0.0173217912736767</v>
      </c>
      <c r="D240" s="17" t="n">
        <f aca="false">IF(RANK(C240,$C$25:$C$526,0)&lt;=$H$7,1/$H$7,0)</f>
        <v>0</v>
      </c>
      <c r="E240" s="17" t="n">
        <f aca="false">MAX(C240-$H$19,0)</f>
        <v>0</v>
      </c>
    </row>
    <row r="241" customFormat="false" ht="15" hidden="false" customHeight="true" outlineLevel="0" collapsed="false">
      <c r="A241" s="23" t="n">
        <f aca="false">Daily_Returns_Raw_Data!A218</f>
        <v>42683</v>
      </c>
      <c r="B241" s="17" t="n">
        <f aca="false">SUMPRODUCT(Daily_Returns_Raw_Data!B218:X218,$AB$2:$AX$2)</f>
        <v>0.00464258046955713</v>
      </c>
      <c r="C241" s="17" t="n">
        <f aca="false">-B241</f>
        <v>-0.00464258046955713</v>
      </c>
      <c r="D241" s="17" t="n">
        <f aca="false">IF(RANK(C241,$C$25:$C$526,0)&lt;=$H$7,1/$H$7,0)</f>
        <v>0</v>
      </c>
      <c r="E241" s="17" t="n">
        <f aca="false">MAX(C241-$H$19,0)</f>
        <v>0</v>
      </c>
    </row>
    <row r="242" customFormat="false" ht="15" hidden="false" customHeight="true" outlineLevel="0" collapsed="false">
      <c r="A242" s="23" t="n">
        <f aca="false">Daily_Returns_Raw_Data!A219</f>
        <v>42684</v>
      </c>
      <c r="B242" s="17" t="n">
        <f aca="false">SUMPRODUCT(Daily_Returns_Raw_Data!B219:X219,$AB$2:$AX$2)</f>
        <v>-0.00487654599745197</v>
      </c>
      <c r="C242" s="17" t="n">
        <f aca="false">-B242</f>
        <v>0.00487654599745197</v>
      </c>
      <c r="D242" s="17" t="n">
        <f aca="false">IF(RANK(C242,$C$25:$C$526,0)&lt;=$H$7,1/$H$7,0)</f>
        <v>0</v>
      </c>
      <c r="E242" s="17" t="n">
        <f aca="false">MAX(C242-$H$19,0)</f>
        <v>0</v>
      </c>
    </row>
    <row r="243" customFormat="false" ht="15" hidden="false" customHeight="true" outlineLevel="0" collapsed="false">
      <c r="A243" s="23" t="n">
        <f aca="false">Daily_Returns_Raw_Data!A220</f>
        <v>42685</v>
      </c>
      <c r="B243" s="17" t="n">
        <f aca="false">SUMPRODUCT(Daily_Returns_Raw_Data!B220:X220,$AB$2:$AX$2)</f>
        <v>0.00680735218549594</v>
      </c>
      <c r="C243" s="17" t="n">
        <f aca="false">-B243</f>
        <v>-0.00680735218549594</v>
      </c>
      <c r="D243" s="17" t="n">
        <f aca="false">IF(RANK(C243,$C$25:$C$526,0)&lt;=$H$7,1/$H$7,0)</f>
        <v>0</v>
      </c>
      <c r="E243" s="17" t="n">
        <f aca="false">MAX(C243-$H$19,0)</f>
        <v>0</v>
      </c>
    </row>
    <row r="244" customFormat="false" ht="15" hidden="false" customHeight="true" outlineLevel="0" collapsed="false">
      <c r="A244" s="23" t="n">
        <f aca="false">Daily_Returns_Raw_Data!A221</f>
        <v>42688</v>
      </c>
      <c r="B244" s="17" t="n">
        <f aca="false">SUMPRODUCT(Daily_Returns_Raw_Data!B221:X221,$AB$2:$AX$2)</f>
        <v>0.0187628632849168</v>
      </c>
      <c r="C244" s="17" t="n">
        <f aca="false">-B244</f>
        <v>-0.0187628632849168</v>
      </c>
      <c r="D244" s="17" t="n">
        <f aca="false">IF(RANK(C244,$C$25:$C$526,0)&lt;=$H$7,1/$H$7,0)</f>
        <v>0</v>
      </c>
      <c r="E244" s="17" t="n">
        <f aca="false">MAX(C244-$H$19,0)</f>
        <v>0</v>
      </c>
    </row>
    <row r="245" customFormat="false" ht="15" hidden="false" customHeight="true" outlineLevel="0" collapsed="false">
      <c r="A245" s="23" t="n">
        <f aca="false">Daily_Returns_Raw_Data!A222</f>
        <v>42689</v>
      </c>
      <c r="B245" s="17" t="n">
        <f aca="false">SUMPRODUCT(Daily_Returns_Raw_Data!B222:X222,$AB$2:$AX$2)</f>
        <v>1.65812634903985E-005</v>
      </c>
      <c r="C245" s="17" t="n">
        <f aca="false">-B245</f>
        <v>-1.65812634903985E-005</v>
      </c>
      <c r="D245" s="17" t="n">
        <f aca="false">IF(RANK(C245,$C$25:$C$526,0)&lt;=$H$7,1/$H$7,0)</f>
        <v>0</v>
      </c>
      <c r="E245" s="17" t="n">
        <f aca="false">MAX(C245-$H$19,0)</f>
        <v>0</v>
      </c>
    </row>
    <row r="246" customFormat="false" ht="15" hidden="false" customHeight="true" outlineLevel="0" collapsed="false">
      <c r="A246" s="23" t="n">
        <f aca="false">Daily_Returns_Raw_Data!A223</f>
        <v>42690</v>
      </c>
      <c r="B246" s="17" t="n">
        <f aca="false">SUMPRODUCT(Daily_Returns_Raw_Data!B223:X223,$AB$2:$AX$2)</f>
        <v>0.00161184265375703</v>
      </c>
      <c r="C246" s="17" t="n">
        <f aca="false">-B246</f>
        <v>-0.00161184265375703</v>
      </c>
      <c r="D246" s="17" t="n">
        <f aca="false">IF(RANK(C246,$C$25:$C$526,0)&lt;=$H$7,1/$H$7,0)</f>
        <v>0</v>
      </c>
      <c r="E246" s="17" t="n">
        <f aca="false">MAX(C246-$H$19,0)</f>
        <v>0</v>
      </c>
    </row>
    <row r="247" customFormat="false" ht="15" hidden="false" customHeight="true" outlineLevel="0" collapsed="false">
      <c r="A247" s="23" t="n">
        <f aca="false">Daily_Returns_Raw_Data!A224</f>
        <v>42691</v>
      </c>
      <c r="B247" s="17" t="n">
        <f aca="false">SUMPRODUCT(Daily_Returns_Raw_Data!B224:X224,$AB$2:$AX$2)</f>
        <v>0.00622225466029804</v>
      </c>
      <c r="C247" s="17" t="n">
        <f aca="false">-B247</f>
        <v>-0.00622225466029804</v>
      </c>
      <c r="D247" s="17" t="n">
        <f aca="false">IF(RANK(C247,$C$25:$C$526,0)&lt;=$H$7,1/$H$7,0)</f>
        <v>0</v>
      </c>
      <c r="E247" s="17" t="n">
        <f aca="false">MAX(C247-$H$19,0)</f>
        <v>0</v>
      </c>
    </row>
    <row r="248" customFormat="false" ht="15" hidden="false" customHeight="true" outlineLevel="0" collapsed="false">
      <c r="A248" s="23" t="n">
        <f aca="false">Daily_Returns_Raw_Data!A225</f>
        <v>42692</v>
      </c>
      <c r="B248" s="17" t="n">
        <f aca="false">SUMPRODUCT(Daily_Returns_Raw_Data!B225:X225,$AB$2:$AX$2)</f>
        <v>0.00431734903679074</v>
      </c>
      <c r="C248" s="17" t="n">
        <f aca="false">-B248</f>
        <v>-0.00431734903679074</v>
      </c>
      <c r="D248" s="17" t="n">
        <f aca="false">IF(RANK(C248,$C$25:$C$526,0)&lt;=$H$7,1/$H$7,0)</f>
        <v>0</v>
      </c>
      <c r="E248" s="17" t="n">
        <f aca="false">MAX(C248-$H$19,0)</f>
        <v>0</v>
      </c>
    </row>
    <row r="249" customFormat="false" ht="15" hidden="false" customHeight="true" outlineLevel="0" collapsed="false">
      <c r="A249" s="23" t="n">
        <f aca="false">Daily_Returns_Raw_Data!A226</f>
        <v>42695</v>
      </c>
      <c r="B249" s="17" t="n">
        <f aca="false">SUMPRODUCT(Daily_Returns_Raw_Data!B226:X226,$AB$2:$AX$2)</f>
        <v>-0.00299612570144512</v>
      </c>
      <c r="C249" s="17" t="n">
        <f aca="false">-B249</f>
        <v>0.00299612570144512</v>
      </c>
      <c r="D249" s="17" t="n">
        <f aca="false">IF(RANK(C249,$C$25:$C$526,0)&lt;=$H$7,1/$H$7,0)</f>
        <v>0</v>
      </c>
      <c r="E249" s="17" t="n">
        <f aca="false">MAX(C249-$H$19,0)</f>
        <v>0</v>
      </c>
    </row>
    <row r="250" customFormat="false" ht="15" hidden="false" customHeight="true" outlineLevel="0" collapsed="false">
      <c r="A250" s="23" t="n">
        <f aca="false">Daily_Returns_Raw_Data!A227</f>
        <v>42696</v>
      </c>
      <c r="B250" s="17" t="n">
        <f aca="false">SUMPRODUCT(Daily_Returns_Raw_Data!B227:X227,$AB$2:$AX$2)</f>
        <v>0.000284148567888958</v>
      </c>
      <c r="C250" s="17" t="n">
        <f aca="false">-B250</f>
        <v>-0.000284148567888958</v>
      </c>
      <c r="D250" s="17" t="n">
        <f aca="false">IF(RANK(C250,$C$25:$C$526,0)&lt;=$H$7,1/$H$7,0)</f>
        <v>0</v>
      </c>
      <c r="E250" s="17" t="n">
        <f aca="false">MAX(C250-$H$19,0)</f>
        <v>0</v>
      </c>
    </row>
    <row r="251" customFormat="false" ht="15" hidden="false" customHeight="true" outlineLevel="0" collapsed="false">
      <c r="A251" s="23" t="n">
        <f aca="false">Daily_Returns_Raw_Data!A228</f>
        <v>42697</v>
      </c>
      <c r="B251" s="17" t="n">
        <f aca="false">SUMPRODUCT(Daily_Returns_Raw_Data!B228:X228,$AB$2:$AX$2)</f>
        <v>0.000713599305436809</v>
      </c>
      <c r="C251" s="17" t="n">
        <f aca="false">-B251</f>
        <v>-0.000713599305436809</v>
      </c>
      <c r="D251" s="17" t="n">
        <f aca="false">IF(RANK(C251,$C$25:$C$526,0)&lt;=$H$7,1/$H$7,0)</f>
        <v>0</v>
      </c>
      <c r="E251" s="17" t="n">
        <f aca="false">MAX(C251-$H$19,0)</f>
        <v>0</v>
      </c>
    </row>
    <row r="252" customFormat="false" ht="15" hidden="false" customHeight="true" outlineLevel="0" collapsed="false">
      <c r="A252" s="23" t="n">
        <f aca="false">Daily_Returns_Raw_Data!A229</f>
        <v>42699</v>
      </c>
      <c r="B252" s="17" t="n">
        <f aca="false">SUMPRODUCT(Daily_Returns_Raw_Data!B229:X229,$AB$2:$AX$2)</f>
        <v>-0.000184461827606519</v>
      </c>
      <c r="C252" s="17" t="n">
        <f aca="false">-B252</f>
        <v>0.000184461827606519</v>
      </c>
      <c r="D252" s="17" t="n">
        <f aca="false">IF(RANK(C252,$C$25:$C$526,0)&lt;=$H$7,1/$H$7,0)</f>
        <v>0</v>
      </c>
      <c r="E252" s="17" t="n">
        <f aca="false">MAX(C252-$H$19,0)</f>
        <v>0</v>
      </c>
    </row>
    <row r="253" customFormat="false" ht="15" hidden="false" customHeight="true" outlineLevel="0" collapsed="false">
      <c r="A253" s="23" t="n">
        <f aca="false">Daily_Returns_Raw_Data!A230</f>
        <v>42702</v>
      </c>
      <c r="B253" s="17" t="n">
        <f aca="false">SUMPRODUCT(Daily_Returns_Raw_Data!B230:X230,$AB$2:$AX$2)</f>
        <v>-0.0078998859665382</v>
      </c>
      <c r="C253" s="17" t="n">
        <f aca="false">-B253</f>
        <v>0.0078998859665382</v>
      </c>
      <c r="D253" s="17" t="n">
        <f aca="false">IF(RANK(C253,$C$25:$C$526,0)&lt;=$H$7,1/$H$7,0)</f>
        <v>0</v>
      </c>
      <c r="E253" s="17" t="n">
        <f aca="false">MAX(C253-$H$19,0)</f>
        <v>0</v>
      </c>
    </row>
    <row r="254" customFormat="false" ht="15" hidden="false" customHeight="true" outlineLevel="0" collapsed="false">
      <c r="A254" s="23" t="n">
        <f aca="false">Daily_Returns_Raw_Data!A231</f>
        <v>42703</v>
      </c>
      <c r="B254" s="17" t="n">
        <f aca="false">SUMPRODUCT(Daily_Returns_Raw_Data!B231:X231,$AB$2:$AX$2)</f>
        <v>0.00348026224370757</v>
      </c>
      <c r="C254" s="17" t="n">
        <f aca="false">-B254</f>
        <v>-0.00348026224370757</v>
      </c>
      <c r="D254" s="17" t="n">
        <f aca="false">IF(RANK(C254,$C$25:$C$526,0)&lt;=$H$7,1/$H$7,0)</f>
        <v>0</v>
      </c>
      <c r="E254" s="17" t="n">
        <f aca="false">MAX(C254-$H$19,0)</f>
        <v>0</v>
      </c>
    </row>
    <row r="255" customFormat="false" ht="15" hidden="false" customHeight="true" outlineLevel="0" collapsed="false">
      <c r="A255" s="23" t="n">
        <f aca="false">Daily_Returns_Raw_Data!A232</f>
        <v>42704</v>
      </c>
      <c r="B255" s="17" t="n">
        <f aca="false">SUMPRODUCT(Daily_Returns_Raw_Data!B232:X232,$AB$2:$AX$2)</f>
        <v>-0.00389987317446486</v>
      </c>
      <c r="C255" s="17" t="n">
        <f aca="false">-B255</f>
        <v>0.00389987317446486</v>
      </c>
      <c r="D255" s="17" t="n">
        <f aca="false">IF(RANK(C255,$C$25:$C$526,0)&lt;=$H$7,1/$H$7,0)</f>
        <v>0</v>
      </c>
      <c r="E255" s="17" t="n">
        <f aca="false">MAX(C255-$H$19,0)</f>
        <v>0</v>
      </c>
    </row>
    <row r="256" customFormat="false" ht="15" hidden="false" customHeight="true" outlineLevel="0" collapsed="false">
      <c r="A256" s="23" t="n">
        <f aca="false">Daily_Returns_Raw_Data!A233</f>
        <v>42705</v>
      </c>
      <c r="B256" s="17" t="n">
        <f aca="false">SUMPRODUCT(Daily_Returns_Raw_Data!B233:X233,$AB$2:$AX$2)</f>
        <v>-0.00242190956575186</v>
      </c>
      <c r="C256" s="17" t="n">
        <f aca="false">-B256</f>
        <v>0.00242190956575186</v>
      </c>
      <c r="D256" s="17" t="n">
        <f aca="false">IF(RANK(C256,$C$25:$C$526,0)&lt;=$H$7,1/$H$7,0)</f>
        <v>0</v>
      </c>
      <c r="E256" s="17" t="n">
        <f aca="false">MAX(C256-$H$19,0)</f>
        <v>0</v>
      </c>
    </row>
    <row r="257" customFormat="false" ht="15" hidden="false" customHeight="true" outlineLevel="0" collapsed="false">
      <c r="A257" s="23" t="n">
        <f aca="false">Daily_Returns_Raw_Data!A234</f>
        <v>42706</v>
      </c>
      <c r="B257" s="17" t="n">
        <f aca="false">SUMPRODUCT(Daily_Returns_Raw_Data!B234:X234,$AB$2:$AX$2)</f>
        <v>0.000461592999258099</v>
      </c>
      <c r="C257" s="17" t="n">
        <f aca="false">-B257</f>
        <v>-0.000461592999258099</v>
      </c>
      <c r="D257" s="17" t="n">
        <f aca="false">IF(RANK(C257,$C$25:$C$526,0)&lt;=$H$7,1/$H$7,0)</f>
        <v>0</v>
      </c>
      <c r="E257" s="17" t="n">
        <f aca="false">MAX(C257-$H$19,0)</f>
        <v>0</v>
      </c>
    </row>
    <row r="258" customFormat="false" ht="15" hidden="false" customHeight="true" outlineLevel="0" collapsed="false">
      <c r="A258" s="23" t="n">
        <f aca="false">Daily_Returns_Raw_Data!A235</f>
        <v>42709</v>
      </c>
      <c r="B258" s="17" t="n">
        <f aca="false">SUMPRODUCT(Daily_Returns_Raw_Data!B235:X235,$AB$2:$AX$2)</f>
        <v>0.00430779275899977</v>
      </c>
      <c r="C258" s="17" t="n">
        <f aca="false">-B258</f>
        <v>-0.00430779275899977</v>
      </c>
      <c r="D258" s="17" t="n">
        <f aca="false">IF(RANK(C258,$C$25:$C$526,0)&lt;=$H$7,1/$H$7,0)</f>
        <v>0</v>
      </c>
      <c r="E258" s="17" t="n">
        <f aca="false">MAX(C258-$H$19,0)</f>
        <v>0</v>
      </c>
    </row>
    <row r="259" customFormat="false" ht="15" hidden="false" customHeight="true" outlineLevel="0" collapsed="false">
      <c r="A259" s="23" t="n">
        <f aca="false">Daily_Returns_Raw_Data!A236</f>
        <v>42710</v>
      </c>
      <c r="B259" s="17" t="n">
        <f aca="false">SUMPRODUCT(Daily_Returns_Raw_Data!B236:X236,$AB$2:$AX$2)</f>
        <v>0.0145910215412473</v>
      </c>
      <c r="C259" s="17" t="n">
        <f aca="false">-B259</f>
        <v>-0.0145910215412473</v>
      </c>
      <c r="D259" s="17" t="n">
        <f aca="false">IF(RANK(C259,$C$25:$C$526,0)&lt;=$H$7,1/$H$7,0)</f>
        <v>0</v>
      </c>
      <c r="E259" s="17" t="n">
        <f aca="false">MAX(C259-$H$19,0)</f>
        <v>0</v>
      </c>
    </row>
    <row r="260" customFormat="false" ht="15" hidden="false" customHeight="true" outlineLevel="0" collapsed="false">
      <c r="A260" s="23" t="n">
        <f aca="false">Daily_Returns_Raw_Data!A237</f>
        <v>42711</v>
      </c>
      <c r="B260" s="17" t="n">
        <f aca="false">SUMPRODUCT(Daily_Returns_Raw_Data!B237:X237,$AB$2:$AX$2)</f>
        <v>-0.00317825872358133</v>
      </c>
      <c r="C260" s="17" t="n">
        <f aca="false">-B260</f>
        <v>0.00317825872358133</v>
      </c>
      <c r="D260" s="17" t="n">
        <f aca="false">IF(RANK(C260,$C$25:$C$526,0)&lt;=$H$7,1/$H$7,0)</f>
        <v>0</v>
      </c>
      <c r="E260" s="17" t="n">
        <f aca="false">MAX(C260-$H$19,0)</f>
        <v>0</v>
      </c>
    </row>
    <row r="261" customFormat="false" ht="15" hidden="false" customHeight="true" outlineLevel="0" collapsed="false">
      <c r="A261" s="23" t="n">
        <f aca="false">Daily_Returns_Raw_Data!A238</f>
        <v>42712</v>
      </c>
      <c r="B261" s="17" t="n">
        <f aca="false">SUMPRODUCT(Daily_Returns_Raw_Data!B238:X238,$AB$2:$AX$2)</f>
        <v>0.00683448901737443</v>
      </c>
      <c r="C261" s="17" t="n">
        <f aca="false">-B261</f>
        <v>-0.00683448901737443</v>
      </c>
      <c r="D261" s="17" t="n">
        <f aca="false">IF(RANK(C261,$C$25:$C$526,0)&lt;=$H$7,1/$H$7,0)</f>
        <v>0</v>
      </c>
      <c r="E261" s="17" t="n">
        <f aca="false">MAX(C261-$H$19,0)</f>
        <v>0</v>
      </c>
    </row>
    <row r="262" customFormat="false" ht="15" hidden="false" customHeight="true" outlineLevel="0" collapsed="false">
      <c r="A262" s="23" t="n">
        <f aca="false">Daily_Returns_Raw_Data!A239</f>
        <v>42713</v>
      </c>
      <c r="B262" s="17" t="n">
        <f aca="false">SUMPRODUCT(Daily_Returns_Raw_Data!B239:X239,$AB$2:$AX$2)</f>
        <v>-0.00228427578087151</v>
      </c>
      <c r="C262" s="17" t="n">
        <f aca="false">-B262</f>
        <v>0.00228427578087151</v>
      </c>
      <c r="D262" s="17" t="n">
        <f aca="false">IF(RANK(C262,$C$25:$C$526,0)&lt;=$H$7,1/$H$7,0)</f>
        <v>0</v>
      </c>
      <c r="E262" s="17" t="n">
        <f aca="false">MAX(C262-$H$19,0)</f>
        <v>0</v>
      </c>
    </row>
    <row r="263" customFormat="false" ht="15" hidden="false" customHeight="true" outlineLevel="0" collapsed="false">
      <c r="A263" s="23" t="n">
        <f aca="false">Daily_Returns_Raw_Data!A240</f>
        <v>42716</v>
      </c>
      <c r="B263" s="17" t="n">
        <f aca="false">SUMPRODUCT(Daily_Returns_Raw_Data!B240:X240,$AB$2:$AX$2)</f>
        <v>0.00829743132939743</v>
      </c>
      <c r="C263" s="17" t="n">
        <f aca="false">-B263</f>
        <v>-0.00829743132939743</v>
      </c>
      <c r="D263" s="17" t="n">
        <f aca="false">IF(RANK(C263,$C$25:$C$526,0)&lt;=$H$7,1/$H$7,0)</f>
        <v>0</v>
      </c>
      <c r="E263" s="17" t="n">
        <f aca="false">MAX(C263-$H$19,0)</f>
        <v>0</v>
      </c>
    </row>
    <row r="264" customFormat="false" ht="15" hidden="false" customHeight="true" outlineLevel="0" collapsed="false">
      <c r="A264" s="23" t="n">
        <f aca="false">Daily_Returns_Raw_Data!A241</f>
        <v>42717</v>
      </c>
      <c r="B264" s="17" t="n">
        <f aca="false">SUMPRODUCT(Daily_Returns_Raw_Data!B241:X241,$AB$2:$AX$2)</f>
        <v>-0.0151980584827081</v>
      </c>
      <c r="C264" s="17" t="n">
        <f aca="false">-B264</f>
        <v>0.0151980584827081</v>
      </c>
      <c r="D264" s="17" t="n">
        <f aca="false">IF(RANK(C264,$C$25:$C$526,0)&lt;=$H$7,1/$H$7,0)</f>
        <v>0.0196078431372549</v>
      </c>
      <c r="E264" s="17" t="n">
        <f aca="false">MAX(C264-$H$19,0)</f>
        <v>0.00625160520602685</v>
      </c>
    </row>
    <row r="265" customFormat="false" ht="15" hidden="false" customHeight="true" outlineLevel="0" collapsed="false">
      <c r="A265" s="23" t="n">
        <f aca="false">Daily_Returns_Raw_Data!A242</f>
        <v>42718</v>
      </c>
      <c r="B265" s="17" t="n">
        <f aca="false">SUMPRODUCT(Daily_Returns_Raw_Data!B242:X242,$AB$2:$AX$2)</f>
        <v>0.0076968358908261</v>
      </c>
      <c r="C265" s="17" t="n">
        <f aca="false">-B265</f>
        <v>-0.0076968358908261</v>
      </c>
      <c r="D265" s="17" t="n">
        <f aca="false">IF(RANK(C265,$C$25:$C$526,0)&lt;=$H$7,1/$H$7,0)</f>
        <v>0</v>
      </c>
      <c r="E265" s="17" t="n">
        <f aca="false">MAX(C265-$H$19,0)</f>
        <v>0</v>
      </c>
    </row>
    <row r="266" customFormat="false" ht="15" hidden="false" customHeight="true" outlineLevel="0" collapsed="false">
      <c r="A266" s="23" t="n">
        <f aca="false">Daily_Returns_Raw_Data!A243</f>
        <v>42719</v>
      </c>
      <c r="B266" s="17" t="n">
        <f aca="false">SUMPRODUCT(Daily_Returns_Raw_Data!B243:X243,$AB$2:$AX$2)</f>
        <v>0.000527850512125395</v>
      </c>
      <c r="C266" s="17" t="n">
        <f aca="false">-B266</f>
        <v>-0.000527850512125395</v>
      </c>
      <c r="D266" s="17" t="n">
        <f aca="false">IF(RANK(C266,$C$25:$C$526,0)&lt;=$H$7,1/$H$7,0)</f>
        <v>0</v>
      </c>
      <c r="E266" s="17" t="n">
        <f aca="false">MAX(C266-$H$19,0)</f>
        <v>0</v>
      </c>
    </row>
    <row r="267" customFormat="false" ht="15" hidden="false" customHeight="true" outlineLevel="0" collapsed="false">
      <c r="A267" s="23" t="n">
        <f aca="false">Daily_Returns_Raw_Data!A244</f>
        <v>42720</v>
      </c>
      <c r="B267" s="17" t="n">
        <f aca="false">SUMPRODUCT(Daily_Returns_Raw_Data!B244:X244,$AB$2:$AX$2)</f>
        <v>-0.00590885018671536</v>
      </c>
      <c r="C267" s="17" t="n">
        <f aca="false">-B267</f>
        <v>0.00590885018671536</v>
      </c>
      <c r="D267" s="17" t="n">
        <f aca="false">IF(RANK(C267,$C$25:$C$526,0)&lt;=$H$7,1/$H$7,0)</f>
        <v>0</v>
      </c>
      <c r="E267" s="17" t="n">
        <f aca="false">MAX(C267-$H$19,0)</f>
        <v>0</v>
      </c>
    </row>
    <row r="268" customFormat="false" ht="15" hidden="false" customHeight="true" outlineLevel="0" collapsed="false">
      <c r="A268" s="23" t="n">
        <f aca="false">Daily_Returns_Raw_Data!A245</f>
        <v>42723</v>
      </c>
      <c r="B268" s="17" t="n">
        <f aca="false">SUMPRODUCT(Daily_Returns_Raw_Data!B245:X245,$AB$2:$AX$2)</f>
        <v>0.0039016077411301</v>
      </c>
      <c r="C268" s="17" t="n">
        <f aca="false">-B268</f>
        <v>-0.0039016077411301</v>
      </c>
      <c r="D268" s="17" t="n">
        <f aca="false">IF(RANK(C268,$C$25:$C$526,0)&lt;=$H$7,1/$H$7,0)</f>
        <v>0</v>
      </c>
      <c r="E268" s="17" t="n">
        <f aca="false">MAX(C268-$H$19,0)</f>
        <v>0</v>
      </c>
    </row>
    <row r="269" customFormat="false" ht="15" hidden="false" customHeight="true" outlineLevel="0" collapsed="false">
      <c r="A269" s="23" t="n">
        <f aca="false">Daily_Returns_Raw_Data!A246</f>
        <v>42724</v>
      </c>
      <c r="B269" s="17" t="n">
        <f aca="false">SUMPRODUCT(Daily_Returns_Raw_Data!B246:X246,$AB$2:$AX$2)</f>
        <v>-0.00396569411646149</v>
      </c>
      <c r="C269" s="17" t="n">
        <f aca="false">-B269</f>
        <v>0.00396569411646149</v>
      </c>
      <c r="D269" s="17" t="n">
        <f aca="false">IF(RANK(C269,$C$25:$C$526,0)&lt;=$H$7,1/$H$7,0)</f>
        <v>0</v>
      </c>
      <c r="E269" s="17" t="n">
        <f aca="false">MAX(C269-$H$19,0)</f>
        <v>0</v>
      </c>
    </row>
    <row r="270" customFormat="false" ht="15" hidden="false" customHeight="true" outlineLevel="0" collapsed="false">
      <c r="A270" s="23" t="n">
        <f aca="false">Daily_Returns_Raw_Data!A247</f>
        <v>42725</v>
      </c>
      <c r="B270" s="17" t="n">
        <f aca="false">SUMPRODUCT(Daily_Returns_Raw_Data!B247:X247,$AB$2:$AX$2)</f>
        <v>-0.000336135565700883</v>
      </c>
      <c r="C270" s="17" t="n">
        <f aca="false">-B270</f>
        <v>0.000336135565700883</v>
      </c>
      <c r="D270" s="17" t="n">
        <f aca="false">IF(RANK(C270,$C$25:$C$526,0)&lt;=$H$7,1/$H$7,0)</f>
        <v>0</v>
      </c>
      <c r="E270" s="17" t="n">
        <f aca="false">MAX(C270-$H$19,0)</f>
        <v>0</v>
      </c>
    </row>
    <row r="271" customFormat="false" ht="15" hidden="false" customHeight="true" outlineLevel="0" collapsed="false">
      <c r="A271" s="23" t="n">
        <f aca="false">Daily_Returns_Raw_Data!A248</f>
        <v>42726</v>
      </c>
      <c r="B271" s="17" t="n">
        <f aca="false">SUMPRODUCT(Daily_Returns_Raw_Data!B248:X248,$AB$2:$AX$2)</f>
        <v>0.00469908181071867</v>
      </c>
      <c r="C271" s="17" t="n">
        <f aca="false">-B271</f>
        <v>-0.00469908181071867</v>
      </c>
      <c r="D271" s="17" t="n">
        <f aca="false">IF(RANK(C271,$C$25:$C$526,0)&lt;=$H$7,1/$H$7,0)</f>
        <v>0</v>
      </c>
      <c r="E271" s="17" t="n">
        <f aca="false">MAX(C271-$H$19,0)</f>
        <v>0</v>
      </c>
    </row>
    <row r="272" customFormat="false" ht="15" hidden="false" customHeight="true" outlineLevel="0" collapsed="false">
      <c r="A272" s="23" t="n">
        <f aca="false">Daily_Returns_Raw_Data!A249</f>
        <v>42727</v>
      </c>
      <c r="B272" s="17" t="n">
        <f aca="false">SUMPRODUCT(Daily_Returns_Raw_Data!B249:X249,$AB$2:$AX$2)</f>
        <v>0.00469945703925593</v>
      </c>
      <c r="C272" s="17" t="n">
        <f aca="false">-B272</f>
        <v>-0.00469945703925593</v>
      </c>
      <c r="D272" s="17" t="n">
        <f aca="false">IF(RANK(C272,$C$25:$C$526,0)&lt;=$H$7,1/$H$7,0)</f>
        <v>0</v>
      </c>
      <c r="E272" s="17" t="n">
        <f aca="false">MAX(C272-$H$19,0)</f>
        <v>0</v>
      </c>
    </row>
    <row r="273" customFormat="false" ht="15" hidden="false" customHeight="true" outlineLevel="0" collapsed="false">
      <c r="A273" s="23" t="n">
        <f aca="false">Daily_Returns_Raw_Data!A250</f>
        <v>42731</v>
      </c>
      <c r="B273" s="17" t="n">
        <f aca="false">SUMPRODUCT(Daily_Returns_Raw_Data!B250:X250,$AB$2:$AX$2)</f>
        <v>-0.00428917447823002</v>
      </c>
      <c r="C273" s="17" t="n">
        <f aca="false">-B273</f>
        <v>0.00428917447823002</v>
      </c>
      <c r="D273" s="17" t="n">
        <f aca="false">IF(RANK(C273,$C$25:$C$526,0)&lt;=$H$7,1/$H$7,0)</f>
        <v>0</v>
      </c>
      <c r="E273" s="17" t="n">
        <f aca="false">MAX(C273-$H$19,0)</f>
        <v>0</v>
      </c>
    </row>
    <row r="274" customFormat="false" ht="15" hidden="false" customHeight="true" outlineLevel="0" collapsed="false">
      <c r="A274" s="23" t="n">
        <f aca="false">Daily_Returns_Raw_Data!A251</f>
        <v>42732</v>
      </c>
      <c r="B274" s="17" t="n">
        <f aca="false">SUMPRODUCT(Daily_Returns_Raw_Data!B251:X251,$AB$2:$AX$2)</f>
        <v>0.000896642839345281</v>
      </c>
      <c r="C274" s="17" t="n">
        <f aca="false">-B274</f>
        <v>-0.000896642839345281</v>
      </c>
      <c r="D274" s="17" t="n">
        <f aca="false">IF(RANK(C274,$C$25:$C$526,0)&lt;=$H$7,1/$H$7,0)</f>
        <v>0</v>
      </c>
      <c r="E274" s="17" t="n">
        <f aca="false">MAX(C274-$H$19,0)</f>
        <v>0</v>
      </c>
    </row>
    <row r="275" customFormat="false" ht="15" hidden="false" customHeight="true" outlineLevel="0" collapsed="false">
      <c r="A275" s="23" t="n">
        <f aca="false">Daily_Returns_Raw_Data!A252</f>
        <v>42733</v>
      </c>
      <c r="B275" s="17" t="n">
        <f aca="false">SUMPRODUCT(Daily_Returns_Raw_Data!B252:X252,$AB$2:$AX$2)</f>
        <v>-0.00537637646982339</v>
      </c>
      <c r="C275" s="17" t="n">
        <f aca="false">-B275</f>
        <v>0.00537637646982339</v>
      </c>
      <c r="D275" s="17" t="n">
        <f aca="false">IF(RANK(C275,$C$25:$C$526,0)&lt;=$H$7,1/$H$7,0)</f>
        <v>0</v>
      </c>
      <c r="E275" s="17" t="n">
        <f aca="false">MAX(C275-$H$19,0)</f>
        <v>0</v>
      </c>
    </row>
    <row r="276" customFormat="false" ht="15" hidden="false" customHeight="true" outlineLevel="0" collapsed="false">
      <c r="A276" s="23" t="n">
        <f aca="false">Daily_Returns_Raw_Data!A253</f>
        <v>42734</v>
      </c>
      <c r="B276" s="17" t="n">
        <f aca="false">SUMPRODUCT(Daily_Returns_Raw_Data!B253:X253,$AB$2:$AX$2)</f>
        <v>0.0191160545861366</v>
      </c>
      <c r="C276" s="17" t="n">
        <f aca="false">-B276</f>
        <v>-0.0191160545861366</v>
      </c>
      <c r="D276" s="17" t="n">
        <f aca="false">IF(RANK(C276,$C$25:$C$526,0)&lt;=$H$7,1/$H$7,0)</f>
        <v>0</v>
      </c>
      <c r="E276" s="17" t="n">
        <f aca="false">MAX(C276-$H$19,0)</f>
        <v>0</v>
      </c>
    </row>
    <row r="277" customFormat="false" ht="15" hidden="false" customHeight="true" outlineLevel="0" collapsed="false">
      <c r="A277" s="23" t="n">
        <f aca="false">Daily_Returns_Raw_Data!A254</f>
        <v>42738</v>
      </c>
      <c r="B277" s="17" t="n">
        <f aca="false">SUMPRODUCT(Daily_Returns_Raw_Data!B254:X254,$AB$2:$AX$2)</f>
        <v>0.0101260790326848</v>
      </c>
      <c r="C277" s="17" t="n">
        <f aca="false">-B277</f>
        <v>-0.0101260790326848</v>
      </c>
      <c r="D277" s="17" t="n">
        <f aca="false">IF(RANK(C277,$C$25:$C$526,0)&lt;=$H$7,1/$H$7,0)</f>
        <v>0</v>
      </c>
      <c r="E277" s="17" t="n">
        <f aca="false">MAX(C277-$H$19,0)</f>
        <v>0</v>
      </c>
    </row>
    <row r="278" customFormat="false" ht="15" hidden="false" customHeight="true" outlineLevel="0" collapsed="false">
      <c r="A278" s="23" t="n">
        <f aca="false">Daily_Returns_Raw_Data!A255</f>
        <v>42739</v>
      </c>
      <c r="B278" s="17" t="n">
        <f aca="false">SUMPRODUCT(Daily_Returns_Raw_Data!B255:X255,$AB$2:$AX$2)</f>
        <v>0.00475643349725318</v>
      </c>
      <c r="C278" s="17" t="n">
        <f aca="false">-B278</f>
        <v>-0.00475643349725318</v>
      </c>
      <c r="D278" s="17" t="n">
        <f aca="false">IF(RANK(C278,$C$25:$C$526,0)&lt;=$H$7,1/$H$7,0)</f>
        <v>0</v>
      </c>
      <c r="E278" s="17" t="n">
        <f aca="false">MAX(C278-$H$19,0)</f>
        <v>0</v>
      </c>
    </row>
    <row r="279" customFormat="false" ht="15" hidden="false" customHeight="true" outlineLevel="0" collapsed="false">
      <c r="A279" s="23" t="n">
        <f aca="false">Daily_Returns_Raw_Data!A256</f>
        <v>42740</v>
      </c>
      <c r="B279" s="17" t="n">
        <f aca="false">SUMPRODUCT(Daily_Returns_Raw_Data!B256:X256,$AB$2:$AX$2)</f>
        <v>-0.00414770835017383</v>
      </c>
      <c r="C279" s="17" t="n">
        <f aca="false">-B279</f>
        <v>0.00414770835017383</v>
      </c>
      <c r="D279" s="17" t="n">
        <f aca="false">IF(RANK(C279,$C$25:$C$526,0)&lt;=$H$7,1/$H$7,0)</f>
        <v>0</v>
      </c>
      <c r="E279" s="17" t="n">
        <f aca="false">MAX(C279-$H$19,0)</f>
        <v>0</v>
      </c>
    </row>
    <row r="280" customFormat="false" ht="15" hidden="false" customHeight="true" outlineLevel="0" collapsed="false">
      <c r="A280" s="23" t="n">
        <f aca="false">Daily_Returns_Raw_Data!A257</f>
        <v>42741</v>
      </c>
      <c r="B280" s="17" t="n">
        <f aca="false">SUMPRODUCT(Daily_Returns_Raw_Data!B257:X257,$AB$2:$AX$2)</f>
        <v>0.000505975457125362</v>
      </c>
      <c r="C280" s="17" t="n">
        <f aca="false">-B280</f>
        <v>-0.000505975457125362</v>
      </c>
      <c r="D280" s="17" t="n">
        <f aca="false">IF(RANK(C280,$C$25:$C$526,0)&lt;=$H$7,1/$H$7,0)</f>
        <v>0</v>
      </c>
      <c r="E280" s="17" t="n">
        <f aca="false">MAX(C280-$H$19,0)</f>
        <v>0</v>
      </c>
    </row>
    <row r="281" customFormat="false" ht="15" hidden="false" customHeight="true" outlineLevel="0" collapsed="false">
      <c r="A281" s="23" t="n">
        <f aca="false">Daily_Returns_Raw_Data!A258</f>
        <v>42744</v>
      </c>
      <c r="B281" s="17" t="n">
        <f aca="false">SUMPRODUCT(Daily_Returns_Raw_Data!B258:X258,$AB$2:$AX$2)</f>
        <v>0.00579968584297691</v>
      </c>
      <c r="C281" s="17" t="n">
        <f aca="false">-B281</f>
        <v>-0.00579968584297691</v>
      </c>
      <c r="D281" s="17" t="n">
        <f aca="false">IF(RANK(C281,$C$25:$C$526,0)&lt;=$H$7,1/$H$7,0)</f>
        <v>0</v>
      </c>
      <c r="E281" s="17" t="n">
        <f aca="false">MAX(C281-$H$19,0)</f>
        <v>0</v>
      </c>
    </row>
    <row r="282" customFormat="false" ht="15" hidden="false" customHeight="true" outlineLevel="0" collapsed="false">
      <c r="A282" s="23" t="n">
        <f aca="false">Daily_Returns_Raw_Data!A259</f>
        <v>42745</v>
      </c>
      <c r="B282" s="17" t="n">
        <f aca="false">SUMPRODUCT(Daily_Returns_Raw_Data!B259:X259,$AB$2:$AX$2)</f>
        <v>-0.00026622611852456</v>
      </c>
      <c r="C282" s="17" t="n">
        <f aca="false">-B282</f>
        <v>0.00026622611852456</v>
      </c>
      <c r="D282" s="17" t="n">
        <f aca="false">IF(RANK(C282,$C$25:$C$526,0)&lt;=$H$7,1/$H$7,0)</f>
        <v>0</v>
      </c>
      <c r="E282" s="17" t="n">
        <f aca="false">MAX(C282-$H$19,0)</f>
        <v>0</v>
      </c>
    </row>
    <row r="283" customFormat="false" ht="15" hidden="false" customHeight="true" outlineLevel="0" collapsed="false">
      <c r="A283" s="23" t="n">
        <f aca="false">Daily_Returns_Raw_Data!A260</f>
        <v>42746</v>
      </c>
      <c r="B283" s="17" t="n">
        <f aca="false">SUMPRODUCT(Daily_Returns_Raw_Data!B260:X260,$AB$2:$AX$2)</f>
        <v>0.00120073446698394</v>
      </c>
      <c r="C283" s="17" t="n">
        <f aca="false">-B283</f>
        <v>-0.00120073446698394</v>
      </c>
      <c r="D283" s="17" t="n">
        <f aca="false">IF(RANK(C283,$C$25:$C$526,0)&lt;=$H$7,1/$H$7,0)</f>
        <v>0</v>
      </c>
      <c r="E283" s="17" t="n">
        <f aca="false">MAX(C283-$H$19,0)</f>
        <v>0</v>
      </c>
    </row>
    <row r="284" customFormat="false" ht="15" hidden="false" customHeight="true" outlineLevel="0" collapsed="false">
      <c r="A284" s="23" t="n">
        <f aca="false">Daily_Returns_Raw_Data!A261</f>
        <v>42747</v>
      </c>
      <c r="B284" s="17" t="n">
        <f aca="false">SUMPRODUCT(Daily_Returns_Raw_Data!B261:X261,$AB$2:$AX$2)</f>
        <v>0.00264358899036458</v>
      </c>
      <c r="C284" s="17" t="n">
        <f aca="false">-B284</f>
        <v>-0.00264358899036458</v>
      </c>
      <c r="D284" s="17" t="n">
        <f aca="false">IF(RANK(C284,$C$25:$C$526,0)&lt;=$H$7,1/$H$7,0)</f>
        <v>0</v>
      </c>
      <c r="E284" s="17" t="n">
        <f aca="false">MAX(C284-$H$19,0)</f>
        <v>0</v>
      </c>
    </row>
    <row r="285" customFormat="false" ht="15" hidden="false" customHeight="true" outlineLevel="0" collapsed="false">
      <c r="A285" s="23" t="n">
        <f aca="false">Daily_Returns_Raw_Data!A262</f>
        <v>42748</v>
      </c>
      <c r="B285" s="17" t="n">
        <f aca="false">SUMPRODUCT(Daily_Returns_Raw_Data!B262:X262,$AB$2:$AX$2)</f>
        <v>0.00154037712362686</v>
      </c>
      <c r="C285" s="17" t="n">
        <f aca="false">-B285</f>
        <v>-0.00154037712362686</v>
      </c>
      <c r="D285" s="17" t="n">
        <f aca="false">IF(RANK(C285,$C$25:$C$526,0)&lt;=$H$7,1/$H$7,0)</f>
        <v>0</v>
      </c>
      <c r="E285" s="17" t="n">
        <f aca="false">MAX(C285-$H$19,0)</f>
        <v>0</v>
      </c>
    </row>
    <row r="286" customFormat="false" ht="15" hidden="false" customHeight="true" outlineLevel="0" collapsed="false">
      <c r="A286" s="23" t="n">
        <f aca="false">Daily_Returns_Raw_Data!A263</f>
        <v>42752</v>
      </c>
      <c r="B286" s="17" t="n">
        <f aca="false">SUMPRODUCT(Daily_Returns_Raw_Data!B263:X263,$AB$2:$AX$2)</f>
        <v>0.000905281134107147</v>
      </c>
      <c r="C286" s="17" t="n">
        <f aca="false">-B286</f>
        <v>-0.000905281134107147</v>
      </c>
      <c r="D286" s="17" t="n">
        <f aca="false">IF(RANK(C286,$C$25:$C$526,0)&lt;=$H$7,1/$H$7,0)</f>
        <v>0</v>
      </c>
      <c r="E286" s="17" t="n">
        <f aca="false">MAX(C286-$H$19,0)</f>
        <v>0</v>
      </c>
    </row>
    <row r="287" customFormat="false" ht="15" hidden="false" customHeight="true" outlineLevel="0" collapsed="false">
      <c r="A287" s="23" t="n">
        <f aca="false">Daily_Returns_Raw_Data!A264</f>
        <v>42753</v>
      </c>
      <c r="B287" s="17" t="n">
        <f aca="false">SUMPRODUCT(Daily_Returns_Raw_Data!B264:X264,$AB$2:$AX$2)</f>
        <v>-0.00343954042573193</v>
      </c>
      <c r="C287" s="17" t="n">
        <f aca="false">-B287</f>
        <v>0.00343954042573193</v>
      </c>
      <c r="D287" s="17" t="n">
        <f aca="false">IF(RANK(C287,$C$25:$C$526,0)&lt;=$H$7,1/$H$7,0)</f>
        <v>0</v>
      </c>
      <c r="E287" s="17" t="n">
        <f aca="false">MAX(C287-$H$19,0)</f>
        <v>0</v>
      </c>
    </row>
    <row r="288" customFormat="false" ht="15" hidden="false" customHeight="true" outlineLevel="0" collapsed="false">
      <c r="A288" s="23" t="n">
        <f aca="false">Daily_Returns_Raw_Data!A265</f>
        <v>42754</v>
      </c>
      <c r="B288" s="17" t="n">
        <f aca="false">SUMPRODUCT(Daily_Returns_Raw_Data!B265:X265,$AB$2:$AX$2)</f>
        <v>-0.000714290413877704</v>
      </c>
      <c r="C288" s="17" t="n">
        <f aca="false">-B288</f>
        <v>0.000714290413877704</v>
      </c>
      <c r="D288" s="17" t="n">
        <f aca="false">IF(RANK(C288,$C$25:$C$526,0)&lt;=$H$7,1/$H$7,0)</f>
        <v>0</v>
      </c>
      <c r="E288" s="17" t="n">
        <f aca="false">MAX(C288-$H$19,0)</f>
        <v>0</v>
      </c>
    </row>
    <row r="289" customFormat="false" ht="15" hidden="false" customHeight="true" outlineLevel="0" collapsed="false">
      <c r="A289" s="23" t="n">
        <f aca="false">Daily_Returns_Raw_Data!A266</f>
        <v>42755</v>
      </c>
      <c r="B289" s="17" t="n">
        <f aca="false">SUMPRODUCT(Daily_Returns_Raw_Data!B266:X266,$AB$2:$AX$2)</f>
        <v>0.00454020561709457</v>
      </c>
      <c r="C289" s="17" t="n">
        <f aca="false">-B289</f>
        <v>-0.00454020561709457</v>
      </c>
      <c r="D289" s="17" t="n">
        <f aca="false">IF(RANK(C289,$C$25:$C$526,0)&lt;=$H$7,1/$H$7,0)</f>
        <v>0</v>
      </c>
      <c r="E289" s="17" t="n">
        <f aca="false">MAX(C289-$H$19,0)</f>
        <v>0</v>
      </c>
    </row>
    <row r="290" customFormat="false" ht="15" hidden="false" customHeight="true" outlineLevel="0" collapsed="false">
      <c r="A290" s="23" t="n">
        <f aca="false">Daily_Returns_Raw_Data!A267</f>
        <v>42758</v>
      </c>
      <c r="B290" s="17" t="n">
        <f aca="false">SUMPRODUCT(Daily_Returns_Raw_Data!B267:X267,$AB$2:$AX$2)</f>
        <v>0.00536040784289176</v>
      </c>
      <c r="C290" s="17" t="n">
        <f aca="false">-B290</f>
        <v>-0.00536040784289176</v>
      </c>
      <c r="D290" s="17" t="n">
        <f aca="false">IF(RANK(C290,$C$25:$C$526,0)&lt;=$H$7,1/$H$7,0)</f>
        <v>0</v>
      </c>
      <c r="E290" s="17" t="n">
        <f aca="false">MAX(C290-$H$19,0)</f>
        <v>0</v>
      </c>
    </row>
    <row r="291" customFormat="false" ht="15" hidden="false" customHeight="true" outlineLevel="0" collapsed="false">
      <c r="A291" s="23" t="n">
        <f aca="false">Daily_Returns_Raw_Data!A268</f>
        <v>42759</v>
      </c>
      <c r="B291" s="17" t="n">
        <f aca="false">SUMPRODUCT(Daily_Returns_Raw_Data!B268:X268,$AB$2:$AX$2)</f>
        <v>0.0084250488728363</v>
      </c>
      <c r="C291" s="17" t="n">
        <f aca="false">-B291</f>
        <v>-0.0084250488728363</v>
      </c>
      <c r="D291" s="17" t="n">
        <f aca="false">IF(RANK(C291,$C$25:$C$526,0)&lt;=$H$7,1/$H$7,0)</f>
        <v>0</v>
      </c>
      <c r="E291" s="17" t="n">
        <f aca="false">MAX(C291-$H$19,0)</f>
        <v>0</v>
      </c>
    </row>
    <row r="292" customFormat="false" ht="15" hidden="false" customHeight="true" outlineLevel="0" collapsed="false">
      <c r="A292" s="23" t="n">
        <f aca="false">Daily_Returns_Raw_Data!A269</f>
        <v>42760</v>
      </c>
      <c r="B292" s="17" t="n">
        <f aca="false">SUMPRODUCT(Daily_Returns_Raw_Data!B269:X269,$AB$2:$AX$2)</f>
        <v>-0.0060009825850097</v>
      </c>
      <c r="C292" s="17" t="n">
        <f aca="false">-B292</f>
        <v>0.0060009825850097</v>
      </c>
      <c r="D292" s="17" t="n">
        <f aca="false">IF(RANK(C292,$C$25:$C$526,0)&lt;=$H$7,1/$H$7,0)</f>
        <v>0</v>
      </c>
      <c r="E292" s="17" t="n">
        <f aca="false">MAX(C292-$H$19,0)</f>
        <v>0</v>
      </c>
    </row>
    <row r="293" customFormat="false" ht="15" hidden="false" customHeight="true" outlineLevel="0" collapsed="false">
      <c r="A293" s="23" t="n">
        <f aca="false">Daily_Returns_Raw_Data!A270</f>
        <v>42761</v>
      </c>
      <c r="B293" s="17" t="n">
        <f aca="false">SUMPRODUCT(Daily_Returns_Raw_Data!B270:X270,$AB$2:$AX$2)</f>
        <v>-0.0021638634657391</v>
      </c>
      <c r="C293" s="17" t="n">
        <f aca="false">-B293</f>
        <v>0.0021638634657391</v>
      </c>
      <c r="D293" s="17" t="n">
        <f aca="false">IF(RANK(C293,$C$25:$C$526,0)&lt;=$H$7,1/$H$7,0)</f>
        <v>0</v>
      </c>
      <c r="E293" s="17" t="n">
        <f aca="false">MAX(C293-$H$19,0)</f>
        <v>0</v>
      </c>
    </row>
    <row r="294" customFormat="false" ht="15" hidden="false" customHeight="true" outlineLevel="0" collapsed="false">
      <c r="A294" s="23" t="n">
        <f aca="false">Daily_Returns_Raw_Data!A271</f>
        <v>42762</v>
      </c>
      <c r="B294" s="17" t="n">
        <f aca="false">SUMPRODUCT(Daily_Returns_Raw_Data!B271:X271,$AB$2:$AX$2)</f>
        <v>-0.00750624980606421</v>
      </c>
      <c r="C294" s="17" t="n">
        <f aca="false">-B294</f>
        <v>0.00750624980606421</v>
      </c>
      <c r="D294" s="17" t="n">
        <f aca="false">IF(RANK(C294,$C$25:$C$526,0)&lt;=$H$7,1/$H$7,0)</f>
        <v>0</v>
      </c>
      <c r="E294" s="17" t="n">
        <f aca="false">MAX(C294-$H$19,0)</f>
        <v>0</v>
      </c>
    </row>
    <row r="295" customFormat="false" ht="15" hidden="false" customHeight="true" outlineLevel="0" collapsed="false">
      <c r="A295" s="23" t="n">
        <f aca="false">Daily_Returns_Raw_Data!A272</f>
        <v>42765</v>
      </c>
      <c r="B295" s="17" t="n">
        <f aca="false">SUMPRODUCT(Daily_Returns_Raw_Data!B272:X272,$AB$2:$AX$2)</f>
        <v>0.00172891378700505</v>
      </c>
      <c r="C295" s="17" t="n">
        <f aca="false">-B295</f>
        <v>-0.00172891378700505</v>
      </c>
      <c r="D295" s="17" t="n">
        <f aca="false">IF(RANK(C295,$C$25:$C$526,0)&lt;=$H$7,1/$H$7,0)</f>
        <v>0</v>
      </c>
      <c r="E295" s="17" t="n">
        <f aca="false">MAX(C295-$H$19,0)</f>
        <v>0</v>
      </c>
    </row>
    <row r="296" customFormat="false" ht="15" hidden="false" customHeight="true" outlineLevel="0" collapsed="false">
      <c r="A296" s="23" t="n">
        <f aca="false">Daily_Returns_Raw_Data!A273</f>
        <v>42766</v>
      </c>
      <c r="B296" s="17" t="n">
        <f aca="false">SUMPRODUCT(Daily_Returns_Raw_Data!B273:X273,$AB$2:$AX$2)</f>
        <v>0.0022480862110652</v>
      </c>
      <c r="C296" s="17" t="n">
        <f aca="false">-B296</f>
        <v>-0.0022480862110652</v>
      </c>
      <c r="D296" s="17" t="n">
        <f aca="false">IF(RANK(C296,$C$25:$C$526,0)&lt;=$H$7,1/$H$7,0)</f>
        <v>0</v>
      </c>
      <c r="E296" s="17" t="n">
        <f aca="false">MAX(C296-$H$19,0)</f>
        <v>0</v>
      </c>
    </row>
    <row r="297" customFormat="false" ht="15" hidden="false" customHeight="true" outlineLevel="0" collapsed="false">
      <c r="A297" s="23" t="n">
        <f aca="false">Daily_Returns_Raw_Data!A274</f>
        <v>42767</v>
      </c>
      <c r="B297" s="17" t="n">
        <f aca="false">SUMPRODUCT(Daily_Returns_Raw_Data!B274:X274,$AB$2:$AX$2)</f>
        <v>-0.000662863121756563</v>
      </c>
      <c r="C297" s="17" t="n">
        <f aca="false">-B297</f>
        <v>0.000662863121756563</v>
      </c>
      <c r="D297" s="17" t="n">
        <f aca="false">IF(RANK(C297,$C$25:$C$526,0)&lt;=$H$7,1/$H$7,0)</f>
        <v>0</v>
      </c>
      <c r="E297" s="17" t="n">
        <f aca="false">MAX(C297-$H$19,0)</f>
        <v>0</v>
      </c>
    </row>
    <row r="298" customFormat="false" ht="15" hidden="false" customHeight="true" outlineLevel="0" collapsed="false">
      <c r="A298" s="23" t="n">
        <f aca="false">Daily_Returns_Raw_Data!A275</f>
        <v>42768</v>
      </c>
      <c r="B298" s="17" t="n">
        <f aca="false">SUMPRODUCT(Daily_Returns_Raw_Data!B275:X275,$AB$2:$AX$2)</f>
        <v>0.00432253294531623</v>
      </c>
      <c r="C298" s="17" t="n">
        <f aca="false">-B298</f>
        <v>-0.00432253294531623</v>
      </c>
      <c r="D298" s="17" t="n">
        <f aca="false">IF(RANK(C298,$C$25:$C$526,0)&lt;=$H$7,1/$H$7,0)</f>
        <v>0</v>
      </c>
      <c r="E298" s="17" t="n">
        <f aca="false">MAX(C298-$H$19,0)</f>
        <v>0</v>
      </c>
    </row>
    <row r="299" customFormat="false" ht="15" hidden="false" customHeight="true" outlineLevel="0" collapsed="false">
      <c r="A299" s="23" t="n">
        <f aca="false">Daily_Returns_Raw_Data!A276</f>
        <v>42769</v>
      </c>
      <c r="B299" s="17" t="n">
        <f aca="false">SUMPRODUCT(Daily_Returns_Raw_Data!B276:X276,$AB$2:$AX$2)</f>
        <v>-0.00199147427317108</v>
      </c>
      <c r="C299" s="17" t="n">
        <f aca="false">-B299</f>
        <v>0.00199147427317108</v>
      </c>
      <c r="D299" s="17" t="n">
        <f aca="false">IF(RANK(C299,$C$25:$C$526,0)&lt;=$H$7,1/$H$7,0)</f>
        <v>0</v>
      </c>
      <c r="E299" s="17" t="n">
        <f aca="false">MAX(C299-$H$19,0)</f>
        <v>0</v>
      </c>
    </row>
    <row r="300" customFormat="false" ht="15" hidden="false" customHeight="true" outlineLevel="0" collapsed="false">
      <c r="A300" s="23" t="n">
        <f aca="false">Daily_Returns_Raw_Data!A277</f>
        <v>42772</v>
      </c>
      <c r="B300" s="17" t="n">
        <f aca="false">SUMPRODUCT(Daily_Returns_Raw_Data!B277:X277,$AB$2:$AX$2)</f>
        <v>-0.00112097409690387</v>
      </c>
      <c r="C300" s="17" t="n">
        <f aca="false">-B300</f>
        <v>0.00112097409690387</v>
      </c>
      <c r="D300" s="17" t="n">
        <f aca="false">IF(RANK(C300,$C$25:$C$526,0)&lt;=$H$7,1/$H$7,0)</f>
        <v>0</v>
      </c>
      <c r="E300" s="17" t="n">
        <f aca="false">MAX(C300-$H$19,0)</f>
        <v>0</v>
      </c>
    </row>
    <row r="301" customFormat="false" ht="15" hidden="false" customHeight="true" outlineLevel="0" collapsed="false">
      <c r="A301" s="23" t="n">
        <f aca="false">Daily_Returns_Raw_Data!A278</f>
        <v>42773</v>
      </c>
      <c r="B301" s="17" t="n">
        <f aca="false">SUMPRODUCT(Daily_Returns_Raw_Data!B278:X278,$AB$2:$AX$2)</f>
        <v>0.00174780886253743</v>
      </c>
      <c r="C301" s="17" t="n">
        <f aca="false">-B301</f>
        <v>-0.00174780886253743</v>
      </c>
      <c r="D301" s="17" t="n">
        <f aca="false">IF(RANK(C301,$C$25:$C$526,0)&lt;=$H$7,1/$H$7,0)</f>
        <v>0</v>
      </c>
      <c r="E301" s="17" t="n">
        <f aca="false">MAX(C301-$H$19,0)</f>
        <v>0</v>
      </c>
    </row>
    <row r="302" customFormat="false" ht="15" hidden="false" customHeight="true" outlineLevel="0" collapsed="false">
      <c r="A302" s="23" t="n">
        <f aca="false">Daily_Returns_Raw_Data!A279</f>
        <v>42774</v>
      </c>
      <c r="B302" s="17" t="n">
        <f aca="false">SUMPRODUCT(Daily_Returns_Raw_Data!B279:X279,$AB$2:$AX$2)</f>
        <v>0.00752627710716059</v>
      </c>
      <c r="C302" s="17" t="n">
        <f aca="false">-B302</f>
        <v>-0.00752627710716059</v>
      </c>
      <c r="D302" s="17" t="n">
        <f aca="false">IF(RANK(C302,$C$25:$C$526,0)&lt;=$H$7,1/$H$7,0)</f>
        <v>0</v>
      </c>
      <c r="E302" s="17" t="n">
        <f aca="false">MAX(C302-$H$19,0)</f>
        <v>0</v>
      </c>
    </row>
    <row r="303" customFormat="false" ht="15" hidden="false" customHeight="true" outlineLevel="0" collapsed="false">
      <c r="A303" s="23" t="n">
        <f aca="false">Daily_Returns_Raw_Data!A280</f>
        <v>42775</v>
      </c>
      <c r="B303" s="17" t="n">
        <f aca="false">SUMPRODUCT(Daily_Returns_Raw_Data!B280:X280,$AB$2:$AX$2)</f>
        <v>0.00671802322110644</v>
      </c>
      <c r="C303" s="17" t="n">
        <f aca="false">-B303</f>
        <v>-0.00671802322110644</v>
      </c>
      <c r="D303" s="17" t="n">
        <f aca="false">IF(RANK(C303,$C$25:$C$526,0)&lt;=$H$7,1/$H$7,0)</f>
        <v>0</v>
      </c>
      <c r="E303" s="17" t="n">
        <f aca="false">MAX(C303-$H$19,0)</f>
        <v>0</v>
      </c>
    </row>
    <row r="304" customFormat="false" ht="15" hidden="false" customHeight="true" outlineLevel="0" collapsed="false">
      <c r="A304" s="23" t="n">
        <f aca="false">Daily_Returns_Raw_Data!A281</f>
        <v>42776</v>
      </c>
      <c r="B304" s="17" t="n">
        <f aca="false">SUMPRODUCT(Daily_Returns_Raw_Data!B281:X281,$AB$2:$AX$2)</f>
        <v>0.00604855540656833</v>
      </c>
      <c r="C304" s="17" t="n">
        <f aca="false">-B304</f>
        <v>-0.00604855540656833</v>
      </c>
      <c r="D304" s="17" t="n">
        <f aca="false">IF(RANK(C304,$C$25:$C$526,0)&lt;=$H$7,1/$H$7,0)</f>
        <v>0</v>
      </c>
      <c r="E304" s="17" t="n">
        <f aca="false">MAX(C304-$H$19,0)</f>
        <v>0</v>
      </c>
    </row>
    <row r="305" customFormat="false" ht="15" hidden="false" customHeight="true" outlineLevel="0" collapsed="false">
      <c r="A305" s="23" t="n">
        <f aca="false">Daily_Returns_Raw_Data!A282</f>
        <v>42779</v>
      </c>
      <c r="B305" s="17" t="n">
        <f aca="false">SUMPRODUCT(Daily_Returns_Raw_Data!B282:X282,$AB$2:$AX$2)</f>
        <v>0.00622855466581921</v>
      </c>
      <c r="C305" s="17" t="n">
        <f aca="false">-B305</f>
        <v>-0.00622855466581921</v>
      </c>
      <c r="D305" s="17" t="n">
        <f aca="false">IF(RANK(C305,$C$25:$C$526,0)&lt;=$H$7,1/$H$7,0)</f>
        <v>0</v>
      </c>
      <c r="E305" s="17" t="n">
        <f aca="false">MAX(C305-$H$19,0)</f>
        <v>0</v>
      </c>
    </row>
    <row r="306" customFormat="false" ht="15" hidden="false" customHeight="true" outlineLevel="0" collapsed="false">
      <c r="A306" s="23" t="n">
        <f aca="false">Daily_Returns_Raw_Data!A283</f>
        <v>42780</v>
      </c>
      <c r="B306" s="17" t="n">
        <f aca="false">SUMPRODUCT(Daily_Returns_Raw_Data!B283:X283,$AB$2:$AX$2)</f>
        <v>0.0121930590998111</v>
      </c>
      <c r="C306" s="17" t="n">
        <f aca="false">-B306</f>
        <v>-0.0121930590998111</v>
      </c>
      <c r="D306" s="17" t="n">
        <f aca="false">IF(RANK(C306,$C$25:$C$526,0)&lt;=$H$7,1/$H$7,0)</f>
        <v>0</v>
      </c>
      <c r="E306" s="17" t="n">
        <f aca="false">MAX(C306-$H$19,0)</f>
        <v>0</v>
      </c>
    </row>
    <row r="307" customFormat="false" ht="15" hidden="false" customHeight="true" outlineLevel="0" collapsed="false">
      <c r="A307" s="23" t="n">
        <f aca="false">Daily_Returns_Raw_Data!A284</f>
        <v>42781</v>
      </c>
      <c r="B307" s="17" t="n">
        <f aca="false">SUMPRODUCT(Daily_Returns_Raw_Data!B284:X284,$AB$2:$AX$2)</f>
        <v>0.000391567588056442</v>
      </c>
      <c r="C307" s="17" t="n">
        <f aca="false">-B307</f>
        <v>-0.000391567588056442</v>
      </c>
      <c r="D307" s="17" t="n">
        <f aca="false">IF(RANK(C307,$C$25:$C$526,0)&lt;=$H$7,1/$H$7,0)</f>
        <v>0</v>
      </c>
      <c r="E307" s="17" t="n">
        <f aca="false">MAX(C307-$H$19,0)</f>
        <v>0</v>
      </c>
    </row>
    <row r="308" customFormat="false" ht="15" hidden="false" customHeight="true" outlineLevel="0" collapsed="false">
      <c r="A308" s="23" t="n">
        <f aca="false">Daily_Returns_Raw_Data!A285</f>
        <v>42782</v>
      </c>
      <c r="B308" s="17" t="n">
        <f aca="false">SUMPRODUCT(Daily_Returns_Raw_Data!B285:X285,$AB$2:$AX$2)</f>
        <v>0.000253240663204457</v>
      </c>
      <c r="C308" s="17" t="n">
        <f aca="false">-B308</f>
        <v>-0.000253240663204457</v>
      </c>
      <c r="D308" s="17" t="n">
        <f aca="false">IF(RANK(C308,$C$25:$C$526,0)&lt;=$H$7,1/$H$7,0)</f>
        <v>0</v>
      </c>
      <c r="E308" s="17" t="n">
        <f aca="false">MAX(C308-$H$19,0)</f>
        <v>0</v>
      </c>
    </row>
    <row r="309" customFormat="false" ht="15" hidden="false" customHeight="true" outlineLevel="0" collapsed="false">
      <c r="A309" s="23" t="n">
        <f aca="false">Daily_Returns_Raw_Data!A286</f>
        <v>42783</v>
      </c>
      <c r="B309" s="17" t="n">
        <f aca="false">SUMPRODUCT(Daily_Returns_Raw_Data!B286:X286,$AB$2:$AX$2)</f>
        <v>0.00901089479269148</v>
      </c>
      <c r="C309" s="17" t="n">
        <f aca="false">-B309</f>
        <v>-0.00901089479269148</v>
      </c>
      <c r="D309" s="17" t="n">
        <f aca="false">IF(RANK(C309,$C$25:$C$526,0)&lt;=$H$7,1/$H$7,0)</f>
        <v>0</v>
      </c>
      <c r="E309" s="17" t="n">
        <f aca="false">MAX(C309-$H$19,0)</f>
        <v>0</v>
      </c>
    </row>
    <row r="310" customFormat="false" ht="15" hidden="false" customHeight="true" outlineLevel="0" collapsed="false">
      <c r="A310" s="23" t="n">
        <f aca="false">Daily_Returns_Raw_Data!A287</f>
        <v>42787</v>
      </c>
      <c r="B310" s="17" t="n">
        <f aca="false">SUMPRODUCT(Daily_Returns_Raw_Data!B287:X287,$AB$2:$AX$2)</f>
        <v>-0.00171354619060342</v>
      </c>
      <c r="C310" s="17" t="n">
        <f aca="false">-B310</f>
        <v>0.00171354619060342</v>
      </c>
      <c r="D310" s="17" t="n">
        <f aca="false">IF(RANK(C310,$C$25:$C$526,0)&lt;=$H$7,1/$H$7,0)</f>
        <v>0</v>
      </c>
      <c r="E310" s="17" t="n">
        <f aca="false">MAX(C310-$H$19,0)</f>
        <v>0</v>
      </c>
    </row>
    <row r="311" customFormat="false" ht="15" hidden="false" customHeight="true" outlineLevel="0" collapsed="false">
      <c r="A311" s="23" t="n">
        <f aca="false">Daily_Returns_Raw_Data!A288</f>
        <v>42788</v>
      </c>
      <c r="B311" s="17" t="n">
        <f aca="false">SUMPRODUCT(Daily_Returns_Raw_Data!B288:X288,$AB$2:$AX$2)</f>
        <v>-0.00468527803190104</v>
      </c>
      <c r="C311" s="17" t="n">
        <f aca="false">-B311</f>
        <v>0.00468527803190104</v>
      </c>
      <c r="D311" s="17" t="n">
        <f aca="false">IF(RANK(C311,$C$25:$C$526,0)&lt;=$H$7,1/$H$7,0)</f>
        <v>0</v>
      </c>
      <c r="E311" s="17" t="n">
        <f aca="false">MAX(C311-$H$19,0)</f>
        <v>0</v>
      </c>
    </row>
    <row r="312" customFormat="false" ht="15" hidden="false" customHeight="true" outlineLevel="0" collapsed="false">
      <c r="A312" s="23" t="n">
        <f aca="false">Daily_Returns_Raw_Data!A289</f>
        <v>42789</v>
      </c>
      <c r="B312" s="17" t="n">
        <f aca="false">SUMPRODUCT(Daily_Returns_Raw_Data!B289:X289,$AB$2:$AX$2)</f>
        <v>-0.0046128194908141</v>
      </c>
      <c r="C312" s="17" t="n">
        <f aca="false">-B312</f>
        <v>0.0046128194908141</v>
      </c>
      <c r="D312" s="17" t="n">
        <f aca="false">IF(RANK(C312,$C$25:$C$526,0)&lt;=$H$7,1/$H$7,0)</f>
        <v>0</v>
      </c>
      <c r="E312" s="17" t="n">
        <f aca="false">MAX(C312-$H$19,0)</f>
        <v>0</v>
      </c>
    </row>
    <row r="313" customFormat="false" ht="15" hidden="false" customHeight="true" outlineLevel="0" collapsed="false">
      <c r="A313" s="23" t="n">
        <f aca="false">Daily_Returns_Raw_Data!A290</f>
        <v>42790</v>
      </c>
      <c r="B313" s="17" t="n">
        <f aca="false">SUMPRODUCT(Daily_Returns_Raw_Data!B290:X290,$AB$2:$AX$2)</f>
        <v>-0.000693115865551345</v>
      </c>
      <c r="C313" s="17" t="n">
        <f aca="false">-B313</f>
        <v>0.000693115865551345</v>
      </c>
      <c r="D313" s="17" t="n">
        <f aca="false">IF(RANK(C313,$C$25:$C$526,0)&lt;=$H$7,1/$H$7,0)</f>
        <v>0</v>
      </c>
      <c r="E313" s="17" t="n">
        <f aca="false">MAX(C313-$H$19,0)</f>
        <v>0</v>
      </c>
    </row>
    <row r="314" customFormat="false" ht="15" hidden="false" customHeight="true" outlineLevel="0" collapsed="false">
      <c r="A314" s="23" t="n">
        <f aca="false">Daily_Returns_Raw_Data!A291</f>
        <v>42793</v>
      </c>
      <c r="B314" s="17" t="n">
        <f aca="false">SUMPRODUCT(Daily_Returns_Raw_Data!B291:X291,$AB$2:$AX$2)</f>
        <v>-0.008692815263625</v>
      </c>
      <c r="C314" s="17" t="n">
        <f aca="false">-B314</f>
        <v>0.008692815263625</v>
      </c>
      <c r="D314" s="17" t="n">
        <f aca="false">IF(RANK(C314,$C$25:$C$526,0)&lt;=$H$7,1/$H$7,0)</f>
        <v>0</v>
      </c>
      <c r="E314" s="17" t="n">
        <f aca="false">MAX(C314-$H$19,0)</f>
        <v>0</v>
      </c>
    </row>
    <row r="315" customFormat="false" ht="15" hidden="false" customHeight="true" outlineLevel="0" collapsed="false">
      <c r="A315" s="23" t="n">
        <f aca="false">Daily_Returns_Raw_Data!A292</f>
        <v>42794</v>
      </c>
      <c r="B315" s="17" t="n">
        <f aca="false">SUMPRODUCT(Daily_Returns_Raw_Data!B292:X292,$AB$2:$AX$2)</f>
        <v>0.0133269224706036</v>
      </c>
      <c r="C315" s="17" t="n">
        <f aca="false">-B315</f>
        <v>-0.0133269224706036</v>
      </c>
      <c r="D315" s="17" t="n">
        <f aca="false">IF(RANK(C315,$C$25:$C$526,0)&lt;=$H$7,1/$H$7,0)</f>
        <v>0</v>
      </c>
      <c r="E315" s="17" t="n">
        <f aca="false">MAX(C315-$H$19,0)</f>
        <v>0</v>
      </c>
    </row>
    <row r="316" customFormat="false" ht="15" hidden="false" customHeight="true" outlineLevel="0" collapsed="false">
      <c r="A316" s="23" t="n">
        <f aca="false">Daily_Returns_Raw_Data!A293</f>
        <v>42795</v>
      </c>
      <c r="B316" s="17" t="n">
        <f aca="false">SUMPRODUCT(Daily_Returns_Raw_Data!B293:X293,$AB$2:$AX$2)</f>
        <v>-0.016819579166304</v>
      </c>
      <c r="C316" s="17" t="n">
        <f aca="false">-B316</f>
        <v>0.016819579166304</v>
      </c>
      <c r="D316" s="17" t="n">
        <f aca="false">IF(RANK(C316,$C$25:$C$526,0)&lt;=$H$7,1/$H$7,0)</f>
        <v>0.0196078431372549</v>
      </c>
      <c r="E316" s="17" t="n">
        <f aca="false">MAX(C316-$H$19,0)</f>
        <v>0.00787312588962267</v>
      </c>
    </row>
    <row r="317" customFormat="false" ht="15" hidden="false" customHeight="true" outlineLevel="0" collapsed="false">
      <c r="A317" s="23" t="n">
        <f aca="false">Daily_Returns_Raw_Data!A294</f>
        <v>42796</v>
      </c>
      <c r="B317" s="17" t="n">
        <f aca="false">SUMPRODUCT(Daily_Returns_Raw_Data!B294:X294,$AB$2:$AX$2)</f>
        <v>0.00401994490201994</v>
      </c>
      <c r="C317" s="17" t="n">
        <f aca="false">-B317</f>
        <v>-0.00401994490201994</v>
      </c>
      <c r="D317" s="17" t="n">
        <f aca="false">IF(RANK(C317,$C$25:$C$526,0)&lt;=$H$7,1/$H$7,0)</f>
        <v>0</v>
      </c>
      <c r="E317" s="17" t="n">
        <f aca="false">MAX(C317-$H$19,0)</f>
        <v>0</v>
      </c>
    </row>
    <row r="318" customFormat="false" ht="15" hidden="false" customHeight="true" outlineLevel="0" collapsed="false">
      <c r="A318" s="23" t="n">
        <f aca="false">Daily_Returns_Raw_Data!A295</f>
        <v>42797</v>
      </c>
      <c r="B318" s="17" t="n">
        <f aca="false">SUMPRODUCT(Daily_Returns_Raw_Data!B295:X295,$AB$2:$AX$2)</f>
        <v>-0.00610037328455397</v>
      </c>
      <c r="C318" s="17" t="n">
        <f aca="false">-B318</f>
        <v>0.00610037328455397</v>
      </c>
      <c r="D318" s="17" t="n">
        <f aca="false">IF(RANK(C318,$C$25:$C$526,0)&lt;=$H$7,1/$H$7,0)</f>
        <v>0</v>
      </c>
      <c r="E318" s="17" t="n">
        <f aca="false">MAX(C318-$H$19,0)</f>
        <v>0</v>
      </c>
    </row>
    <row r="319" customFormat="false" ht="15" hidden="false" customHeight="true" outlineLevel="0" collapsed="false">
      <c r="A319" s="23" t="n">
        <f aca="false">Daily_Returns_Raw_Data!A296</f>
        <v>42800</v>
      </c>
      <c r="B319" s="17" t="n">
        <f aca="false">SUMPRODUCT(Daily_Returns_Raw_Data!B296:X296,$AB$2:$AX$2)</f>
        <v>-0.010024500287837</v>
      </c>
      <c r="C319" s="17" t="n">
        <f aca="false">-B319</f>
        <v>0.010024500287837</v>
      </c>
      <c r="D319" s="17" t="n">
        <f aca="false">IF(RANK(C319,$C$25:$C$526,0)&lt;=$H$7,1/$H$7,0)</f>
        <v>0.0196078431372549</v>
      </c>
      <c r="E319" s="17" t="n">
        <f aca="false">MAX(C319-$H$19,0)</f>
        <v>0.00107804701115567</v>
      </c>
    </row>
    <row r="320" customFormat="false" ht="15" hidden="false" customHeight="true" outlineLevel="0" collapsed="false">
      <c r="A320" s="23" t="n">
        <f aca="false">Daily_Returns_Raw_Data!A297</f>
        <v>42801</v>
      </c>
      <c r="B320" s="17" t="n">
        <f aca="false">SUMPRODUCT(Daily_Returns_Raw_Data!B297:X297,$AB$2:$AX$2)</f>
        <v>-0.00805895304333403</v>
      </c>
      <c r="C320" s="17" t="n">
        <f aca="false">-B320</f>
        <v>0.00805895304333403</v>
      </c>
      <c r="D320" s="17" t="n">
        <f aca="false">IF(RANK(C320,$C$25:$C$526,0)&lt;=$H$7,1/$H$7,0)</f>
        <v>0</v>
      </c>
      <c r="E320" s="17" t="n">
        <f aca="false">MAX(C320-$H$19,0)</f>
        <v>0</v>
      </c>
    </row>
    <row r="321" customFormat="false" ht="15" hidden="false" customHeight="true" outlineLevel="0" collapsed="false">
      <c r="A321" s="23" t="n">
        <f aca="false">Daily_Returns_Raw_Data!A298</f>
        <v>42802</v>
      </c>
      <c r="B321" s="17" t="n">
        <f aca="false">SUMPRODUCT(Daily_Returns_Raw_Data!B298:X298,$AB$2:$AX$2)</f>
        <v>0.0033128983574707</v>
      </c>
      <c r="C321" s="17" t="n">
        <f aca="false">-B321</f>
        <v>-0.0033128983574707</v>
      </c>
      <c r="D321" s="17" t="n">
        <f aca="false">IF(RANK(C321,$C$25:$C$526,0)&lt;=$H$7,1/$H$7,0)</f>
        <v>0</v>
      </c>
      <c r="E321" s="17" t="n">
        <f aca="false">MAX(C321-$H$19,0)</f>
        <v>0</v>
      </c>
    </row>
    <row r="322" customFormat="false" ht="15" hidden="false" customHeight="true" outlineLevel="0" collapsed="false">
      <c r="A322" s="23" t="n">
        <f aca="false">Daily_Returns_Raw_Data!A299</f>
        <v>42803</v>
      </c>
      <c r="B322" s="17" t="n">
        <f aca="false">SUMPRODUCT(Daily_Returns_Raw_Data!B299:X299,$AB$2:$AX$2)</f>
        <v>0.00635022491370418</v>
      </c>
      <c r="C322" s="17" t="n">
        <f aca="false">-B322</f>
        <v>-0.00635022491370418</v>
      </c>
      <c r="D322" s="17" t="n">
        <f aca="false">IF(RANK(C322,$C$25:$C$526,0)&lt;=$H$7,1/$H$7,0)</f>
        <v>0</v>
      </c>
      <c r="E322" s="17" t="n">
        <f aca="false">MAX(C322-$H$19,0)</f>
        <v>0</v>
      </c>
    </row>
    <row r="323" customFormat="false" ht="15" hidden="false" customHeight="true" outlineLevel="0" collapsed="false">
      <c r="A323" s="23" t="n">
        <f aca="false">Daily_Returns_Raw_Data!A300</f>
        <v>42804</v>
      </c>
      <c r="B323" s="17" t="n">
        <f aca="false">SUMPRODUCT(Daily_Returns_Raw_Data!B300:X300,$AB$2:$AX$2)</f>
        <v>0.00330275514258401</v>
      </c>
      <c r="C323" s="17" t="n">
        <f aca="false">-B323</f>
        <v>-0.00330275514258401</v>
      </c>
      <c r="D323" s="17" t="n">
        <f aca="false">IF(RANK(C323,$C$25:$C$526,0)&lt;=$H$7,1/$H$7,0)</f>
        <v>0</v>
      </c>
      <c r="E323" s="17" t="n">
        <f aca="false">MAX(C323-$H$19,0)</f>
        <v>0</v>
      </c>
    </row>
    <row r="324" customFormat="false" ht="15" hidden="false" customHeight="true" outlineLevel="0" collapsed="false">
      <c r="A324" s="23" t="n">
        <f aca="false">Daily_Returns_Raw_Data!A301</f>
        <v>42807</v>
      </c>
      <c r="B324" s="17" t="n">
        <f aca="false">SUMPRODUCT(Daily_Returns_Raw_Data!B301:X301,$AB$2:$AX$2)</f>
        <v>-0.00687190020044882</v>
      </c>
      <c r="C324" s="17" t="n">
        <f aca="false">-B324</f>
        <v>0.00687190020044882</v>
      </c>
      <c r="D324" s="17" t="n">
        <f aca="false">IF(RANK(C324,$C$25:$C$526,0)&lt;=$H$7,1/$H$7,0)</f>
        <v>0</v>
      </c>
      <c r="E324" s="17" t="n">
        <f aca="false">MAX(C324-$H$19,0)</f>
        <v>0</v>
      </c>
    </row>
    <row r="325" customFormat="false" ht="15" hidden="false" customHeight="true" outlineLevel="0" collapsed="false">
      <c r="A325" s="23" t="n">
        <f aca="false">Daily_Returns_Raw_Data!A302</f>
        <v>42808</v>
      </c>
      <c r="B325" s="17" t="n">
        <f aca="false">SUMPRODUCT(Daily_Returns_Raw_Data!B302:X302,$AB$2:$AX$2)</f>
        <v>0.0145993683823655</v>
      </c>
      <c r="C325" s="17" t="n">
        <f aca="false">-B325</f>
        <v>-0.0145993683823655</v>
      </c>
      <c r="D325" s="17" t="n">
        <f aca="false">IF(RANK(C325,$C$25:$C$526,0)&lt;=$H$7,1/$H$7,0)</f>
        <v>0</v>
      </c>
      <c r="E325" s="17" t="n">
        <f aca="false">MAX(C325-$H$19,0)</f>
        <v>0</v>
      </c>
    </row>
    <row r="326" customFormat="false" ht="15" hidden="false" customHeight="true" outlineLevel="0" collapsed="false">
      <c r="A326" s="23" t="n">
        <f aca="false">Daily_Returns_Raw_Data!A303</f>
        <v>42809</v>
      </c>
      <c r="B326" s="17" t="n">
        <f aca="false">SUMPRODUCT(Daily_Returns_Raw_Data!B303:X303,$AB$2:$AX$2)</f>
        <v>-0.00277564145200652</v>
      </c>
      <c r="C326" s="17" t="n">
        <f aca="false">-B326</f>
        <v>0.00277564145200652</v>
      </c>
      <c r="D326" s="17" t="n">
        <f aca="false">IF(RANK(C326,$C$25:$C$526,0)&lt;=$H$7,1/$H$7,0)</f>
        <v>0</v>
      </c>
      <c r="E326" s="17" t="n">
        <f aca="false">MAX(C326-$H$19,0)</f>
        <v>0</v>
      </c>
    </row>
    <row r="327" customFormat="false" ht="15" hidden="false" customHeight="true" outlineLevel="0" collapsed="false">
      <c r="A327" s="23" t="n">
        <f aca="false">Daily_Returns_Raw_Data!A304</f>
        <v>42810</v>
      </c>
      <c r="B327" s="17" t="n">
        <f aca="false">SUMPRODUCT(Daily_Returns_Raw_Data!B304:X304,$AB$2:$AX$2)</f>
        <v>-0.00662424065676194</v>
      </c>
      <c r="C327" s="17" t="n">
        <f aca="false">-B327</f>
        <v>0.00662424065676194</v>
      </c>
      <c r="D327" s="17" t="n">
        <f aca="false">IF(RANK(C327,$C$25:$C$526,0)&lt;=$H$7,1/$H$7,0)</f>
        <v>0</v>
      </c>
      <c r="E327" s="17" t="n">
        <f aca="false">MAX(C327-$H$19,0)</f>
        <v>0</v>
      </c>
    </row>
    <row r="328" customFormat="false" ht="15" hidden="false" customHeight="true" outlineLevel="0" collapsed="false">
      <c r="A328" s="23" t="n">
        <f aca="false">Daily_Returns_Raw_Data!A305</f>
        <v>42811</v>
      </c>
      <c r="B328" s="17" t="n">
        <f aca="false">SUMPRODUCT(Daily_Returns_Raw_Data!B305:X305,$AB$2:$AX$2)</f>
        <v>-0.0011345280401081</v>
      </c>
      <c r="C328" s="17" t="n">
        <f aca="false">-B328</f>
        <v>0.0011345280401081</v>
      </c>
      <c r="D328" s="17" t="n">
        <f aca="false">IF(RANK(C328,$C$25:$C$526,0)&lt;=$H$7,1/$H$7,0)</f>
        <v>0</v>
      </c>
      <c r="E328" s="17" t="n">
        <f aca="false">MAX(C328-$H$19,0)</f>
        <v>0</v>
      </c>
    </row>
    <row r="329" customFormat="false" ht="15" hidden="false" customHeight="true" outlineLevel="0" collapsed="false">
      <c r="A329" s="23" t="n">
        <f aca="false">Daily_Returns_Raw_Data!A306</f>
        <v>42814</v>
      </c>
      <c r="B329" s="17" t="n">
        <f aca="false">SUMPRODUCT(Daily_Returns_Raw_Data!B306:X306,$AB$2:$AX$2)</f>
        <v>-0.0206366351657191</v>
      </c>
      <c r="C329" s="17" t="n">
        <f aca="false">-B329</f>
        <v>0.0206366351657191</v>
      </c>
      <c r="D329" s="17" t="n">
        <f aca="false">IF(RANK(C329,$C$25:$C$526,0)&lt;=$H$7,1/$H$7,0)</f>
        <v>0.0196078431372549</v>
      </c>
      <c r="E329" s="17" t="n">
        <f aca="false">MAX(C329-$H$19,0)</f>
        <v>0.0116901818890379</v>
      </c>
    </row>
    <row r="330" customFormat="false" ht="15" hidden="false" customHeight="true" outlineLevel="0" collapsed="false">
      <c r="A330" s="23" t="n">
        <f aca="false">Daily_Returns_Raw_Data!A307</f>
        <v>42815</v>
      </c>
      <c r="B330" s="17" t="n">
        <f aca="false">SUMPRODUCT(Daily_Returns_Raw_Data!B307:X307,$AB$2:$AX$2)</f>
        <v>-0.00017741350333084</v>
      </c>
      <c r="C330" s="17" t="n">
        <f aca="false">-B330</f>
        <v>0.00017741350333084</v>
      </c>
      <c r="D330" s="17" t="n">
        <f aca="false">IF(RANK(C330,$C$25:$C$526,0)&lt;=$H$7,1/$H$7,0)</f>
        <v>0</v>
      </c>
      <c r="E330" s="17" t="n">
        <f aca="false">MAX(C330-$H$19,0)</f>
        <v>0</v>
      </c>
    </row>
    <row r="331" customFormat="false" ht="15" hidden="false" customHeight="true" outlineLevel="0" collapsed="false">
      <c r="A331" s="23" t="n">
        <f aca="false">Daily_Returns_Raw_Data!A308</f>
        <v>42816</v>
      </c>
      <c r="B331" s="17" t="n">
        <f aca="false">SUMPRODUCT(Daily_Returns_Raw_Data!B308:X308,$AB$2:$AX$2)</f>
        <v>-0.0011005077832069</v>
      </c>
      <c r="C331" s="17" t="n">
        <f aca="false">-B331</f>
        <v>0.0011005077832069</v>
      </c>
      <c r="D331" s="17" t="n">
        <f aca="false">IF(RANK(C331,$C$25:$C$526,0)&lt;=$H$7,1/$H$7,0)</f>
        <v>0</v>
      </c>
      <c r="E331" s="17" t="n">
        <f aca="false">MAX(C331-$H$19,0)</f>
        <v>0</v>
      </c>
    </row>
    <row r="332" customFormat="false" ht="15" hidden="false" customHeight="true" outlineLevel="0" collapsed="false">
      <c r="A332" s="23" t="n">
        <f aca="false">Daily_Returns_Raw_Data!A309</f>
        <v>42817</v>
      </c>
      <c r="B332" s="17" t="n">
        <f aca="false">SUMPRODUCT(Daily_Returns_Raw_Data!B309:X309,$AB$2:$AX$2)</f>
        <v>-0.000313743287776771</v>
      </c>
      <c r="C332" s="17" t="n">
        <f aca="false">-B332</f>
        <v>0.000313743287776771</v>
      </c>
      <c r="D332" s="17" t="n">
        <f aca="false">IF(RANK(C332,$C$25:$C$526,0)&lt;=$H$7,1/$H$7,0)</f>
        <v>0</v>
      </c>
      <c r="E332" s="17" t="n">
        <f aca="false">MAX(C332-$H$19,0)</f>
        <v>0</v>
      </c>
    </row>
    <row r="333" customFormat="false" ht="15" hidden="false" customHeight="true" outlineLevel="0" collapsed="false">
      <c r="A333" s="23" t="n">
        <f aca="false">Daily_Returns_Raw_Data!A310</f>
        <v>42818</v>
      </c>
      <c r="B333" s="17" t="n">
        <f aca="false">SUMPRODUCT(Daily_Returns_Raw_Data!B310:X310,$AB$2:$AX$2)</f>
        <v>0.00316936874004177</v>
      </c>
      <c r="C333" s="17" t="n">
        <f aca="false">-B333</f>
        <v>-0.00316936874004177</v>
      </c>
      <c r="D333" s="17" t="n">
        <f aca="false">IF(RANK(C333,$C$25:$C$526,0)&lt;=$H$7,1/$H$7,0)</f>
        <v>0</v>
      </c>
      <c r="E333" s="17" t="n">
        <f aca="false">MAX(C333-$H$19,0)</f>
        <v>0</v>
      </c>
    </row>
    <row r="334" customFormat="false" ht="15" hidden="false" customHeight="true" outlineLevel="0" collapsed="false">
      <c r="A334" s="23" t="n">
        <f aca="false">Daily_Returns_Raw_Data!A311</f>
        <v>42821</v>
      </c>
      <c r="B334" s="17" t="n">
        <f aca="false">SUMPRODUCT(Daily_Returns_Raw_Data!B311:X311,$AB$2:$AX$2)</f>
        <v>0.00429478678340342</v>
      </c>
      <c r="C334" s="17" t="n">
        <f aca="false">-B334</f>
        <v>-0.00429478678340342</v>
      </c>
      <c r="D334" s="17" t="n">
        <f aca="false">IF(RANK(C334,$C$25:$C$526,0)&lt;=$H$7,1/$H$7,0)</f>
        <v>0</v>
      </c>
      <c r="E334" s="17" t="n">
        <f aca="false">MAX(C334-$H$19,0)</f>
        <v>0</v>
      </c>
    </row>
    <row r="335" customFormat="false" ht="15" hidden="false" customHeight="true" outlineLevel="0" collapsed="false">
      <c r="A335" s="23" t="n">
        <f aca="false">Daily_Returns_Raw_Data!A312</f>
        <v>42822</v>
      </c>
      <c r="B335" s="17" t="n">
        <f aca="false">SUMPRODUCT(Daily_Returns_Raw_Data!B312:X312,$AB$2:$AX$2)</f>
        <v>0.00621828943168098</v>
      </c>
      <c r="C335" s="17" t="n">
        <f aca="false">-B335</f>
        <v>-0.00621828943168098</v>
      </c>
      <c r="D335" s="17" t="n">
        <f aca="false">IF(RANK(C335,$C$25:$C$526,0)&lt;=$H$7,1/$H$7,0)</f>
        <v>0</v>
      </c>
      <c r="E335" s="17" t="n">
        <f aca="false">MAX(C335-$H$19,0)</f>
        <v>0</v>
      </c>
    </row>
    <row r="336" customFormat="false" ht="15" hidden="false" customHeight="true" outlineLevel="0" collapsed="false">
      <c r="A336" s="23" t="n">
        <f aca="false">Daily_Returns_Raw_Data!A313</f>
        <v>42823</v>
      </c>
      <c r="B336" s="17" t="n">
        <f aca="false">SUMPRODUCT(Daily_Returns_Raw_Data!B313:X313,$AB$2:$AX$2)</f>
        <v>-0.000633703762291319</v>
      </c>
      <c r="C336" s="17" t="n">
        <f aca="false">-B336</f>
        <v>0.000633703762291319</v>
      </c>
      <c r="D336" s="17" t="n">
        <f aca="false">IF(RANK(C336,$C$25:$C$526,0)&lt;=$H$7,1/$H$7,0)</f>
        <v>0</v>
      </c>
      <c r="E336" s="17" t="n">
        <f aca="false">MAX(C336-$H$19,0)</f>
        <v>0</v>
      </c>
    </row>
    <row r="337" customFormat="false" ht="15" hidden="false" customHeight="true" outlineLevel="0" collapsed="false">
      <c r="A337" s="23" t="n">
        <f aca="false">Daily_Returns_Raw_Data!A314</f>
        <v>42824</v>
      </c>
      <c r="B337" s="17" t="n">
        <f aca="false">SUMPRODUCT(Daily_Returns_Raw_Data!B314:X314,$AB$2:$AX$2)</f>
        <v>-0.00463805239403608</v>
      </c>
      <c r="C337" s="17" t="n">
        <f aca="false">-B337</f>
        <v>0.00463805239403608</v>
      </c>
      <c r="D337" s="17" t="n">
        <f aca="false">IF(RANK(C337,$C$25:$C$526,0)&lt;=$H$7,1/$H$7,0)</f>
        <v>0</v>
      </c>
      <c r="E337" s="17" t="n">
        <f aca="false">MAX(C337-$H$19,0)</f>
        <v>0</v>
      </c>
    </row>
    <row r="338" customFormat="false" ht="15" hidden="false" customHeight="true" outlineLevel="0" collapsed="false">
      <c r="A338" s="23" t="n">
        <f aca="false">Daily_Returns_Raw_Data!A315</f>
        <v>42825</v>
      </c>
      <c r="B338" s="17" t="n">
        <f aca="false">SUMPRODUCT(Daily_Returns_Raw_Data!B315:X315,$AB$2:$AX$2)</f>
        <v>-0.0011319009235117</v>
      </c>
      <c r="C338" s="17" t="n">
        <f aca="false">-B338</f>
        <v>0.0011319009235117</v>
      </c>
      <c r="D338" s="17" t="n">
        <f aca="false">IF(RANK(C338,$C$25:$C$526,0)&lt;=$H$7,1/$H$7,0)</f>
        <v>0</v>
      </c>
      <c r="E338" s="17" t="n">
        <f aca="false">MAX(C338-$H$19,0)</f>
        <v>0</v>
      </c>
    </row>
    <row r="339" customFormat="false" ht="15" hidden="false" customHeight="true" outlineLevel="0" collapsed="false">
      <c r="A339" s="23" t="n">
        <f aca="false">Daily_Returns_Raw_Data!A316</f>
        <v>42828</v>
      </c>
      <c r="B339" s="17" t="n">
        <f aca="false">SUMPRODUCT(Daily_Returns_Raw_Data!B316:X316,$AB$2:$AX$2)</f>
        <v>0.0048805385431245</v>
      </c>
      <c r="C339" s="17" t="n">
        <f aca="false">-B339</f>
        <v>-0.0048805385431245</v>
      </c>
      <c r="D339" s="17" t="n">
        <f aca="false">IF(RANK(C339,$C$25:$C$526,0)&lt;=$H$7,1/$H$7,0)</f>
        <v>0</v>
      </c>
      <c r="E339" s="17" t="n">
        <f aca="false">MAX(C339-$H$19,0)</f>
        <v>0</v>
      </c>
    </row>
    <row r="340" customFormat="false" ht="15" hidden="false" customHeight="true" outlineLevel="0" collapsed="false">
      <c r="A340" s="23" t="n">
        <f aca="false">Daily_Returns_Raw_Data!A317</f>
        <v>42829</v>
      </c>
      <c r="B340" s="17" t="n">
        <f aca="false">SUMPRODUCT(Daily_Returns_Raw_Data!B317:X317,$AB$2:$AX$2)</f>
        <v>-0.00886319372922855</v>
      </c>
      <c r="C340" s="17" t="n">
        <f aca="false">-B340</f>
        <v>0.00886319372922855</v>
      </c>
      <c r="D340" s="17" t="n">
        <f aca="false">IF(RANK(C340,$C$25:$C$526,0)&lt;=$H$7,1/$H$7,0)</f>
        <v>0</v>
      </c>
      <c r="E340" s="17" t="n">
        <f aca="false">MAX(C340-$H$19,0)</f>
        <v>0</v>
      </c>
    </row>
    <row r="341" customFormat="false" ht="15" hidden="false" customHeight="true" outlineLevel="0" collapsed="false">
      <c r="A341" s="23" t="n">
        <f aca="false">Daily_Returns_Raw_Data!A318</f>
        <v>42830</v>
      </c>
      <c r="B341" s="17" t="n">
        <f aca="false">SUMPRODUCT(Daily_Returns_Raw_Data!B318:X318,$AB$2:$AX$2)</f>
        <v>-0.000377485204955201</v>
      </c>
      <c r="C341" s="17" t="n">
        <f aca="false">-B341</f>
        <v>0.000377485204955201</v>
      </c>
      <c r="D341" s="17" t="n">
        <f aca="false">IF(RANK(C341,$C$25:$C$526,0)&lt;=$H$7,1/$H$7,0)</f>
        <v>0</v>
      </c>
      <c r="E341" s="17" t="n">
        <f aca="false">MAX(C341-$H$19,0)</f>
        <v>0</v>
      </c>
    </row>
    <row r="342" customFormat="false" ht="15" hidden="false" customHeight="true" outlineLevel="0" collapsed="false">
      <c r="A342" s="23" t="n">
        <f aca="false">Daily_Returns_Raw_Data!A319</f>
        <v>42831</v>
      </c>
      <c r="B342" s="17" t="n">
        <f aca="false">SUMPRODUCT(Daily_Returns_Raw_Data!B319:X319,$AB$2:$AX$2)</f>
        <v>0.00193309536513221</v>
      </c>
      <c r="C342" s="17" t="n">
        <f aca="false">-B342</f>
        <v>-0.00193309536513221</v>
      </c>
      <c r="D342" s="17" t="n">
        <f aca="false">IF(RANK(C342,$C$25:$C$526,0)&lt;=$H$7,1/$H$7,0)</f>
        <v>0</v>
      </c>
      <c r="E342" s="17" t="n">
        <f aca="false">MAX(C342-$H$19,0)</f>
        <v>0</v>
      </c>
    </row>
    <row r="343" customFormat="false" ht="15" hidden="false" customHeight="true" outlineLevel="0" collapsed="false">
      <c r="A343" s="23" t="n">
        <f aca="false">Daily_Returns_Raw_Data!A320</f>
        <v>42832</v>
      </c>
      <c r="B343" s="17" t="n">
        <f aca="false">SUMPRODUCT(Daily_Returns_Raw_Data!B320:X320,$AB$2:$AX$2)</f>
        <v>0.00868965349881983</v>
      </c>
      <c r="C343" s="17" t="n">
        <f aca="false">-B343</f>
        <v>-0.00868965349881983</v>
      </c>
      <c r="D343" s="17" t="n">
        <f aca="false">IF(RANK(C343,$C$25:$C$526,0)&lt;=$H$7,1/$H$7,0)</f>
        <v>0</v>
      </c>
      <c r="E343" s="17" t="n">
        <f aca="false">MAX(C343-$H$19,0)</f>
        <v>0</v>
      </c>
    </row>
    <row r="344" customFormat="false" ht="15" hidden="false" customHeight="true" outlineLevel="0" collapsed="false">
      <c r="A344" s="23" t="n">
        <f aca="false">Daily_Returns_Raw_Data!A321</f>
        <v>42835</v>
      </c>
      <c r="B344" s="17" t="n">
        <f aca="false">SUMPRODUCT(Daily_Returns_Raw_Data!B321:X321,$AB$2:$AX$2)</f>
        <v>-0.00649569348527173</v>
      </c>
      <c r="C344" s="17" t="n">
        <f aca="false">-B344</f>
        <v>0.00649569348527173</v>
      </c>
      <c r="D344" s="17" t="n">
        <f aca="false">IF(RANK(C344,$C$25:$C$526,0)&lt;=$H$7,1/$H$7,0)</f>
        <v>0</v>
      </c>
      <c r="E344" s="17" t="n">
        <f aca="false">MAX(C344-$H$19,0)</f>
        <v>0</v>
      </c>
    </row>
    <row r="345" customFormat="false" ht="15" hidden="false" customHeight="true" outlineLevel="0" collapsed="false">
      <c r="A345" s="23" t="n">
        <f aca="false">Daily_Returns_Raw_Data!A322</f>
        <v>42836</v>
      </c>
      <c r="B345" s="17" t="n">
        <f aca="false">SUMPRODUCT(Daily_Returns_Raw_Data!B322:X322,$AB$2:$AX$2)</f>
        <v>-0.00256773817248015</v>
      </c>
      <c r="C345" s="17" t="n">
        <f aca="false">-B345</f>
        <v>0.00256773817248015</v>
      </c>
      <c r="D345" s="17" t="n">
        <f aca="false">IF(RANK(C345,$C$25:$C$526,0)&lt;=$H$7,1/$H$7,0)</f>
        <v>0</v>
      </c>
      <c r="E345" s="17" t="n">
        <f aca="false">MAX(C345-$H$19,0)</f>
        <v>0</v>
      </c>
    </row>
    <row r="346" customFormat="false" ht="15" hidden="false" customHeight="true" outlineLevel="0" collapsed="false">
      <c r="A346" s="23" t="n">
        <f aca="false">Daily_Returns_Raw_Data!A323</f>
        <v>42837</v>
      </c>
      <c r="B346" s="17" t="n">
        <f aca="false">SUMPRODUCT(Daily_Returns_Raw_Data!B323:X323,$AB$2:$AX$2)</f>
        <v>-0.011303436485343</v>
      </c>
      <c r="C346" s="17" t="n">
        <f aca="false">-B346</f>
        <v>0.011303436485343</v>
      </c>
      <c r="D346" s="17" t="n">
        <f aca="false">IF(RANK(C346,$C$25:$C$526,0)&lt;=$H$7,1/$H$7,0)</f>
        <v>0.0196078431372549</v>
      </c>
      <c r="E346" s="17" t="n">
        <f aca="false">MAX(C346-$H$19,0)</f>
        <v>0.00235698320866166</v>
      </c>
    </row>
    <row r="347" customFormat="false" ht="15" hidden="false" customHeight="true" outlineLevel="0" collapsed="false">
      <c r="A347" s="23" t="n">
        <f aca="false">Daily_Returns_Raw_Data!A324</f>
        <v>42838</v>
      </c>
      <c r="B347" s="17" t="n">
        <f aca="false">SUMPRODUCT(Daily_Returns_Raw_Data!B324:X324,$AB$2:$AX$2)</f>
        <v>0.00746725994068331</v>
      </c>
      <c r="C347" s="17" t="n">
        <f aca="false">-B347</f>
        <v>-0.00746725994068331</v>
      </c>
      <c r="D347" s="17" t="n">
        <f aca="false">IF(RANK(C347,$C$25:$C$526,0)&lt;=$H$7,1/$H$7,0)</f>
        <v>0</v>
      </c>
      <c r="E347" s="17" t="n">
        <f aca="false">MAX(C347-$H$19,0)</f>
        <v>0</v>
      </c>
    </row>
    <row r="348" customFormat="false" ht="15" hidden="false" customHeight="true" outlineLevel="0" collapsed="false">
      <c r="A348" s="23" t="n">
        <f aca="false">Daily_Returns_Raw_Data!A325</f>
        <v>42842</v>
      </c>
      <c r="B348" s="17" t="n">
        <f aca="false">SUMPRODUCT(Daily_Returns_Raw_Data!B325:X325,$AB$2:$AX$2)</f>
        <v>-0.0075136844398863</v>
      </c>
      <c r="C348" s="17" t="n">
        <f aca="false">-B348</f>
        <v>0.0075136844398863</v>
      </c>
      <c r="D348" s="17" t="n">
        <f aca="false">IF(RANK(C348,$C$25:$C$526,0)&lt;=$H$7,1/$H$7,0)</f>
        <v>0</v>
      </c>
      <c r="E348" s="17" t="n">
        <f aca="false">MAX(C348-$H$19,0)</f>
        <v>0</v>
      </c>
    </row>
    <row r="349" customFormat="false" ht="15" hidden="false" customHeight="true" outlineLevel="0" collapsed="false">
      <c r="A349" s="23" t="n">
        <f aca="false">Daily_Returns_Raw_Data!A326</f>
        <v>42843</v>
      </c>
      <c r="B349" s="17" t="n">
        <f aca="false">SUMPRODUCT(Daily_Returns_Raw_Data!B326:X326,$AB$2:$AX$2)</f>
        <v>-0.00384394830702759</v>
      </c>
      <c r="C349" s="17" t="n">
        <f aca="false">-B349</f>
        <v>0.00384394830702759</v>
      </c>
      <c r="D349" s="17" t="n">
        <f aca="false">IF(RANK(C349,$C$25:$C$526,0)&lt;=$H$7,1/$H$7,0)</f>
        <v>0</v>
      </c>
      <c r="E349" s="17" t="n">
        <f aca="false">MAX(C349-$H$19,0)</f>
        <v>0</v>
      </c>
    </row>
    <row r="350" customFormat="false" ht="15" hidden="false" customHeight="true" outlineLevel="0" collapsed="false">
      <c r="A350" s="23" t="n">
        <f aca="false">Daily_Returns_Raw_Data!A327</f>
        <v>42844</v>
      </c>
      <c r="B350" s="17" t="n">
        <f aca="false">SUMPRODUCT(Daily_Returns_Raw_Data!B327:X327,$AB$2:$AX$2)</f>
        <v>0.00327639694252898</v>
      </c>
      <c r="C350" s="17" t="n">
        <f aca="false">-B350</f>
        <v>-0.00327639694252898</v>
      </c>
      <c r="D350" s="17" t="n">
        <f aca="false">IF(RANK(C350,$C$25:$C$526,0)&lt;=$H$7,1/$H$7,0)</f>
        <v>0</v>
      </c>
      <c r="E350" s="17" t="n">
        <f aca="false">MAX(C350-$H$19,0)</f>
        <v>0</v>
      </c>
    </row>
    <row r="351" customFormat="false" ht="15" hidden="false" customHeight="true" outlineLevel="0" collapsed="false">
      <c r="A351" s="23" t="n">
        <f aca="false">Daily_Returns_Raw_Data!A328</f>
        <v>42845</v>
      </c>
      <c r="B351" s="17" t="n">
        <f aca="false">SUMPRODUCT(Daily_Returns_Raw_Data!B328:X328,$AB$2:$AX$2)</f>
        <v>-0.00285007685047235</v>
      </c>
      <c r="C351" s="17" t="n">
        <f aca="false">-B351</f>
        <v>0.00285007685047235</v>
      </c>
      <c r="D351" s="17" t="n">
        <f aca="false">IF(RANK(C351,$C$25:$C$526,0)&lt;=$H$7,1/$H$7,0)</f>
        <v>0</v>
      </c>
      <c r="E351" s="17" t="n">
        <f aca="false">MAX(C351-$H$19,0)</f>
        <v>0</v>
      </c>
    </row>
    <row r="352" customFormat="false" ht="15" hidden="false" customHeight="true" outlineLevel="0" collapsed="false">
      <c r="A352" s="23" t="n">
        <f aca="false">Daily_Returns_Raw_Data!A329</f>
        <v>42846</v>
      </c>
      <c r="B352" s="17" t="n">
        <f aca="false">SUMPRODUCT(Daily_Returns_Raw_Data!B329:X329,$AB$2:$AX$2)</f>
        <v>0.00834918476298723</v>
      </c>
      <c r="C352" s="17" t="n">
        <f aca="false">-B352</f>
        <v>-0.00834918476298723</v>
      </c>
      <c r="D352" s="17" t="n">
        <f aca="false">IF(RANK(C352,$C$25:$C$526,0)&lt;=$H$7,1/$H$7,0)</f>
        <v>0</v>
      </c>
      <c r="E352" s="17" t="n">
        <f aca="false">MAX(C352-$H$19,0)</f>
        <v>0</v>
      </c>
    </row>
    <row r="353" customFormat="false" ht="15" hidden="false" customHeight="true" outlineLevel="0" collapsed="false">
      <c r="A353" s="23" t="n">
        <f aca="false">Daily_Returns_Raw_Data!A330</f>
        <v>42849</v>
      </c>
      <c r="B353" s="17" t="n">
        <f aca="false">SUMPRODUCT(Daily_Returns_Raw_Data!B330:X330,$AB$2:$AX$2)</f>
        <v>0.00300008407458416</v>
      </c>
      <c r="C353" s="17" t="n">
        <f aca="false">-B353</f>
        <v>-0.00300008407458416</v>
      </c>
      <c r="D353" s="17" t="n">
        <f aca="false">IF(RANK(C353,$C$25:$C$526,0)&lt;=$H$7,1/$H$7,0)</f>
        <v>0</v>
      </c>
      <c r="E353" s="17" t="n">
        <f aca="false">MAX(C353-$H$19,0)</f>
        <v>0</v>
      </c>
    </row>
    <row r="354" customFormat="false" ht="15" hidden="false" customHeight="true" outlineLevel="0" collapsed="false">
      <c r="A354" s="23" t="n">
        <f aca="false">Daily_Returns_Raw_Data!A331</f>
        <v>42850</v>
      </c>
      <c r="B354" s="17" t="n">
        <f aca="false">SUMPRODUCT(Daily_Returns_Raw_Data!B331:X331,$AB$2:$AX$2)</f>
        <v>-0.00638109748389127</v>
      </c>
      <c r="C354" s="17" t="n">
        <f aca="false">-B354</f>
        <v>0.00638109748389127</v>
      </c>
      <c r="D354" s="17" t="n">
        <f aca="false">IF(RANK(C354,$C$25:$C$526,0)&lt;=$H$7,1/$H$7,0)</f>
        <v>0</v>
      </c>
      <c r="E354" s="17" t="n">
        <f aca="false">MAX(C354-$H$19,0)</f>
        <v>0</v>
      </c>
    </row>
    <row r="355" customFormat="false" ht="15" hidden="false" customHeight="true" outlineLevel="0" collapsed="false">
      <c r="A355" s="23" t="n">
        <f aca="false">Daily_Returns_Raw_Data!A332</f>
        <v>42851</v>
      </c>
      <c r="B355" s="17" t="n">
        <f aca="false">SUMPRODUCT(Daily_Returns_Raw_Data!B332:X332,$AB$2:$AX$2)</f>
        <v>-0.00466076960183306</v>
      </c>
      <c r="C355" s="17" t="n">
        <f aca="false">-B355</f>
        <v>0.00466076960183306</v>
      </c>
      <c r="D355" s="17" t="n">
        <f aca="false">IF(RANK(C355,$C$25:$C$526,0)&lt;=$H$7,1/$H$7,0)</f>
        <v>0</v>
      </c>
      <c r="E355" s="17" t="n">
        <f aca="false">MAX(C355-$H$19,0)</f>
        <v>0</v>
      </c>
    </row>
    <row r="356" customFormat="false" ht="15" hidden="false" customHeight="true" outlineLevel="0" collapsed="false">
      <c r="A356" s="23" t="n">
        <f aca="false">Daily_Returns_Raw_Data!A333</f>
        <v>42852</v>
      </c>
      <c r="B356" s="17" t="n">
        <f aca="false">SUMPRODUCT(Daily_Returns_Raw_Data!B333:X333,$AB$2:$AX$2)</f>
        <v>0.000865410722623265</v>
      </c>
      <c r="C356" s="17" t="n">
        <f aca="false">-B356</f>
        <v>-0.000865410722623265</v>
      </c>
      <c r="D356" s="17" t="n">
        <f aca="false">IF(RANK(C356,$C$25:$C$526,0)&lt;=$H$7,1/$H$7,0)</f>
        <v>0</v>
      </c>
      <c r="E356" s="17" t="n">
        <f aca="false">MAX(C356-$H$19,0)</f>
        <v>0</v>
      </c>
    </row>
    <row r="357" customFormat="false" ht="15" hidden="false" customHeight="true" outlineLevel="0" collapsed="false">
      <c r="A357" s="23" t="n">
        <f aca="false">Daily_Returns_Raw_Data!A334</f>
        <v>42853</v>
      </c>
      <c r="B357" s="17" t="n">
        <f aca="false">SUMPRODUCT(Daily_Returns_Raw_Data!B334:X334,$AB$2:$AX$2)</f>
        <v>-0.000546051393914761</v>
      </c>
      <c r="C357" s="17" t="n">
        <f aca="false">-B357</f>
        <v>0.000546051393914761</v>
      </c>
      <c r="D357" s="17" t="n">
        <f aca="false">IF(RANK(C357,$C$25:$C$526,0)&lt;=$H$7,1/$H$7,0)</f>
        <v>0</v>
      </c>
      <c r="E357" s="17" t="n">
        <f aca="false">MAX(C357-$H$19,0)</f>
        <v>0</v>
      </c>
    </row>
    <row r="358" customFormat="false" ht="15" hidden="false" customHeight="true" outlineLevel="0" collapsed="false">
      <c r="A358" s="23" t="n">
        <f aca="false">Daily_Returns_Raw_Data!A335</f>
        <v>42856</v>
      </c>
      <c r="B358" s="17" t="n">
        <f aca="false">SUMPRODUCT(Daily_Returns_Raw_Data!B335:X335,$AB$2:$AX$2)</f>
        <v>-0.0032478160468598</v>
      </c>
      <c r="C358" s="17" t="n">
        <f aca="false">-B358</f>
        <v>0.0032478160468598</v>
      </c>
      <c r="D358" s="17" t="n">
        <f aca="false">IF(RANK(C358,$C$25:$C$526,0)&lt;=$H$7,1/$H$7,0)</f>
        <v>0</v>
      </c>
      <c r="E358" s="17" t="n">
        <f aca="false">MAX(C358-$H$19,0)</f>
        <v>0</v>
      </c>
    </row>
    <row r="359" customFormat="false" ht="15" hidden="false" customHeight="true" outlineLevel="0" collapsed="false">
      <c r="A359" s="23" t="n">
        <f aca="false">Daily_Returns_Raw_Data!A336</f>
        <v>42857</v>
      </c>
      <c r="B359" s="17" t="n">
        <f aca="false">SUMPRODUCT(Daily_Returns_Raw_Data!B336:X336,$AB$2:$AX$2)</f>
        <v>-0.000713615748556981</v>
      </c>
      <c r="C359" s="17" t="n">
        <f aca="false">-B359</f>
        <v>0.000713615748556981</v>
      </c>
      <c r="D359" s="17" t="n">
        <f aca="false">IF(RANK(C359,$C$25:$C$526,0)&lt;=$H$7,1/$H$7,0)</f>
        <v>0</v>
      </c>
      <c r="E359" s="17" t="n">
        <f aca="false">MAX(C359-$H$19,0)</f>
        <v>0</v>
      </c>
    </row>
    <row r="360" customFormat="false" ht="15" hidden="false" customHeight="true" outlineLevel="0" collapsed="false">
      <c r="A360" s="23" t="n">
        <f aca="false">Daily_Returns_Raw_Data!A337</f>
        <v>42858</v>
      </c>
      <c r="B360" s="17" t="n">
        <f aca="false">SUMPRODUCT(Daily_Returns_Raw_Data!B337:X337,$AB$2:$AX$2)</f>
        <v>-0.00867336042736639</v>
      </c>
      <c r="C360" s="17" t="n">
        <f aca="false">-B360</f>
        <v>0.00867336042736639</v>
      </c>
      <c r="D360" s="17" t="n">
        <f aca="false">IF(RANK(C360,$C$25:$C$526,0)&lt;=$H$7,1/$H$7,0)</f>
        <v>0</v>
      </c>
      <c r="E360" s="17" t="n">
        <f aca="false">MAX(C360-$H$19,0)</f>
        <v>0</v>
      </c>
    </row>
    <row r="361" customFormat="false" ht="15" hidden="false" customHeight="true" outlineLevel="0" collapsed="false">
      <c r="A361" s="23" t="n">
        <f aca="false">Daily_Returns_Raw_Data!A338</f>
        <v>42859</v>
      </c>
      <c r="B361" s="17" t="n">
        <f aca="false">SUMPRODUCT(Daily_Returns_Raw_Data!B338:X338,$AB$2:$AX$2)</f>
        <v>0.00474129909858845</v>
      </c>
      <c r="C361" s="17" t="n">
        <f aca="false">-B361</f>
        <v>-0.00474129909858845</v>
      </c>
      <c r="D361" s="17" t="n">
        <f aca="false">IF(RANK(C361,$C$25:$C$526,0)&lt;=$H$7,1/$H$7,0)</f>
        <v>0</v>
      </c>
      <c r="E361" s="17" t="n">
        <f aca="false">MAX(C361-$H$19,0)</f>
        <v>0</v>
      </c>
    </row>
    <row r="362" customFormat="false" ht="15" hidden="false" customHeight="true" outlineLevel="0" collapsed="false">
      <c r="A362" s="23" t="n">
        <f aca="false">Daily_Returns_Raw_Data!A339</f>
        <v>42860</v>
      </c>
      <c r="B362" s="17" t="n">
        <f aca="false">SUMPRODUCT(Daily_Returns_Raw_Data!B339:X339,$AB$2:$AX$2)</f>
        <v>0.000905533884522871</v>
      </c>
      <c r="C362" s="17" t="n">
        <f aca="false">-B362</f>
        <v>-0.000905533884522871</v>
      </c>
      <c r="D362" s="17" t="n">
        <f aca="false">IF(RANK(C362,$C$25:$C$526,0)&lt;=$H$7,1/$H$7,0)</f>
        <v>0</v>
      </c>
      <c r="E362" s="17" t="n">
        <f aca="false">MAX(C362-$H$19,0)</f>
        <v>0</v>
      </c>
    </row>
    <row r="363" customFormat="false" ht="15" hidden="false" customHeight="true" outlineLevel="0" collapsed="false">
      <c r="A363" s="23" t="n">
        <f aca="false">Daily_Returns_Raw_Data!A340</f>
        <v>42863</v>
      </c>
      <c r="B363" s="17" t="n">
        <f aca="false">SUMPRODUCT(Daily_Returns_Raw_Data!B340:X340,$AB$2:$AX$2)</f>
        <v>-0.00127574597953091</v>
      </c>
      <c r="C363" s="17" t="n">
        <f aca="false">-B363</f>
        <v>0.00127574597953091</v>
      </c>
      <c r="D363" s="17" t="n">
        <f aca="false">IF(RANK(C363,$C$25:$C$526,0)&lt;=$H$7,1/$H$7,0)</f>
        <v>0</v>
      </c>
      <c r="E363" s="17" t="n">
        <f aca="false">MAX(C363-$H$19,0)</f>
        <v>0</v>
      </c>
    </row>
    <row r="364" customFormat="false" ht="15" hidden="false" customHeight="true" outlineLevel="0" collapsed="false">
      <c r="A364" s="23" t="n">
        <f aca="false">Daily_Returns_Raw_Data!A341</f>
        <v>42864</v>
      </c>
      <c r="B364" s="17" t="n">
        <f aca="false">SUMPRODUCT(Daily_Returns_Raw_Data!B341:X341,$AB$2:$AX$2)</f>
        <v>0.00285919944038838</v>
      </c>
      <c r="C364" s="17" t="n">
        <f aca="false">-B364</f>
        <v>-0.00285919944038838</v>
      </c>
      <c r="D364" s="17" t="n">
        <f aca="false">IF(RANK(C364,$C$25:$C$526,0)&lt;=$H$7,1/$H$7,0)</f>
        <v>0</v>
      </c>
      <c r="E364" s="17" t="n">
        <f aca="false">MAX(C364-$H$19,0)</f>
        <v>0</v>
      </c>
    </row>
    <row r="365" customFormat="false" ht="15" hidden="false" customHeight="true" outlineLevel="0" collapsed="false">
      <c r="A365" s="23" t="n">
        <f aca="false">Daily_Returns_Raw_Data!A342</f>
        <v>42865</v>
      </c>
      <c r="B365" s="17" t="n">
        <f aca="false">SUMPRODUCT(Daily_Returns_Raw_Data!B342:X342,$AB$2:$AX$2)</f>
        <v>0.00168947146276803</v>
      </c>
      <c r="C365" s="17" t="n">
        <f aca="false">-B365</f>
        <v>-0.00168947146276803</v>
      </c>
      <c r="D365" s="17" t="n">
        <f aca="false">IF(RANK(C365,$C$25:$C$526,0)&lt;=$H$7,1/$H$7,0)</f>
        <v>0</v>
      </c>
      <c r="E365" s="17" t="n">
        <f aca="false">MAX(C365-$H$19,0)</f>
        <v>0</v>
      </c>
    </row>
    <row r="366" customFormat="false" ht="15" hidden="false" customHeight="true" outlineLevel="0" collapsed="false">
      <c r="A366" s="23" t="n">
        <f aca="false">Daily_Returns_Raw_Data!A343</f>
        <v>42866</v>
      </c>
      <c r="B366" s="17" t="n">
        <f aca="false">SUMPRODUCT(Daily_Returns_Raw_Data!B343:X343,$AB$2:$AX$2)</f>
        <v>-0.0055051297621843</v>
      </c>
      <c r="C366" s="17" t="n">
        <f aca="false">-B366</f>
        <v>0.0055051297621843</v>
      </c>
      <c r="D366" s="17" t="n">
        <f aca="false">IF(RANK(C366,$C$25:$C$526,0)&lt;=$H$7,1/$H$7,0)</f>
        <v>0</v>
      </c>
      <c r="E366" s="17" t="n">
        <f aca="false">MAX(C366-$H$19,0)</f>
        <v>0</v>
      </c>
    </row>
    <row r="367" customFormat="false" ht="15" hidden="false" customHeight="true" outlineLevel="0" collapsed="false">
      <c r="A367" s="23" t="n">
        <f aca="false">Daily_Returns_Raw_Data!A344</f>
        <v>42867</v>
      </c>
      <c r="B367" s="17" t="n">
        <f aca="false">SUMPRODUCT(Daily_Returns_Raw_Data!B344:X344,$AB$2:$AX$2)</f>
        <v>0.00692852910406502</v>
      </c>
      <c r="C367" s="17" t="n">
        <f aca="false">-B367</f>
        <v>-0.00692852910406502</v>
      </c>
      <c r="D367" s="17" t="n">
        <f aca="false">IF(RANK(C367,$C$25:$C$526,0)&lt;=$H$7,1/$H$7,0)</f>
        <v>0</v>
      </c>
      <c r="E367" s="17" t="n">
        <f aca="false">MAX(C367-$H$19,0)</f>
        <v>0</v>
      </c>
    </row>
    <row r="368" customFormat="false" ht="15" hidden="false" customHeight="true" outlineLevel="0" collapsed="false">
      <c r="A368" s="23" t="n">
        <f aca="false">Daily_Returns_Raw_Data!A345</f>
        <v>42870</v>
      </c>
      <c r="B368" s="17" t="n">
        <f aca="false">SUMPRODUCT(Daily_Returns_Raw_Data!B345:X345,$AB$2:$AX$2)</f>
        <v>-0.0010845699405024</v>
      </c>
      <c r="C368" s="17" t="n">
        <f aca="false">-B368</f>
        <v>0.0010845699405024</v>
      </c>
      <c r="D368" s="17" t="n">
        <f aca="false">IF(RANK(C368,$C$25:$C$526,0)&lt;=$H$7,1/$H$7,0)</f>
        <v>0</v>
      </c>
      <c r="E368" s="17" t="n">
        <f aca="false">MAX(C368-$H$19,0)</f>
        <v>0</v>
      </c>
    </row>
    <row r="369" customFormat="false" ht="15" hidden="false" customHeight="true" outlineLevel="0" collapsed="false">
      <c r="A369" s="23" t="n">
        <f aca="false">Daily_Returns_Raw_Data!A346</f>
        <v>42871</v>
      </c>
      <c r="B369" s="17" t="n">
        <f aca="false">SUMPRODUCT(Daily_Returns_Raw_Data!B346:X346,$AB$2:$AX$2)</f>
        <v>-0.0218882348390871</v>
      </c>
      <c r="C369" s="17" t="n">
        <f aca="false">-B369</f>
        <v>0.0218882348390871</v>
      </c>
      <c r="D369" s="17" t="n">
        <f aca="false">IF(RANK(C369,$C$25:$C$526,0)&lt;=$H$7,1/$H$7,0)</f>
        <v>0.0196078431372549</v>
      </c>
      <c r="E369" s="17" t="n">
        <f aca="false">MAX(C369-$H$19,0)</f>
        <v>0.0129417815624058</v>
      </c>
    </row>
    <row r="370" customFormat="false" ht="15" hidden="false" customHeight="true" outlineLevel="0" collapsed="false">
      <c r="A370" s="23" t="n">
        <f aca="false">Daily_Returns_Raw_Data!A347</f>
        <v>42872</v>
      </c>
      <c r="B370" s="17" t="n">
        <f aca="false">SUMPRODUCT(Daily_Returns_Raw_Data!B347:X347,$AB$2:$AX$2)</f>
        <v>-0.0174319752378917</v>
      </c>
      <c r="C370" s="17" t="n">
        <f aca="false">-B370</f>
        <v>0.0174319752378917</v>
      </c>
      <c r="D370" s="17" t="n">
        <f aca="false">IF(RANK(C370,$C$25:$C$526,0)&lt;=$H$7,1/$H$7,0)</f>
        <v>0.0196078431372549</v>
      </c>
      <c r="E370" s="17" t="n">
        <f aca="false">MAX(C370-$H$19,0)</f>
        <v>0.0084855219612104</v>
      </c>
    </row>
    <row r="371" customFormat="false" ht="15" hidden="false" customHeight="true" outlineLevel="0" collapsed="false">
      <c r="A371" s="23" t="n">
        <f aca="false">Daily_Returns_Raw_Data!A348</f>
        <v>42873</v>
      </c>
      <c r="B371" s="17" t="n">
        <f aca="false">SUMPRODUCT(Daily_Returns_Raw_Data!B348:X348,$AB$2:$AX$2)</f>
        <v>0.0141129241509527</v>
      </c>
      <c r="C371" s="17" t="n">
        <f aca="false">-B371</f>
        <v>-0.0141129241509527</v>
      </c>
      <c r="D371" s="17" t="n">
        <f aca="false">IF(RANK(C371,$C$25:$C$526,0)&lt;=$H$7,1/$H$7,0)</f>
        <v>0</v>
      </c>
      <c r="E371" s="17" t="n">
        <f aca="false">MAX(C371-$H$19,0)</f>
        <v>0</v>
      </c>
    </row>
    <row r="372" customFormat="false" ht="15" hidden="false" customHeight="true" outlineLevel="0" collapsed="false">
      <c r="A372" s="23" t="n">
        <f aca="false">Daily_Returns_Raw_Data!A349</f>
        <v>42874</v>
      </c>
      <c r="B372" s="17" t="n">
        <f aca="false">SUMPRODUCT(Daily_Returns_Raw_Data!B349:X349,$AB$2:$AX$2)</f>
        <v>0.00326728484280558</v>
      </c>
      <c r="C372" s="17" t="n">
        <f aca="false">-B372</f>
        <v>-0.00326728484280558</v>
      </c>
      <c r="D372" s="17" t="n">
        <f aca="false">IF(RANK(C372,$C$25:$C$526,0)&lt;=$H$7,1/$H$7,0)</f>
        <v>0</v>
      </c>
      <c r="E372" s="17" t="n">
        <f aca="false">MAX(C372-$H$19,0)</f>
        <v>0</v>
      </c>
    </row>
    <row r="373" customFormat="false" ht="15" hidden="false" customHeight="true" outlineLevel="0" collapsed="false">
      <c r="A373" s="23" t="n">
        <f aca="false">Daily_Returns_Raw_Data!A350</f>
        <v>42877</v>
      </c>
      <c r="B373" s="17" t="n">
        <f aca="false">SUMPRODUCT(Daily_Returns_Raw_Data!B350:X350,$AB$2:$AX$2)</f>
        <v>0.00404399268991619</v>
      </c>
      <c r="C373" s="17" t="n">
        <f aca="false">-B373</f>
        <v>-0.00404399268991619</v>
      </c>
      <c r="D373" s="17" t="n">
        <f aca="false">IF(RANK(C373,$C$25:$C$526,0)&lt;=$H$7,1/$H$7,0)</f>
        <v>0</v>
      </c>
      <c r="E373" s="17" t="n">
        <f aca="false">MAX(C373-$H$19,0)</f>
        <v>0</v>
      </c>
    </row>
    <row r="374" customFormat="false" ht="15" hidden="false" customHeight="true" outlineLevel="0" collapsed="false">
      <c r="A374" s="23" t="n">
        <f aca="false">Daily_Returns_Raw_Data!A351</f>
        <v>42878</v>
      </c>
      <c r="B374" s="17" t="n">
        <f aca="false">SUMPRODUCT(Daily_Returns_Raw_Data!B351:X351,$AB$2:$AX$2)</f>
        <v>-0.00153436935440952</v>
      </c>
      <c r="C374" s="17" t="n">
        <f aca="false">-B374</f>
        <v>0.00153436935440952</v>
      </c>
      <c r="D374" s="17" t="n">
        <f aca="false">IF(RANK(C374,$C$25:$C$526,0)&lt;=$H$7,1/$H$7,0)</f>
        <v>0</v>
      </c>
      <c r="E374" s="17" t="n">
        <f aca="false">MAX(C374-$H$19,0)</f>
        <v>0</v>
      </c>
    </row>
    <row r="375" customFormat="false" ht="15" hidden="false" customHeight="true" outlineLevel="0" collapsed="false">
      <c r="A375" s="23" t="n">
        <f aca="false">Daily_Returns_Raw_Data!A352</f>
        <v>42879</v>
      </c>
      <c r="B375" s="17" t="n">
        <f aca="false">SUMPRODUCT(Daily_Returns_Raw_Data!B352:X352,$AB$2:$AX$2)</f>
        <v>-0.00209075894475979</v>
      </c>
      <c r="C375" s="17" t="n">
        <f aca="false">-B375</f>
        <v>0.00209075894475979</v>
      </c>
      <c r="D375" s="17" t="n">
        <f aca="false">IF(RANK(C375,$C$25:$C$526,0)&lt;=$H$7,1/$H$7,0)</f>
        <v>0</v>
      </c>
      <c r="E375" s="17" t="n">
        <f aca="false">MAX(C375-$H$19,0)</f>
        <v>0</v>
      </c>
    </row>
    <row r="376" customFormat="false" ht="15" hidden="false" customHeight="true" outlineLevel="0" collapsed="false">
      <c r="A376" s="23" t="n">
        <f aca="false">Daily_Returns_Raw_Data!A353</f>
        <v>42880</v>
      </c>
      <c r="B376" s="17" t="n">
        <f aca="false">SUMPRODUCT(Daily_Returns_Raw_Data!B353:X353,$AB$2:$AX$2)</f>
        <v>0.00594405843888559</v>
      </c>
      <c r="C376" s="17" t="n">
        <f aca="false">-B376</f>
        <v>-0.00594405843888559</v>
      </c>
      <c r="D376" s="17" t="n">
        <f aca="false">IF(RANK(C376,$C$25:$C$526,0)&lt;=$H$7,1/$H$7,0)</f>
        <v>0</v>
      </c>
      <c r="E376" s="17" t="n">
        <f aca="false">MAX(C376-$H$19,0)</f>
        <v>0</v>
      </c>
    </row>
    <row r="377" customFormat="false" ht="15" hidden="false" customHeight="true" outlineLevel="0" collapsed="false">
      <c r="A377" s="23" t="n">
        <f aca="false">Daily_Returns_Raw_Data!A354</f>
        <v>42881</v>
      </c>
      <c r="B377" s="17" t="n">
        <f aca="false">SUMPRODUCT(Daily_Returns_Raw_Data!B354:X354,$AB$2:$AX$2)</f>
        <v>-0.00333552483736472</v>
      </c>
      <c r="C377" s="17" t="n">
        <f aca="false">-B377</f>
        <v>0.00333552483736472</v>
      </c>
      <c r="D377" s="17" t="n">
        <f aca="false">IF(RANK(C377,$C$25:$C$526,0)&lt;=$H$7,1/$H$7,0)</f>
        <v>0</v>
      </c>
      <c r="E377" s="17" t="n">
        <f aca="false">MAX(C377-$H$19,0)</f>
        <v>0</v>
      </c>
    </row>
    <row r="378" customFormat="false" ht="15" hidden="false" customHeight="true" outlineLevel="0" collapsed="false">
      <c r="A378" s="23" t="n">
        <f aca="false">Daily_Returns_Raw_Data!A355</f>
        <v>42885</v>
      </c>
      <c r="B378" s="17" t="n">
        <f aca="false">SUMPRODUCT(Daily_Returns_Raw_Data!B355:X355,$AB$2:$AX$2)</f>
        <v>-0.00701618670205734</v>
      </c>
      <c r="C378" s="17" t="n">
        <f aca="false">-B378</f>
        <v>0.00701618670205734</v>
      </c>
      <c r="D378" s="17" t="n">
        <f aca="false">IF(RANK(C378,$C$25:$C$526,0)&lt;=$H$7,1/$H$7,0)</f>
        <v>0</v>
      </c>
      <c r="E378" s="17" t="n">
        <f aca="false">MAX(C378-$H$19,0)</f>
        <v>0</v>
      </c>
    </row>
    <row r="379" customFormat="false" ht="15" hidden="false" customHeight="true" outlineLevel="0" collapsed="false">
      <c r="A379" s="23" t="n">
        <f aca="false">Daily_Returns_Raw_Data!A356</f>
        <v>42886</v>
      </c>
      <c r="B379" s="17" t="n">
        <f aca="false">SUMPRODUCT(Daily_Returns_Raw_Data!B356:X356,$AB$2:$AX$2)</f>
        <v>0.00977194757428406</v>
      </c>
      <c r="C379" s="17" t="n">
        <f aca="false">-B379</f>
        <v>-0.00977194757428406</v>
      </c>
      <c r="D379" s="17" t="n">
        <f aca="false">IF(RANK(C379,$C$25:$C$526,0)&lt;=$H$7,1/$H$7,0)</f>
        <v>0</v>
      </c>
      <c r="E379" s="17" t="n">
        <f aca="false">MAX(C379-$H$19,0)</f>
        <v>0</v>
      </c>
    </row>
    <row r="380" customFormat="false" ht="15" hidden="false" customHeight="true" outlineLevel="0" collapsed="false">
      <c r="A380" s="23" t="n">
        <f aca="false">Daily_Returns_Raw_Data!A357</f>
        <v>42887</v>
      </c>
      <c r="B380" s="17" t="n">
        <f aca="false">SUMPRODUCT(Daily_Returns_Raw_Data!B357:X357,$AB$2:$AX$2)</f>
        <v>-0.0033612037108602</v>
      </c>
      <c r="C380" s="17" t="n">
        <f aca="false">-B380</f>
        <v>0.0033612037108602</v>
      </c>
      <c r="D380" s="17" t="n">
        <f aca="false">IF(RANK(C380,$C$25:$C$526,0)&lt;=$H$7,1/$H$7,0)</f>
        <v>0</v>
      </c>
      <c r="E380" s="17" t="n">
        <f aca="false">MAX(C380-$H$19,0)</f>
        <v>0</v>
      </c>
    </row>
    <row r="381" customFormat="false" ht="15" hidden="false" customHeight="true" outlineLevel="0" collapsed="false">
      <c r="A381" s="23" t="n">
        <f aca="false">Daily_Returns_Raw_Data!A358</f>
        <v>42888</v>
      </c>
      <c r="B381" s="17" t="n">
        <f aca="false">SUMPRODUCT(Daily_Returns_Raw_Data!B358:X358,$AB$2:$AX$2)</f>
        <v>-0.00818958708786959</v>
      </c>
      <c r="C381" s="17" t="n">
        <f aca="false">-B381</f>
        <v>0.00818958708786959</v>
      </c>
      <c r="D381" s="17" t="n">
        <f aca="false">IF(RANK(C381,$C$25:$C$526,0)&lt;=$H$7,1/$H$7,0)</f>
        <v>0</v>
      </c>
      <c r="E381" s="17" t="n">
        <f aca="false">MAX(C381-$H$19,0)</f>
        <v>0</v>
      </c>
    </row>
    <row r="382" customFormat="false" ht="15" hidden="false" customHeight="true" outlineLevel="0" collapsed="false">
      <c r="A382" s="23" t="n">
        <f aca="false">Daily_Returns_Raw_Data!A359</f>
        <v>42891</v>
      </c>
      <c r="B382" s="17" t="n">
        <f aca="false">SUMPRODUCT(Daily_Returns_Raw_Data!B359:X359,$AB$2:$AX$2)</f>
        <v>-0.00128667548964374</v>
      </c>
      <c r="C382" s="17" t="n">
        <f aca="false">-B382</f>
        <v>0.00128667548964374</v>
      </c>
      <c r="D382" s="17" t="n">
        <f aca="false">IF(RANK(C382,$C$25:$C$526,0)&lt;=$H$7,1/$H$7,0)</f>
        <v>0</v>
      </c>
      <c r="E382" s="17" t="n">
        <f aca="false">MAX(C382-$H$19,0)</f>
        <v>0</v>
      </c>
    </row>
    <row r="383" customFormat="false" ht="15" hidden="false" customHeight="true" outlineLevel="0" collapsed="false">
      <c r="A383" s="23" t="n">
        <f aca="false">Daily_Returns_Raw_Data!A360</f>
        <v>42892</v>
      </c>
      <c r="B383" s="17" t="n">
        <f aca="false">SUMPRODUCT(Daily_Returns_Raw_Data!B360:X360,$AB$2:$AX$2)</f>
        <v>0.000421064287321925</v>
      </c>
      <c r="C383" s="17" t="n">
        <f aca="false">-B383</f>
        <v>-0.000421064287321925</v>
      </c>
      <c r="D383" s="17" t="n">
        <f aca="false">IF(RANK(C383,$C$25:$C$526,0)&lt;=$H$7,1/$H$7,0)</f>
        <v>0</v>
      </c>
      <c r="E383" s="17" t="n">
        <f aca="false">MAX(C383-$H$19,0)</f>
        <v>0</v>
      </c>
    </row>
    <row r="384" customFormat="false" ht="15" hidden="false" customHeight="true" outlineLevel="0" collapsed="false">
      <c r="A384" s="23" t="n">
        <f aca="false">Daily_Returns_Raw_Data!A361</f>
        <v>42893</v>
      </c>
      <c r="B384" s="17" t="n">
        <f aca="false">SUMPRODUCT(Daily_Returns_Raw_Data!B361:X361,$AB$2:$AX$2)</f>
        <v>0.00590509643522882</v>
      </c>
      <c r="C384" s="17" t="n">
        <f aca="false">-B384</f>
        <v>-0.00590509643522882</v>
      </c>
      <c r="D384" s="17" t="n">
        <f aca="false">IF(RANK(C384,$C$25:$C$526,0)&lt;=$H$7,1/$H$7,0)</f>
        <v>0</v>
      </c>
      <c r="E384" s="17" t="n">
        <f aca="false">MAX(C384-$H$19,0)</f>
        <v>0</v>
      </c>
    </row>
    <row r="385" customFormat="false" ht="15" hidden="false" customHeight="true" outlineLevel="0" collapsed="false">
      <c r="A385" s="23" t="n">
        <f aca="false">Daily_Returns_Raw_Data!A362</f>
        <v>42894</v>
      </c>
      <c r="B385" s="17" t="n">
        <f aca="false">SUMPRODUCT(Daily_Returns_Raw_Data!B362:X362,$AB$2:$AX$2)</f>
        <v>0.00466796832244684</v>
      </c>
      <c r="C385" s="17" t="n">
        <f aca="false">-B385</f>
        <v>-0.00466796832244684</v>
      </c>
      <c r="D385" s="17" t="n">
        <f aca="false">IF(RANK(C385,$C$25:$C$526,0)&lt;=$H$7,1/$H$7,0)</f>
        <v>0</v>
      </c>
      <c r="E385" s="17" t="n">
        <f aca="false">MAX(C385-$H$19,0)</f>
        <v>0</v>
      </c>
    </row>
    <row r="386" customFormat="false" ht="15" hidden="false" customHeight="true" outlineLevel="0" collapsed="false">
      <c r="A386" s="23" t="n">
        <f aca="false">Daily_Returns_Raw_Data!A363</f>
        <v>42895</v>
      </c>
      <c r="B386" s="17" t="n">
        <f aca="false">SUMPRODUCT(Daily_Returns_Raw_Data!B363:X363,$AB$2:$AX$2)</f>
        <v>0.00224291239226149</v>
      </c>
      <c r="C386" s="17" t="n">
        <f aca="false">-B386</f>
        <v>-0.00224291239226149</v>
      </c>
      <c r="D386" s="17" t="n">
        <f aca="false">IF(RANK(C386,$C$25:$C$526,0)&lt;=$H$7,1/$H$7,0)</f>
        <v>0</v>
      </c>
      <c r="E386" s="17" t="n">
        <f aca="false">MAX(C386-$H$19,0)</f>
        <v>0</v>
      </c>
    </row>
    <row r="387" customFormat="false" ht="15" hidden="false" customHeight="true" outlineLevel="0" collapsed="false">
      <c r="A387" s="23" t="n">
        <f aca="false">Daily_Returns_Raw_Data!A364</f>
        <v>42898</v>
      </c>
      <c r="B387" s="17" t="n">
        <f aca="false">SUMPRODUCT(Daily_Returns_Raw_Data!B364:X364,$AB$2:$AX$2)</f>
        <v>0.00263838776840816</v>
      </c>
      <c r="C387" s="17" t="n">
        <f aca="false">-B387</f>
        <v>-0.00263838776840816</v>
      </c>
      <c r="D387" s="17" t="n">
        <f aca="false">IF(RANK(C387,$C$25:$C$526,0)&lt;=$H$7,1/$H$7,0)</f>
        <v>0</v>
      </c>
      <c r="E387" s="17" t="n">
        <f aca="false">MAX(C387-$H$19,0)</f>
        <v>0</v>
      </c>
    </row>
    <row r="388" customFormat="false" ht="15" hidden="false" customHeight="true" outlineLevel="0" collapsed="false">
      <c r="A388" s="23" t="n">
        <f aca="false">Daily_Returns_Raw_Data!A365</f>
        <v>42899</v>
      </c>
      <c r="B388" s="17" t="n">
        <f aca="false">SUMPRODUCT(Daily_Returns_Raw_Data!B365:X365,$AB$2:$AX$2)</f>
        <v>-0.00256023659653846</v>
      </c>
      <c r="C388" s="17" t="n">
        <f aca="false">-B388</f>
        <v>0.00256023659653846</v>
      </c>
      <c r="D388" s="17" t="n">
        <f aca="false">IF(RANK(C388,$C$25:$C$526,0)&lt;=$H$7,1/$H$7,0)</f>
        <v>0</v>
      </c>
      <c r="E388" s="17" t="n">
        <f aca="false">MAX(C388-$H$19,0)</f>
        <v>0</v>
      </c>
    </row>
    <row r="389" customFormat="false" ht="15" hidden="false" customHeight="true" outlineLevel="0" collapsed="false">
      <c r="A389" s="23" t="n">
        <f aca="false">Daily_Returns_Raw_Data!A366</f>
        <v>42900</v>
      </c>
      <c r="B389" s="17" t="n">
        <f aca="false">SUMPRODUCT(Daily_Returns_Raw_Data!B366:X366,$AB$2:$AX$2)</f>
        <v>-0.0164833850114434</v>
      </c>
      <c r="C389" s="17" t="n">
        <f aca="false">-B389</f>
        <v>0.0164833850114434</v>
      </c>
      <c r="D389" s="17" t="n">
        <f aca="false">IF(RANK(C389,$C$25:$C$526,0)&lt;=$H$7,1/$H$7,0)</f>
        <v>0.0196078431372549</v>
      </c>
      <c r="E389" s="17" t="n">
        <f aca="false">MAX(C389-$H$19,0)</f>
        <v>0.00753693173476206</v>
      </c>
    </row>
    <row r="390" customFormat="false" ht="15" hidden="false" customHeight="true" outlineLevel="0" collapsed="false">
      <c r="A390" s="23" t="n">
        <f aca="false">Daily_Returns_Raw_Data!A367</f>
        <v>42901</v>
      </c>
      <c r="B390" s="17" t="n">
        <f aca="false">SUMPRODUCT(Daily_Returns_Raw_Data!B367:X367,$AB$2:$AX$2)</f>
        <v>-0.00636638952665071</v>
      </c>
      <c r="C390" s="17" t="n">
        <f aca="false">-B390</f>
        <v>0.00636638952665071</v>
      </c>
      <c r="D390" s="17" t="n">
        <f aca="false">IF(RANK(C390,$C$25:$C$526,0)&lt;=$H$7,1/$H$7,0)</f>
        <v>0</v>
      </c>
      <c r="E390" s="17" t="n">
        <f aca="false">MAX(C390-$H$19,0)</f>
        <v>0</v>
      </c>
    </row>
    <row r="391" customFormat="false" ht="15" hidden="false" customHeight="true" outlineLevel="0" collapsed="false">
      <c r="A391" s="23" t="n">
        <f aca="false">Daily_Returns_Raw_Data!A368</f>
        <v>42902</v>
      </c>
      <c r="B391" s="17" t="n">
        <f aca="false">SUMPRODUCT(Daily_Returns_Raw_Data!B368:X368,$AB$2:$AX$2)</f>
        <v>0.00676237993496001</v>
      </c>
      <c r="C391" s="17" t="n">
        <f aca="false">-B391</f>
        <v>-0.00676237993496001</v>
      </c>
      <c r="D391" s="17" t="n">
        <f aca="false">IF(RANK(C391,$C$25:$C$526,0)&lt;=$H$7,1/$H$7,0)</f>
        <v>0</v>
      </c>
      <c r="E391" s="17" t="n">
        <f aca="false">MAX(C391-$H$19,0)</f>
        <v>0</v>
      </c>
    </row>
    <row r="392" customFormat="false" ht="15" hidden="false" customHeight="true" outlineLevel="0" collapsed="false">
      <c r="A392" s="23" t="n">
        <f aca="false">Daily_Returns_Raw_Data!A369</f>
        <v>42905</v>
      </c>
      <c r="B392" s="17" t="n">
        <f aca="false">SUMPRODUCT(Daily_Returns_Raw_Data!B369:X369,$AB$2:$AX$2)</f>
        <v>-0.0102666362615042</v>
      </c>
      <c r="C392" s="17" t="n">
        <f aca="false">-B392</f>
        <v>0.0102666362615042</v>
      </c>
      <c r="D392" s="17" t="n">
        <f aca="false">IF(RANK(C392,$C$25:$C$526,0)&lt;=$H$7,1/$H$7,0)</f>
        <v>0.0196078431372549</v>
      </c>
      <c r="E392" s="17" t="n">
        <f aca="false">MAX(C392-$H$19,0)</f>
        <v>0.00132018298482292</v>
      </c>
    </row>
    <row r="393" customFormat="false" ht="15" hidden="false" customHeight="true" outlineLevel="0" collapsed="false">
      <c r="A393" s="23" t="n">
        <f aca="false">Daily_Returns_Raw_Data!A370</f>
        <v>42906</v>
      </c>
      <c r="B393" s="17" t="n">
        <f aca="false">SUMPRODUCT(Daily_Returns_Raw_Data!B370:X370,$AB$2:$AX$2)</f>
        <v>-0.00240525874542723</v>
      </c>
      <c r="C393" s="17" t="n">
        <f aca="false">-B393</f>
        <v>0.00240525874542723</v>
      </c>
      <c r="D393" s="17" t="n">
        <f aca="false">IF(RANK(C393,$C$25:$C$526,0)&lt;=$H$7,1/$H$7,0)</f>
        <v>0</v>
      </c>
      <c r="E393" s="17" t="n">
        <f aca="false">MAX(C393-$H$19,0)</f>
        <v>0</v>
      </c>
    </row>
    <row r="394" customFormat="false" ht="15" hidden="false" customHeight="true" outlineLevel="0" collapsed="false">
      <c r="A394" s="23" t="n">
        <f aca="false">Daily_Returns_Raw_Data!A371</f>
        <v>42907</v>
      </c>
      <c r="B394" s="17" t="n">
        <f aca="false">SUMPRODUCT(Daily_Returns_Raw_Data!B371:X371,$AB$2:$AX$2)</f>
        <v>0.00450388163146045</v>
      </c>
      <c r="C394" s="17" t="n">
        <f aca="false">-B394</f>
        <v>-0.00450388163146045</v>
      </c>
      <c r="D394" s="17" t="n">
        <f aca="false">IF(RANK(C394,$C$25:$C$526,0)&lt;=$H$7,1/$H$7,0)</f>
        <v>0</v>
      </c>
      <c r="E394" s="17" t="n">
        <f aca="false">MAX(C394-$H$19,0)</f>
        <v>0</v>
      </c>
    </row>
    <row r="395" customFormat="false" ht="15" hidden="false" customHeight="true" outlineLevel="0" collapsed="false">
      <c r="A395" s="23" t="n">
        <f aca="false">Daily_Returns_Raw_Data!A372</f>
        <v>42908</v>
      </c>
      <c r="B395" s="17" t="n">
        <f aca="false">SUMPRODUCT(Daily_Returns_Raw_Data!B372:X372,$AB$2:$AX$2)</f>
        <v>0.000979058748988873</v>
      </c>
      <c r="C395" s="17" t="n">
        <f aca="false">-B395</f>
        <v>-0.000979058748988873</v>
      </c>
      <c r="D395" s="17" t="n">
        <f aca="false">IF(RANK(C395,$C$25:$C$526,0)&lt;=$H$7,1/$H$7,0)</f>
        <v>0</v>
      </c>
      <c r="E395" s="17" t="n">
        <f aca="false">MAX(C395-$H$19,0)</f>
        <v>0</v>
      </c>
    </row>
    <row r="396" customFormat="false" ht="15" hidden="false" customHeight="true" outlineLevel="0" collapsed="false">
      <c r="A396" s="23" t="n">
        <f aca="false">Daily_Returns_Raw_Data!A373</f>
        <v>42909</v>
      </c>
      <c r="B396" s="17" t="n">
        <f aca="false">SUMPRODUCT(Daily_Returns_Raw_Data!B373:X373,$AB$2:$AX$2)</f>
        <v>0.00618548169802707</v>
      </c>
      <c r="C396" s="17" t="n">
        <f aca="false">-B396</f>
        <v>-0.00618548169802707</v>
      </c>
      <c r="D396" s="17" t="n">
        <f aca="false">IF(RANK(C396,$C$25:$C$526,0)&lt;=$H$7,1/$H$7,0)</f>
        <v>0</v>
      </c>
      <c r="E396" s="17" t="n">
        <f aca="false">MAX(C396-$H$19,0)</f>
        <v>0</v>
      </c>
    </row>
    <row r="397" customFormat="false" ht="15" hidden="false" customHeight="true" outlineLevel="0" collapsed="false">
      <c r="A397" s="23" t="n">
        <f aca="false">Daily_Returns_Raw_Data!A374</f>
        <v>42912</v>
      </c>
      <c r="B397" s="17" t="n">
        <f aca="false">SUMPRODUCT(Daily_Returns_Raw_Data!B374:X374,$AB$2:$AX$2)</f>
        <v>-0.00654391305819305</v>
      </c>
      <c r="C397" s="17" t="n">
        <f aca="false">-B397</f>
        <v>0.00654391305819305</v>
      </c>
      <c r="D397" s="17" t="n">
        <f aca="false">IF(RANK(C397,$C$25:$C$526,0)&lt;=$H$7,1/$H$7,0)</f>
        <v>0</v>
      </c>
      <c r="E397" s="17" t="n">
        <f aca="false">MAX(C397-$H$19,0)</f>
        <v>0</v>
      </c>
    </row>
    <row r="398" customFormat="false" ht="15" hidden="false" customHeight="true" outlineLevel="0" collapsed="false">
      <c r="A398" s="23" t="n">
        <f aca="false">Daily_Returns_Raw_Data!A375</f>
        <v>42913</v>
      </c>
      <c r="B398" s="17" t="n">
        <f aca="false">SUMPRODUCT(Daily_Returns_Raw_Data!B375:X375,$AB$2:$AX$2)</f>
        <v>0.0118849866450665</v>
      </c>
      <c r="C398" s="17" t="n">
        <f aca="false">-B398</f>
        <v>-0.0118849866450665</v>
      </c>
      <c r="D398" s="17" t="n">
        <f aca="false">IF(RANK(C398,$C$25:$C$526,0)&lt;=$H$7,1/$H$7,0)</f>
        <v>0</v>
      </c>
      <c r="E398" s="17" t="n">
        <f aca="false">MAX(C398-$H$19,0)</f>
        <v>0</v>
      </c>
    </row>
    <row r="399" customFormat="false" ht="15" hidden="false" customHeight="true" outlineLevel="0" collapsed="false">
      <c r="A399" s="23" t="n">
        <f aca="false">Daily_Returns_Raw_Data!A376</f>
        <v>42914</v>
      </c>
      <c r="B399" s="17" t="n">
        <f aca="false">SUMPRODUCT(Daily_Returns_Raw_Data!B376:X376,$AB$2:$AX$2)</f>
        <v>-0.00423532834206832</v>
      </c>
      <c r="C399" s="17" t="n">
        <f aca="false">-B399</f>
        <v>0.00423532834206832</v>
      </c>
      <c r="D399" s="17" t="n">
        <f aca="false">IF(RANK(C399,$C$25:$C$526,0)&lt;=$H$7,1/$H$7,0)</f>
        <v>0</v>
      </c>
      <c r="E399" s="17" t="n">
        <f aca="false">MAX(C399-$H$19,0)</f>
        <v>0</v>
      </c>
    </row>
    <row r="400" customFormat="false" ht="15" hidden="false" customHeight="true" outlineLevel="0" collapsed="false">
      <c r="A400" s="23" t="n">
        <f aca="false">Daily_Returns_Raw_Data!A377</f>
        <v>42915</v>
      </c>
      <c r="B400" s="17" t="n">
        <f aca="false">SUMPRODUCT(Daily_Returns_Raw_Data!B377:X377,$AB$2:$AX$2)</f>
        <v>0.000386197243841112</v>
      </c>
      <c r="C400" s="17" t="n">
        <f aca="false">-B400</f>
        <v>-0.000386197243841112</v>
      </c>
      <c r="D400" s="17" t="n">
        <f aca="false">IF(RANK(C400,$C$25:$C$526,0)&lt;=$H$7,1/$H$7,0)</f>
        <v>0</v>
      </c>
      <c r="E400" s="17" t="n">
        <f aca="false">MAX(C400-$H$19,0)</f>
        <v>0</v>
      </c>
    </row>
    <row r="401" customFormat="false" ht="15" hidden="false" customHeight="true" outlineLevel="0" collapsed="false">
      <c r="A401" s="23" t="n">
        <f aca="false">Daily_Returns_Raw_Data!A378</f>
        <v>42916</v>
      </c>
      <c r="B401" s="17" t="n">
        <f aca="false">SUMPRODUCT(Daily_Returns_Raw_Data!B378:X378,$AB$2:$AX$2)</f>
        <v>0.0070718173754014</v>
      </c>
      <c r="C401" s="17" t="n">
        <f aca="false">-B401</f>
        <v>-0.0070718173754014</v>
      </c>
      <c r="D401" s="17" t="n">
        <f aca="false">IF(RANK(C401,$C$25:$C$526,0)&lt;=$H$7,1/$H$7,0)</f>
        <v>0</v>
      </c>
      <c r="E401" s="17" t="n">
        <f aca="false">MAX(C401-$H$19,0)</f>
        <v>0</v>
      </c>
    </row>
    <row r="402" customFormat="false" ht="15" hidden="false" customHeight="true" outlineLevel="0" collapsed="false">
      <c r="A402" s="23" t="n">
        <f aca="false">Daily_Returns_Raw_Data!A379</f>
        <v>42919</v>
      </c>
      <c r="B402" s="17" t="n">
        <f aca="false">SUMPRODUCT(Daily_Returns_Raw_Data!B379:X379,$AB$2:$AX$2)</f>
        <v>-0.00579691691471785</v>
      </c>
      <c r="C402" s="17" t="n">
        <f aca="false">-B402</f>
        <v>0.00579691691471785</v>
      </c>
      <c r="D402" s="17" t="n">
        <f aca="false">IF(RANK(C402,$C$25:$C$526,0)&lt;=$H$7,1/$H$7,0)</f>
        <v>0</v>
      </c>
      <c r="E402" s="17" t="n">
        <f aca="false">MAX(C402-$H$19,0)</f>
        <v>0</v>
      </c>
    </row>
    <row r="403" customFormat="false" ht="15" hidden="false" customHeight="true" outlineLevel="0" collapsed="false">
      <c r="A403" s="23" t="n">
        <f aca="false">Daily_Returns_Raw_Data!A380</f>
        <v>42921</v>
      </c>
      <c r="B403" s="17" t="n">
        <f aca="false">SUMPRODUCT(Daily_Returns_Raw_Data!B380:X380,$AB$2:$AX$2)</f>
        <v>-0.0112686619619136</v>
      </c>
      <c r="C403" s="17" t="n">
        <f aca="false">-B403</f>
        <v>0.0112686619619136</v>
      </c>
      <c r="D403" s="17" t="n">
        <f aca="false">IF(RANK(C403,$C$25:$C$526,0)&lt;=$H$7,1/$H$7,0)</f>
        <v>0.0196078431372549</v>
      </c>
      <c r="E403" s="17" t="n">
        <f aca="false">MAX(C403-$H$19,0)</f>
        <v>0.0023222086852323</v>
      </c>
    </row>
    <row r="404" customFormat="false" ht="15" hidden="false" customHeight="true" outlineLevel="0" collapsed="false">
      <c r="A404" s="23" t="n">
        <f aca="false">Daily_Returns_Raw_Data!A381</f>
        <v>42922</v>
      </c>
      <c r="B404" s="17" t="n">
        <f aca="false">SUMPRODUCT(Daily_Returns_Raw_Data!B381:X381,$AB$2:$AX$2)</f>
        <v>-0.00050300898718093</v>
      </c>
      <c r="C404" s="17" t="n">
        <f aca="false">-B404</f>
        <v>0.00050300898718093</v>
      </c>
      <c r="D404" s="17" t="n">
        <f aca="false">IF(RANK(C404,$C$25:$C$526,0)&lt;=$H$7,1/$H$7,0)</f>
        <v>0</v>
      </c>
      <c r="E404" s="17" t="n">
        <f aca="false">MAX(C404-$H$19,0)</f>
        <v>0</v>
      </c>
    </row>
    <row r="405" customFormat="false" ht="15" hidden="false" customHeight="true" outlineLevel="0" collapsed="false">
      <c r="A405" s="23" t="n">
        <f aca="false">Daily_Returns_Raw_Data!A382</f>
        <v>42923</v>
      </c>
      <c r="B405" s="17" t="n">
        <f aca="false">SUMPRODUCT(Daily_Returns_Raw_Data!B382:X382,$AB$2:$AX$2)</f>
        <v>0.00595891846908269</v>
      </c>
      <c r="C405" s="17" t="n">
        <f aca="false">-B405</f>
        <v>-0.00595891846908269</v>
      </c>
      <c r="D405" s="17" t="n">
        <f aca="false">IF(RANK(C405,$C$25:$C$526,0)&lt;=$H$7,1/$H$7,0)</f>
        <v>0</v>
      </c>
      <c r="E405" s="17" t="n">
        <f aca="false">MAX(C405-$H$19,0)</f>
        <v>0</v>
      </c>
    </row>
    <row r="406" customFormat="false" ht="15" hidden="false" customHeight="true" outlineLevel="0" collapsed="false">
      <c r="A406" s="23" t="n">
        <f aca="false">Daily_Returns_Raw_Data!A383</f>
        <v>42926</v>
      </c>
      <c r="B406" s="17" t="n">
        <f aca="false">SUMPRODUCT(Daily_Returns_Raw_Data!B383:X383,$AB$2:$AX$2)</f>
        <v>0.00161744016176138</v>
      </c>
      <c r="C406" s="17" t="n">
        <f aca="false">-B406</f>
        <v>-0.00161744016176138</v>
      </c>
      <c r="D406" s="17" t="n">
        <f aca="false">IF(RANK(C406,$C$25:$C$526,0)&lt;=$H$7,1/$H$7,0)</f>
        <v>0</v>
      </c>
      <c r="E406" s="17" t="n">
        <f aca="false">MAX(C406-$H$19,0)</f>
        <v>0</v>
      </c>
    </row>
    <row r="407" customFormat="false" ht="15" hidden="false" customHeight="true" outlineLevel="0" collapsed="false">
      <c r="A407" s="23" t="n">
        <f aca="false">Daily_Returns_Raw_Data!A384</f>
        <v>42927</v>
      </c>
      <c r="B407" s="17" t="n">
        <f aca="false">SUMPRODUCT(Daily_Returns_Raw_Data!B384:X384,$AB$2:$AX$2)</f>
        <v>0.00982290575197526</v>
      </c>
      <c r="C407" s="17" t="n">
        <f aca="false">-B407</f>
        <v>-0.00982290575197526</v>
      </c>
      <c r="D407" s="17" t="n">
        <f aca="false">IF(RANK(C407,$C$25:$C$526,0)&lt;=$H$7,1/$H$7,0)</f>
        <v>0</v>
      </c>
      <c r="E407" s="17" t="n">
        <f aca="false">MAX(C407-$H$19,0)</f>
        <v>0</v>
      </c>
    </row>
    <row r="408" customFormat="false" ht="15" hidden="false" customHeight="true" outlineLevel="0" collapsed="false">
      <c r="A408" s="23" t="n">
        <f aca="false">Daily_Returns_Raw_Data!A385</f>
        <v>42928</v>
      </c>
      <c r="B408" s="17" t="n">
        <f aca="false">SUMPRODUCT(Daily_Returns_Raw_Data!B385:X385,$AB$2:$AX$2)</f>
        <v>0.00134820402647756</v>
      </c>
      <c r="C408" s="17" t="n">
        <f aca="false">-B408</f>
        <v>-0.00134820402647756</v>
      </c>
      <c r="D408" s="17" t="n">
        <f aca="false">IF(RANK(C408,$C$25:$C$526,0)&lt;=$H$7,1/$H$7,0)</f>
        <v>0</v>
      </c>
      <c r="E408" s="17" t="n">
        <f aca="false">MAX(C408-$H$19,0)</f>
        <v>0</v>
      </c>
    </row>
    <row r="409" customFormat="false" ht="15" hidden="false" customHeight="true" outlineLevel="0" collapsed="false">
      <c r="A409" s="23" t="n">
        <f aca="false">Daily_Returns_Raw_Data!A386</f>
        <v>42929</v>
      </c>
      <c r="B409" s="17" t="n">
        <f aca="false">SUMPRODUCT(Daily_Returns_Raw_Data!B386:X386,$AB$2:$AX$2)</f>
        <v>0.00521804423424458</v>
      </c>
      <c r="C409" s="17" t="n">
        <f aca="false">-B409</f>
        <v>-0.00521804423424458</v>
      </c>
      <c r="D409" s="17" t="n">
        <f aca="false">IF(RANK(C409,$C$25:$C$526,0)&lt;=$H$7,1/$H$7,0)</f>
        <v>0</v>
      </c>
      <c r="E409" s="17" t="n">
        <f aca="false">MAX(C409-$H$19,0)</f>
        <v>0</v>
      </c>
    </row>
    <row r="410" customFormat="false" ht="15" hidden="false" customHeight="true" outlineLevel="0" collapsed="false">
      <c r="A410" s="23" t="n">
        <f aca="false">Daily_Returns_Raw_Data!A387</f>
        <v>42930</v>
      </c>
      <c r="B410" s="17" t="n">
        <f aca="false">SUMPRODUCT(Daily_Returns_Raw_Data!B387:X387,$AB$2:$AX$2)</f>
        <v>-0.000858999679796939</v>
      </c>
      <c r="C410" s="17" t="n">
        <f aca="false">-B410</f>
        <v>0.000858999679796939</v>
      </c>
      <c r="D410" s="17" t="n">
        <f aca="false">IF(RANK(C410,$C$25:$C$526,0)&lt;=$H$7,1/$H$7,0)</f>
        <v>0</v>
      </c>
      <c r="E410" s="17" t="n">
        <f aca="false">MAX(C410-$H$19,0)</f>
        <v>0</v>
      </c>
    </row>
    <row r="411" customFormat="false" ht="15" hidden="false" customHeight="true" outlineLevel="0" collapsed="false">
      <c r="A411" s="23" t="n">
        <f aca="false">Daily_Returns_Raw_Data!A388</f>
        <v>42933</v>
      </c>
      <c r="B411" s="17" t="n">
        <f aca="false">SUMPRODUCT(Daily_Returns_Raw_Data!B388:X388,$AB$2:$AX$2)</f>
        <v>-0.00031273678842254</v>
      </c>
      <c r="C411" s="17" t="n">
        <f aca="false">-B411</f>
        <v>0.00031273678842254</v>
      </c>
      <c r="D411" s="17" t="n">
        <f aca="false">IF(RANK(C411,$C$25:$C$526,0)&lt;=$H$7,1/$H$7,0)</f>
        <v>0</v>
      </c>
      <c r="E411" s="17" t="n">
        <f aca="false">MAX(C411-$H$19,0)</f>
        <v>0</v>
      </c>
    </row>
    <row r="412" customFormat="false" ht="15" hidden="false" customHeight="true" outlineLevel="0" collapsed="false">
      <c r="A412" s="23" t="n">
        <f aca="false">Daily_Returns_Raw_Data!A389</f>
        <v>42934</v>
      </c>
      <c r="B412" s="17" t="n">
        <f aca="false">SUMPRODUCT(Daily_Returns_Raw_Data!B389:X389,$AB$2:$AX$2)</f>
        <v>0.00537608525520231</v>
      </c>
      <c r="C412" s="17" t="n">
        <f aca="false">-B412</f>
        <v>-0.00537608525520231</v>
      </c>
      <c r="D412" s="17" t="n">
        <f aca="false">IF(RANK(C412,$C$25:$C$526,0)&lt;=$H$7,1/$H$7,0)</f>
        <v>0</v>
      </c>
      <c r="E412" s="17" t="n">
        <f aca="false">MAX(C412-$H$19,0)</f>
        <v>0</v>
      </c>
    </row>
    <row r="413" customFormat="false" ht="15" hidden="false" customHeight="true" outlineLevel="0" collapsed="false">
      <c r="A413" s="23" t="n">
        <f aca="false">Daily_Returns_Raw_Data!A390</f>
        <v>42935</v>
      </c>
      <c r="B413" s="17" t="n">
        <f aca="false">SUMPRODUCT(Daily_Returns_Raw_Data!B390:X390,$AB$2:$AX$2)</f>
        <v>-0.00197563273730682</v>
      </c>
      <c r="C413" s="17" t="n">
        <f aca="false">-B413</f>
        <v>0.00197563273730682</v>
      </c>
      <c r="D413" s="17" t="n">
        <f aca="false">IF(RANK(C413,$C$25:$C$526,0)&lt;=$H$7,1/$H$7,0)</f>
        <v>0</v>
      </c>
      <c r="E413" s="17" t="n">
        <f aca="false">MAX(C413-$H$19,0)</f>
        <v>0</v>
      </c>
    </row>
    <row r="414" customFormat="false" ht="15" hidden="false" customHeight="true" outlineLevel="0" collapsed="false">
      <c r="A414" s="23" t="n">
        <f aca="false">Daily_Returns_Raw_Data!A391</f>
        <v>42936</v>
      </c>
      <c r="B414" s="17" t="n">
        <f aca="false">SUMPRODUCT(Daily_Returns_Raw_Data!B391:X391,$AB$2:$AX$2)</f>
        <v>-0.00188052169452169</v>
      </c>
      <c r="C414" s="17" t="n">
        <f aca="false">-B414</f>
        <v>0.00188052169452169</v>
      </c>
      <c r="D414" s="17" t="n">
        <f aca="false">IF(RANK(C414,$C$25:$C$526,0)&lt;=$H$7,1/$H$7,0)</f>
        <v>0</v>
      </c>
      <c r="E414" s="17" t="n">
        <f aca="false">MAX(C414-$H$19,0)</f>
        <v>0</v>
      </c>
    </row>
    <row r="415" customFormat="false" ht="15" hidden="false" customHeight="true" outlineLevel="0" collapsed="false">
      <c r="A415" s="23" t="n">
        <f aca="false">Daily_Returns_Raw_Data!A392</f>
        <v>42937</v>
      </c>
      <c r="B415" s="17" t="n">
        <f aca="false">SUMPRODUCT(Daily_Returns_Raw_Data!B392:X392,$AB$2:$AX$2)</f>
        <v>-0.00118283899264031</v>
      </c>
      <c r="C415" s="17" t="n">
        <f aca="false">-B415</f>
        <v>0.00118283899264031</v>
      </c>
      <c r="D415" s="17" t="n">
        <f aca="false">IF(RANK(C415,$C$25:$C$526,0)&lt;=$H$7,1/$H$7,0)</f>
        <v>0</v>
      </c>
      <c r="E415" s="17" t="n">
        <f aca="false">MAX(C415-$H$19,0)</f>
        <v>0</v>
      </c>
    </row>
    <row r="416" customFormat="false" ht="15" hidden="false" customHeight="true" outlineLevel="0" collapsed="false">
      <c r="A416" s="23" t="n">
        <f aca="false">Daily_Returns_Raw_Data!A393</f>
        <v>42940</v>
      </c>
      <c r="B416" s="17" t="n">
        <f aca="false">SUMPRODUCT(Daily_Returns_Raw_Data!B393:X393,$AB$2:$AX$2)</f>
        <v>0.0057109416867684</v>
      </c>
      <c r="C416" s="17" t="n">
        <f aca="false">-B416</f>
        <v>-0.0057109416867684</v>
      </c>
      <c r="D416" s="17" t="n">
        <f aca="false">IF(RANK(C416,$C$25:$C$526,0)&lt;=$H$7,1/$H$7,0)</f>
        <v>0</v>
      </c>
      <c r="E416" s="17" t="n">
        <f aca="false">MAX(C416-$H$19,0)</f>
        <v>0</v>
      </c>
    </row>
    <row r="417" customFormat="false" ht="15" hidden="false" customHeight="true" outlineLevel="0" collapsed="false">
      <c r="A417" s="23" t="n">
        <f aca="false">Daily_Returns_Raw_Data!A394</f>
        <v>42941</v>
      </c>
      <c r="B417" s="17" t="n">
        <f aca="false">SUMPRODUCT(Daily_Returns_Raw_Data!B394:X394,$AB$2:$AX$2)</f>
        <v>-0.00246462181966023</v>
      </c>
      <c r="C417" s="17" t="n">
        <f aca="false">-B417</f>
        <v>0.00246462181966023</v>
      </c>
      <c r="D417" s="17" t="n">
        <f aca="false">IF(RANK(C417,$C$25:$C$526,0)&lt;=$H$7,1/$H$7,0)</f>
        <v>0</v>
      </c>
      <c r="E417" s="17" t="n">
        <f aca="false">MAX(C417-$H$19,0)</f>
        <v>0</v>
      </c>
    </row>
    <row r="418" customFormat="false" ht="15" hidden="false" customHeight="true" outlineLevel="0" collapsed="false">
      <c r="A418" s="23" t="n">
        <f aca="false">Daily_Returns_Raw_Data!A395</f>
        <v>42942</v>
      </c>
      <c r="B418" s="17" t="n">
        <f aca="false">SUMPRODUCT(Daily_Returns_Raw_Data!B395:X395,$AB$2:$AX$2)</f>
        <v>0.00599610918135397</v>
      </c>
      <c r="C418" s="17" t="n">
        <f aca="false">-B418</f>
        <v>-0.00599610918135397</v>
      </c>
      <c r="D418" s="17" t="n">
        <f aca="false">IF(RANK(C418,$C$25:$C$526,0)&lt;=$H$7,1/$H$7,0)</f>
        <v>0</v>
      </c>
      <c r="E418" s="17" t="n">
        <f aca="false">MAX(C418-$H$19,0)</f>
        <v>0</v>
      </c>
    </row>
    <row r="419" customFormat="false" ht="15" hidden="false" customHeight="true" outlineLevel="0" collapsed="false">
      <c r="A419" s="23" t="n">
        <f aca="false">Daily_Returns_Raw_Data!A396</f>
        <v>42943</v>
      </c>
      <c r="B419" s="17" t="n">
        <f aca="false">SUMPRODUCT(Daily_Returns_Raw_Data!B396:X396,$AB$2:$AX$2)</f>
        <v>-0.00422150355307714</v>
      </c>
      <c r="C419" s="17" t="n">
        <f aca="false">-B419</f>
        <v>0.00422150355307714</v>
      </c>
      <c r="D419" s="17" t="n">
        <f aca="false">IF(RANK(C419,$C$25:$C$526,0)&lt;=$H$7,1/$H$7,0)</f>
        <v>0</v>
      </c>
      <c r="E419" s="17" t="n">
        <f aca="false">MAX(C419-$H$19,0)</f>
        <v>0</v>
      </c>
    </row>
    <row r="420" customFormat="false" ht="15" hidden="false" customHeight="true" outlineLevel="0" collapsed="false">
      <c r="A420" s="23" t="n">
        <f aca="false">Daily_Returns_Raw_Data!A397</f>
        <v>42944</v>
      </c>
      <c r="B420" s="17" t="n">
        <f aca="false">SUMPRODUCT(Daily_Returns_Raw_Data!B397:X397,$AB$2:$AX$2)</f>
        <v>0.00439391561130899</v>
      </c>
      <c r="C420" s="17" t="n">
        <f aca="false">-B420</f>
        <v>-0.00439391561130899</v>
      </c>
      <c r="D420" s="17" t="n">
        <f aca="false">IF(RANK(C420,$C$25:$C$526,0)&lt;=$H$7,1/$H$7,0)</f>
        <v>0</v>
      </c>
      <c r="E420" s="17" t="n">
        <f aca="false">MAX(C420-$H$19,0)</f>
        <v>0</v>
      </c>
    </row>
    <row r="421" customFormat="false" ht="15" hidden="false" customHeight="true" outlineLevel="0" collapsed="false">
      <c r="A421" s="23" t="n">
        <f aca="false">Daily_Returns_Raw_Data!A398</f>
        <v>42947</v>
      </c>
      <c r="B421" s="17" t="n">
        <f aca="false">SUMPRODUCT(Daily_Returns_Raw_Data!B398:X398,$AB$2:$AX$2)</f>
        <v>-0.000597921153148351</v>
      </c>
      <c r="C421" s="17" t="n">
        <f aca="false">-B421</f>
        <v>0.000597921153148351</v>
      </c>
      <c r="D421" s="17" t="n">
        <f aca="false">IF(RANK(C421,$C$25:$C$526,0)&lt;=$H$7,1/$H$7,0)</f>
        <v>0</v>
      </c>
      <c r="E421" s="17" t="n">
        <f aca="false">MAX(C421-$H$19,0)</f>
        <v>0</v>
      </c>
    </row>
    <row r="422" customFormat="false" ht="15" hidden="false" customHeight="true" outlineLevel="0" collapsed="false">
      <c r="A422" s="23" t="n">
        <f aca="false">Daily_Returns_Raw_Data!A399</f>
        <v>42948</v>
      </c>
      <c r="B422" s="17" t="n">
        <f aca="false">SUMPRODUCT(Daily_Returns_Raw_Data!B399:X399,$AB$2:$AX$2)</f>
        <v>-0.00449423828368452</v>
      </c>
      <c r="C422" s="17" t="n">
        <f aca="false">-B422</f>
        <v>0.00449423828368452</v>
      </c>
      <c r="D422" s="17" t="n">
        <f aca="false">IF(RANK(C422,$C$25:$C$526,0)&lt;=$H$7,1/$H$7,0)</f>
        <v>0</v>
      </c>
      <c r="E422" s="17" t="n">
        <f aca="false">MAX(C422-$H$19,0)</f>
        <v>0</v>
      </c>
    </row>
    <row r="423" customFormat="false" ht="15" hidden="false" customHeight="true" outlineLevel="0" collapsed="false">
      <c r="A423" s="23" t="n">
        <f aca="false">Daily_Returns_Raw_Data!A400</f>
        <v>42949</v>
      </c>
      <c r="B423" s="17" t="n">
        <f aca="false">SUMPRODUCT(Daily_Returns_Raw_Data!B400:X400,$AB$2:$AX$2)</f>
        <v>-0.0101415889876551</v>
      </c>
      <c r="C423" s="17" t="n">
        <f aca="false">-B423</f>
        <v>0.0101415889876551</v>
      </c>
      <c r="D423" s="17" t="n">
        <f aca="false">IF(RANK(C423,$C$25:$C$526,0)&lt;=$H$7,1/$H$7,0)</f>
        <v>0.0196078431372549</v>
      </c>
      <c r="E423" s="17" t="n">
        <f aca="false">MAX(C423-$H$19,0)</f>
        <v>0.0011951357109738</v>
      </c>
    </row>
    <row r="424" customFormat="false" ht="15" hidden="false" customHeight="true" outlineLevel="0" collapsed="false">
      <c r="A424" s="23" t="n">
        <f aca="false">Daily_Returns_Raw_Data!A401</f>
        <v>42950</v>
      </c>
      <c r="B424" s="17" t="n">
        <f aca="false">SUMPRODUCT(Daily_Returns_Raw_Data!B401:X401,$AB$2:$AX$2)</f>
        <v>0.00196849591746898</v>
      </c>
      <c r="C424" s="17" t="n">
        <f aca="false">-B424</f>
        <v>-0.00196849591746898</v>
      </c>
      <c r="D424" s="17" t="n">
        <f aca="false">IF(RANK(C424,$C$25:$C$526,0)&lt;=$H$7,1/$H$7,0)</f>
        <v>0</v>
      </c>
      <c r="E424" s="17" t="n">
        <f aca="false">MAX(C424-$H$19,0)</f>
        <v>0</v>
      </c>
    </row>
    <row r="425" customFormat="false" ht="15" hidden="false" customHeight="true" outlineLevel="0" collapsed="false">
      <c r="A425" s="23" t="n">
        <f aca="false">Daily_Returns_Raw_Data!A402</f>
        <v>42951</v>
      </c>
      <c r="B425" s="17" t="n">
        <f aca="false">SUMPRODUCT(Daily_Returns_Raw_Data!B402:X402,$AB$2:$AX$2)</f>
        <v>0.00427774352783424</v>
      </c>
      <c r="C425" s="17" t="n">
        <f aca="false">-B425</f>
        <v>-0.00427774352783424</v>
      </c>
      <c r="D425" s="17" t="n">
        <f aca="false">IF(RANK(C425,$C$25:$C$526,0)&lt;=$H$7,1/$H$7,0)</f>
        <v>0</v>
      </c>
      <c r="E425" s="17" t="n">
        <f aca="false">MAX(C425-$H$19,0)</f>
        <v>0</v>
      </c>
    </row>
    <row r="426" customFormat="false" ht="15" hidden="false" customHeight="true" outlineLevel="0" collapsed="false">
      <c r="A426" s="23" t="n">
        <f aca="false">Daily_Returns_Raw_Data!A403</f>
        <v>42954</v>
      </c>
      <c r="B426" s="17" t="n">
        <f aca="false">SUMPRODUCT(Daily_Returns_Raw_Data!B403:X403,$AB$2:$AX$2)</f>
        <v>-0.00231970402547727</v>
      </c>
      <c r="C426" s="17" t="n">
        <f aca="false">-B426</f>
        <v>0.00231970402547727</v>
      </c>
      <c r="D426" s="17" t="n">
        <f aca="false">IF(RANK(C426,$C$25:$C$526,0)&lt;=$H$7,1/$H$7,0)</f>
        <v>0</v>
      </c>
      <c r="E426" s="17" t="n">
        <f aca="false">MAX(C426-$H$19,0)</f>
        <v>0</v>
      </c>
    </row>
    <row r="427" customFormat="false" ht="15" hidden="false" customHeight="true" outlineLevel="0" collapsed="false">
      <c r="A427" s="23" t="n">
        <f aca="false">Daily_Returns_Raw_Data!A404</f>
        <v>42955</v>
      </c>
      <c r="B427" s="17" t="n">
        <f aca="false">SUMPRODUCT(Daily_Returns_Raw_Data!B404:X404,$AB$2:$AX$2)</f>
        <v>-0.0012620246080733</v>
      </c>
      <c r="C427" s="17" t="n">
        <f aca="false">-B427</f>
        <v>0.0012620246080733</v>
      </c>
      <c r="D427" s="17" t="n">
        <f aca="false">IF(RANK(C427,$C$25:$C$526,0)&lt;=$H$7,1/$H$7,0)</f>
        <v>0</v>
      </c>
      <c r="E427" s="17" t="n">
        <f aca="false">MAX(C427-$H$19,0)</f>
        <v>0</v>
      </c>
    </row>
    <row r="428" customFormat="false" ht="15" hidden="false" customHeight="true" outlineLevel="0" collapsed="false">
      <c r="A428" s="23" t="n">
        <f aca="false">Daily_Returns_Raw_Data!A405</f>
        <v>42956</v>
      </c>
      <c r="B428" s="17" t="n">
        <f aca="false">SUMPRODUCT(Daily_Returns_Raw_Data!B405:X405,$AB$2:$AX$2)</f>
        <v>-0.0124260249301366</v>
      </c>
      <c r="C428" s="17" t="n">
        <f aca="false">-B428</f>
        <v>0.0124260249301366</v>
      </c>
      <c r="D428" s="17" t="n">
        <f aca="false">IF(RANK(C428,$C$25:$C$526,0)&lt;=$H$7,1/$H$7,0)</f>
        <v>0.0196078431372549</v>
      </c>
      <c r="E428" s="17" t="n">
        <f aca="false">MAX(C428-$H$19,0)</f>
        <v>0.00347957165345533</v>
      </c>
    </row>
    <row r="429" customFormat="false" ht="15" hidden="false" customHeight="true" outlineLevel="0" collapsed="false">
      <c r="A429" s="23" t="n">
        <f aca="false">Daily_Returns_Raw_Data!A406</f>
        <v>42957</v>
      </c>
      <c r="B429" s="17" t="n">
        <f aca="false">SUMPRODUCT(Daily_Returns_Raw_Data!B406:X406,$AB$2:$AX$2)</f>
        <v>0.000384162011980525</v>
      </c>
      <c r="C429" s="17" t="n">
        <f aca="false">-B429</f>
        <v>-0.000384162011980525</v>
      </c>
      <c r="D429" s="17" t="n">
        <f aca="false">IF(RANK(C429,$C$25:$C$526,0)&lt;=$H$7,1/$H$7,0)</f>
        <v>0</v>
      </c>
      <c r="E429" s="17" t="n">
        <f aca="false">MAX(C429-$H$19,0)</f>
        <v>0</v>
      </c>
    </row>
    <row r="430" customFormat="false" ht="15" hidden="false" customHeight="true" outlineLevel="0" collapsed="false">
      <c r="A430" s="23" t="n">
        <f aca="false">Daily_Returns_Raw_Data!A407</f>
        <v>42958</v>
      </c>
      <c r="B430" s="17" t="n">
        <f aca="false">SUMPRODUCT(Daily_Returns_Raw_Data!B407:X407,$AB$2:$AX$2)</f>
        <v>0.00774367058366116</v>
      </c>
      <c r="C430" s="17" t="n">
        <f aca="false">-B430</f>
        <v>-0.00774367058366116</v>
      </c>
      <c r="D430" s="17" t="n">
        <f aca="false">IF(RANK(C430,$C$25:$C$526,0)&lt;=$H$7,1/$H$7,0)</f>
        <v>0</v>
      </c>
      <c r="E430" s="17" t="n">
        <f aca="false">MAX(C430-$H$19,0)</f>
        <v>0</v>
      </c>
    </row>
    <row r="431" customFormat="false" ht="15" hidden="false" customHeight="true" outlineLevel="0" collapsed="false">
      <c r="A431" s="23" t="n">
        <f aca="false">Daily_Returns_Raw_Data!A408</f>
        <v>42961</v>
      </c>
      <c r="B431" s="17" t="n">
        <f aca="false">SUMPRODUCT(Daily_Returns_Raw_Data!B408:X408,$AB$2:$AX$2)</f>
        <v>-0.00281013493778376</v>
      </c>
      <c r="C431" s="17" t="n">
        <f aca="false">-B431</f>
        <v>0.00281013493778376</v>
      </c>
      <c r="D431" s="17" t="n">
        <f aca="false">IF(RANK(C431,$C$25:$C$526,0)&lt;=$H$7,1/$H$7,0)</f>
        <v>0</v>
      </c>
      <c r="E431" s="17" t="n">
        <f aca="false">MAX(C431-$H$19,0)</f>
        <v>0</v>
      </c>
    </row>
    <row r="432" customFormat="false" ht="15" hidden="false" customHeight="true" outlineLevel="0" collapsed="false">
      <c r="A432" s="23" t="n">
        <f aca="false">Daily_Returns_Raw_Data!A409</f>
        <v>42962</v>
      </c>
      <c r="B432" s="17" t="n">
        <f aca="false">SUMPRODUCT(Daily_Returns_Raw_Data!B409:X409,$AB$2:$AX$2)</f>
        <v>0.00199719458072139</v>
      </c>
      <c r="C432" s="17" t="n">
        <f aca="false">-B432</f>
        <v>-0.00199719458072139</v>
      </c>
      <c r="D432" s="17" t="n">
        <f aca="false">IF(RANK(C432,$C$25:$C$526,0)&lt;=$H$7,1/$H$7,0)</f>
        <v>0</v>
      </c>
      <c r="E432" s="17" t="n">
        <f aca="false">MAX(C432-$H$19,0)</f>
        <v>0</v>
      </c>
    </row>
    <row r="433" customFormat="false" ht="15" hidden="false" customHeight="true" outlineLevel="0" collapsed="false">
      <c r="A433" s="23" t="n">
        <f aca="false">Daily_Returns_Raw_Data!A410</f>
        <v>42963</v>
      </c>
      <c r="B433" s="17" t="n">
        <f aca="false">SUMPRODUCT(Daily_Returns_Raw_Data!B410:X410,$AB$2:$AX$2)</f>
        <v>-0.0204097736580063</v>
      </c>
      <c r="C433" s="17" t="n">
        <f aca="false">-B433</f>
        <v>0.0204097736580063</v>
      </c>
      <c r="D433" s="17" t="n">
        <f aca="false">IF(RANK(C433,$C$25:$C$526,0)&lt;=$H$7,1/$H$7,0)</f>
        <v>0.0196078431372549</v>
      </c>
      <c r="E433" s="17" t="n">
        <f aca="false">MAX(C433-$H$19,0)</f>
        <v>0.011463320381325</v>
      </c>
    </row>
    <row r="434" customFormat="false" ht="15" hidden="false" customHeight="true" outlineLevel="0" collapsed="false">
      <c r="A434" s="23" t="n">
        <f aca="false">Daily_Returns_Raw_Data!A411</f>
        <v>42964</v>
      </c>
      <c r="B434" s="17" t="n">
        <f aca="false">SUMPRODUCT(Daily_Returns_Raw_Data!B411:X411,$AB$2:$AX$2)</f>
        <v>-0.00228681653375521</v>
      </c>
      <c r="C434" s="17" t="n">
        <f aca="false">-B434</f>
        <v>0.00228681653375521</v>
      </c>
      <c r="D434" s="17" t="n">
        <f aca="false">IF(RANK(C434,$C$25:$C$526,0)&lt;=$H$7,1/$H$7,0)</f>
        <v>0</v>
      </c>
      <c r="E434" s="17" t="n">
        <f aca="false">MAX(C434-$H$19,0)</f>
        <v>0</v>
      </c>
    </row>
    <row r="435" customFormat="false" ht="15" hidden="false" customHeight="true" outlineLevel="0" collapsed="false">
      <c r="A435" s="23" t="n">
        <f aca="false">Daily_Returns_Raw_Data!A412</f>
        <v>42965</v>
      </c>
      <c r="B435" s="17" t="n">
        <f aca="false">SUMPRODUCT(Daily_Returns_Raw_Data!B412:X412,$AB$2:$AX$2)</f>
        <v>-0.00126761696778716</v>
      </c>
      <c r="C435" s="17" t="n">
        <f aca="false">-B435</f>
        <v>0.00126761696778716</v>
      </c>
      <c r="D435" s="17" t="n">
        <f aca="false">IF(RANK(C435,$C$25:$C$526,0)&lt;=$H$7,1/$H$7,0)</f>
        <v>0</v>
      </c>
      <c r="E435" s="17" t="n">
        <f aca="false">MAX(C435-$H$19,0)</f>
        <v>0</v>
      </c>
    </row>
    <row r="436" customFormat="false" ht="15" hidden="false" customHeight="true" outlineLevel="0" collapsed="false">
      <c r="A436" s="23" t="n">
        <f aca="false">Daily_Returns_Raw_Data!A413</f>
        <v>42968</v>
      </c>
      <c r="B436" s="17" t="n">
        <f aca="false">SUMPRODUCT(Daily_Returns_Raw_Data!B413:X413,$AB$2:$AX$2)</f>
        <v>0.0106995748549244</v>
      </c>
      <c r="C436" s="17" t="n">
        <f aca="false">-B436</f>
        <v>-0.0106995748549244</v>
      </c>
      <c r="D436" s="17" t="n">
        <f aca="false">IF(RANK(C436,$C$25:$C$526,0)&lt;=$H$7,1/$H$7,0)</f>
        <v>0</v>
      </c>
      <c r="E436" s="17" t="n">
        <f aca="false">MAX(C436-$H$19,0)</f>
        <v>0</v>
      </c>
    </row>
    <row r="437" customFormat="false" ht="15" hidden="false" customHeight="true" outlineLevel="0" collapsed="false">
      <c r="A437" s="23" t="n">
        <f aca="false">Daily_Returns_Raw_Data!A414</f>
        <v>42969</v>
      </c>
      <c r="B437" s="17" t="n">
        <f aca="false">SUMPRODUCT(Daily_Returns_Raw_Data!B414:X414,$AB$2:$AX$2)</f>
        <v>0.00396829014811066</v>
      </c>
      <c r="C437" s="17" t="n">
        <f aca="false">-B437</f>
        <v>-0.00396829014811066</v>
      </c>
      <c r="D437" s="17" t="n">
        <f aca="false">IF(RANK(C437,$C$25:$C$526,0)&lt;=$H$7,1/$H$7,0)</f>
        <v>0</v>
      </c>
      <c r="E437" s="17" t="n">
        <f aca="false">MAX(C437-$H$19,0)</f>
        <v>0</v>
      </c>
    </row>
    <row r="438" customFormat="false" ht="15" hidden="false" customHeight="true" outlineLevel="0" collapsed="false">
      <c r="A438" s="23" t="n">
        <f aca="false">Daily_Returns_Raw_Data!A415</f>
        <v>42970</v>
      </c>
      <c r="B438" s="17" t="n">
        <f aca="false">SUMPRODUCT(Daily_Returns_Raw_Data!B415:X415,$AB$2:$AX$2)</f>
        <v>-0.00281005773962536</v>
      </c>
      <c r="C438" s="17" t="n">
        <f aca="false">-B438</f>
        <v>0.00281005773962536</v>
      </c>
      <c r="D438" s="17" t="n">
        <f aca="false">IF(RANK(C438,$C$25:$C$526,0)&lt;=$H$7,1/$H$7,0)</f>
        <v>0</v>
      </c>
      <c r="E438" s="17" t="n">
        <f aca="false">MAX(C438-$H$19,0)</f>
        <v>0</v>
      </c>
    </row>
    <row r="439" customFormat="false" ht="15" hidden="false" customHeight="true" outlineLevel="0" collapsed="false">
      <c r="A439" s="23" t="n">
        <f aca="false">Daily_Returns_Raw_Data!A416</f>
        <v>42971</v>
      </c>
      <c r="B439" s="17" t="n">
        <f aca="false">SUMPRODUCT(Daily_Returns_Raw_Data!B416:X416,$AB$2:$AX$2)</f>
        <v>0.00629229991086642</v>
      </c>
      <c r="C439" s="17" t="n">
        <f aca="false">-B439</f>
        <v>-0.00629229991086642</v>
      </c>
      <c r="D439" s="17" t="n">
        <f aca="false">IF(RANK(C439,$C$25:$C$526,0)&lt;=$H$7,1/$H$7,0)</f>
        <v>0</v>
      </c>
      <c r="E439" s="17" t="n">
        <f aca="false">MAX(C439-$H$19,0)</f>
        <v>0</v>
      </c>
    </row>
    <row r="440" customFormat="false" ht="15" hidden="false" customHeight="true" outlineLevel="0" collapsed="false">
      <c r="A440" s="23" t="n">
        <f aca="false">Daily_Returns_Raw_Data!A417</f>
        <v>42972</v>
      </c>
      <c r="B440" s="17" t="n">
        <f aca="false">SUMPRODUCT(Daily_Returns_Raw_Data!B417:X417,$AB$2:$AX$2)</f>
        <v>0.00124987317102887</v>
      </c>
      <c r="C440" s="17" t="n">
        <f aca="false">-B440</f>
        <v>-0.00124987317102887</v>
      </c>
      <c r="D440" s="17" t="n">
        <f aca="false">IF(RANK(C440,$C$25:$C$526,0)&lt;=$H$7,1/$H$7,0)</f>
        <v>0</v>
      </c>
      <c r="E440" s="17" t="n">
        <f aca="false">MAX(C440-$H$19,0)</f>
        <v>0</v>
      </c>
    </row>
    <row r="441" customFormat="false" ht="15" hidden="false" customHeight="true" outlineLevel="0" collapsed="false">
      <c r="A441" s="23" t="n">
        <f aca="false">Daily_Returns_Raw_Data!A418</f>
        <v>42975</v>
      </c>
      <c r="B441" s="17" t="n">
        <f aca="false">SUMPRODUCT(Daily_Returns_Raw_Data!B418:X418,$AB$2:$AX$2)</f>
        <v>0.000311079517723742</v>
      </c>
      <c r="C441" s="17" t="n">
        <f aca="false">-B441</f>
        <v>-0.000311079517723742</v>
      </c>
      <c r="D441" s="17" t="n">
        <f aca="false">IF(RANK(C441,$C$25:$C$526,0)&lt;=$H$7,1/$H$7,0)</f>
        <v>0</v>
      </c>
      <c r="E441" s="17" t="n">
        <f aca="false">MAX(C441-$H$19,0)</f>
        <v>0</v>
      </c>
    </row>
    <row r="442" customFormat="false" ht="15" hidden="false" customHeight="true" outlineLevel="0" collapsed="false">
      <c r="A442" s="23" t="n">
        <f aca="false">Daily_Returns_Raw_Data!A419</f>
        <v>42976</v>
      </c>
      <c r="B442" s="17" t="n">
        <f aca="false">SUMPRODUCT(Daily_Returns_Raw_Data!B419:X419,$AB$2:$AX$2)</f>
        <v>0.00413313473227605</v>
      </c>
      <c r="C442" s="17" t="n">
        <f aca="false">-B442</f>
        <v>-0.00413313473227605</v>
      </c>
      <c r="D442" s="17" t="n">
        <f aca="false">IF(RANK(C442,$C$25:$C$526,0)&lt;=$H$7,1/$H$7,0)</f>
        <v>0</v>
      </c>
      <c r="E442" s="17" t="n">
        <f aca="false">MAX(C442-$H$19,0)</f>
        <v>0</v>
      </c>
    </row>
    <row r="443" customFormat="false" ht="15" hidden="false" customHeight="true" outlineLevel="0" collapsed="false">
      <c r="A443" s="23" t="n">
        <f aca="false">Daily_Returns_Raw_Data!A420</f>
        <v>42977</v>
      </c>
      <c r="B443" s="17" t="n">
        <f aca="false">SUMPRODUCT(Daily_Returns_Raw_Data!B420:X420,$AB$2:$AX$2)</f>
        <v>0.00610625311530902</v>
      </c>
      <c r="C443" s="17" t="n">
        <f aca="false">-B443</f>
        <v>-0.00610625311530902</v>
      </c>
      <c r="D443" s="17" t="n">
        <f aca="false">IF(RANK(C443,$C$25:$C$526,0)&lt;=$H$7,1/$H$7,0)</f>
        <v>0</v>
      </c>
      <c r="E443" s="17" t="n">
        <f aca="false">MAX(C443-$H$19,0)</f>
        <v>0</v>
      </c>
    </row>
    <row r="444" customFormat="false" ht="15" hidden="false" customHeight="true" outlineLevel="0" collapsed="false">
      <c r="A444" s="23" t="n">
        <f aca="false">Daily_Returns_Raw_Data!A421</f>
        <v>42978</v>
      </c>
      <c r="B444" s="17" t="n">
        <f aca="false">SUMPRODUCT(Daily_Returns_Raw_Data!B421:X421,$AB$2:$AX$2)</f>
        <v>0.00658733947654235</v>
      </c>
      <c r="C444" s="17" t="n">
        <f aca="false">-B444</f>
        <v>-0.00658733947654235</v>
      </c>
      <c r="D444" s="17" t="n">
        <f aca="false">IF(RANK(C444,$C$25:$C$526,0)&lt;=$H$7,1/$H$7,0)</f>
        <v>0</v>
      </c>
      <c r="E444" s="17" t="n">
        <f aca="false">MAX(C444-$H$19,0)</f>
        <v>0</v>
      </c>
    </row>
    <row r="445" customFormat="false" ht="15" hidden="false" customHeight="true" outlineLevel="0" collapsed="false">
      <c r="A445" s="23" t="n">
        <f aca="false">Daily_Returns_Raw_Data!A422</f>
        <v>42979</v>
      </c>
      <c r="B445" s="17" t="n">
        <f aca="false">SUMPRODUCT(Daily_Returns_Raw_Data!B422:X422,$AB$2:$AX$2)</f>
        <v>-0.00643892113175658</v>
      </c>
      <c r="C445" s="17" t="n">
        <f aca="false">-B445</f>
        <v>0.00643892113175658</v>
      </c>
      <c r="D445" s="17" t="n">
        <f aca="false">IF(RANK(C445,$C$25:$C$526,0)&lt;=$H$7,1/$H$7,0)</f>
        <v>0</v>
      </c>
      <c r="E445" s="17" t="n">
        <f aca="false">MAX(C445-$H$19,0)</f>
        <v>0</v>
      </c>
    </row>
    <row r="446" customFormat="false" ht="15" hidden="false" customHeight="true" outlineLevel="0" collapsed="false">
      <c r="A446" s="23" t="n">
        <f aca="false">Daily_Returns_Raw_Data!A423</f>
        <v>42983</v>
      </c>
      <c r="B446" s="17" t="n">
        <f aca="false">SUMPRODUCT(Daily_Returns_Raw_Data!B423:X423,$AB$2:$AX$2)</f>
        <v>0.00499537975145264</v>
      </c>
      <c r="C446" s="17" t="n">
        <f aca="false">-B446</f>
        <v>-0.00499537975145264</v>
      </c>
      <c r="D446" s="17" t="n">
        <f aca="false">IF(RANK(C446,$C$25:$C$526,0)&lt;=$H$7,1/$H$7,0)</f>
        <v>0</v>
      </c>
      <c r="E446" s="17" t="n">
        <f aca="false">MAX(C446-$H$19,0)</f>
        <v>0</v>
      </c>
    </row>
    <row r="447" customFormat="false" ht="15" hidden="false" customHeight="true" outlineLevel="0" collapsed="false">
      <c r="A447" s="23" t="n">
        <f aca="false">Daily_Returns_Raw_Data!A424</f>
        <v>42984</v>
      </c>
      <c r="B447" s="17" t="n">
        <f aca="false">SUMPRODUCT(Daily_Returns_Raw_Data!B424:X424,$AB$2:$AX$2)</f>
        <v>-0.00195905138779889</v>
      </c>
      <c r="C447" s="17" t="n">
        <f aca="false">-B447</f>
        <v>0.00195905138779889</v>
      </c>
      <c r="D447" s="17" t="n">
        <f aca="false">IF(RANK(C447,$C$25:$C$526,0)&lt;=$H$7,1/$H$7,0)</f>
        <v>0</v>
      </c>
      <c r="E447" s="17" t="n">
        <f aca="false">MAX(C447-$H$19,0)</f>
        <v>0</v>
      </c>
    </row>
    <row r="448" customFormat="false" ht="15" hidden="false" customHeight="true" outlineLevel="0" collapsed="false">
      <c r="A448" s="23" t="n">
        <f aca="false">Daily_Returns_Raw_Data!A425</f>
        <v>42985</v>
      </c>
      <c r="B448" s="17" t="n">
        <f aca="false">SUMPRODUCT(Daily_Returns_Raw_Data!B425:X425,$AB$2:$AX$2)</f>
        <v>-0.00844806991608146</v>
      </c>
      <c r="C448" s="17" t="n">
        <f aca="false">-B448</f>
        <v>0.00844806991608146</v>
      </c>
      <c r="D448" s="17" t="n">
        <f aca="false">IF(RANK(C448,$C$25:$C$526,0)&lt;=$H$7,1/$H$7,0)</f>
        <v>0</v>
      </c>
      <c r="E448" s="17" t="n">
        <f aca="false">MAX(C448-$H$19,0)</f>
        <v>0</v>
      </c>
    </row>
    <row r="449" customFormat="false" ht="15" hidden="false" customHeight="true" outlineLevel="0" collapsed="false">
      <c r="A449" s="23" t="n">
        <f aca="false">Daily_Returns_Raw_Data!A426</f>
        <v>42986</v>
      </c>
      <c r="B449" s="17" t="n">
        <f aca="false">SUMPRODUCT(Daily_Returns_Raw_Data!B426:X426,$AB$2:$AX$2)</f>
        <v>0.00927260777605132</v>
      </c>
      <c r="C449" s="17" t="n">
        <f aca="false">-B449</f>
        <v>-0.00927260777605132</v>
      </c>
      <c r="D449" s="17" t="n">
        <f aca="false">IF(RANK(C449,$C$25:$C$526,0)&lt;=$H$7,1/$H$7,0)</f>
        <v>0</v>
      </c>
      <c r="E449" s="17" t="n">
        <f aca="false">MAX(C449-$H$19,0)</f>
        <v>0</v>
      </c>
    </row>
    <row r="450" customFormat="false" ht="15" hidden="false" customHeight="true" outlineLevel="0" collapsed="false">
      <c r="A450" s="23" t="n">
        <f aca="false">Daily_Returns_Raw_Data!A427</f>
        <v>42989</v>
      </c>
      <c r="B450" s="17" t="n">
        <f aca="false">SUMPRODUCT(Daily_Returns_Raw_Data!B427:X427,$AB$2:$AX$2)</f>
        <v>0.0133807170422691</v>
      </c>
      <c r="C450" s="17" t="n">
        <f aca="false">-B450</f>
        <v>-0.0133807170422691</v>
      </c>
      <c r="D450" s="17" t="n">
        <f aca="false">IF(RANK(C450,$C$25:$C$526,0)&lt;=$H$7,1/$H$7,0)</f>
        <v>0</v>
      </c>
      <c r="E450" s="17" t="n">
        <f aca="false">MAX(C450-$H$19,0)</f>
        <v>0</v>
      </c>
    </row>
    <row r="451" customFormat="false" ht="15" hidden="false" customHeight="true" outlineLevel="0" collapsed="false">
      <c r="A451" s="23" t="n">
        <f aca="false">Daily_Returns_Raw_Data!A428</f>
        <v>42990</v>
      </c>
      <c r="B451" s="17" t="n">
        <f aca="false">SUMPRODUCT(Daily_Returns_Raw_Data!B428:X428,$AB$2:$AX$2)</f>
        <v>-0.00123744821065837</v>
      </c>
      <c r="C451" s="17" t="n">
        <f aca="false">-B451</f>
        <v>0.00123744821065837</v>
      </c>
      <c r="D451" s="17" t="n">
        <f aca="false">IF(RANK(C451,$C$25:$C$526,0)&lt;=$H$7,1/$H$7,0)</f>
        <v>0</v>
      </c>
      <c r="E451" s="17" t="n">
        <f aca="false">MAX(C451-$H$19,0)</f>
        <v>0</v>
      </c>
    </row>
    <row r="452" customFormat="false" ht="15" hidden="false" customHeight="true" outlineLevel="0" collapsed="false">
      <c r="A452" s="23" t="n">
        <f aca="false">Daily_Returns_Raw_Data!A429</f>
        <v>42991</v>
      </c>
      <c r="B452" s="17" t="n">
        <f aca="false">SUMPRODUCT(Daily_Returns_Raw_Data!B429:X429,$AB$2:$AX$2)</f>
        <v>-1.00460612336088E-005</v>
      </c>
      <c r="C452" s="17" t="n">
        <f aca="false">-B452</f>
        <v>1.00460612336088E-005</v>
      </c>
      <c r="D452" s="17" t="n">
        <f aca="false">IF(RANK(C452,$C$25:$C$526,0)&lt;=$H$7,1/$H$7,0)</f>
        <v>0</v>
      </c>
      <c r="E452" s="17" t="n">
        <f aca="false">MAX(C452-$H$19,0)</f>
        <v>0</v>
      </c>
    </row>
    <row r="453" customFormat="false" ht="15" hidden="false" customHeight="true" outlineLevel="0" collapsed="false">
      <c r="A453" s="23" t="n">
        <f aca="false">Daily_Returns_Raw_Data!A430</f>
        <v>42992</v>
      </c>
      <c r="B453" s="17" t="n">
        <f aca="false">SUMPRODUCT(Daily_Returns_Raw_Data!B430:X430,$AB$2:$AX$2)</f>
        <v>0.0049072922899137</v>
      </c>
      <c r="C453" s="17" t="n">
        <f aca="false">-B453</f>
        <v>-0.0049072922899137</v>
      </c>
      <c r="D453" s="17" t="n">
        <f aca="false">IF(RANK(C453,$C$25:$C$526,0)&lt;=$H$7,1/$H$7,0)</f>
        <v>0</v>
      </c>
      <c r="E453" s="17" t="n">
        <f aca="false">MAX(C453-$H$19,0)</f>
        <v>0</v>
      </c>
    </row>
    <row r="454" customFormat="false" ht="15" hidden="false" customHeight="true" outlineLevel="0" collapsed="false">
      <c r="A454" s="23" t="n">
        <f aca="false">Daily_Returns_Raw_Data!A431</f>
        <v>42993</v>
      </c>
      <c r="B454" s="17" t="n">
        <f aca="false">SUMPRODUCT(Daily_Returns_Raw_Data!B431:X431,$AB$2:$AX$2)</f>
        <v>0.00239474948638957</v>
      </c>
      <c r="C454" s="17" t="n">
        <f aca="false">-B454</f>
        <v>-0.00239474948638957</v>
      </c>
      <c r="D454" s="17" t="n">
        <f aca="false">IF(RANK(C454,$C$25:$C$526,0)&lt;=$H$7,1/$H$7,0)</f>
        <v>0</v>
      </c>
      <c r="E454" s="17" t="n">
        <f aca="false">MAX(C454-$H$19,0)</f>
        <v>0</v>
      </c>
    </row>
    <row r="455" customFormat="false" ht="15" hidden="false" customHeight="true" outlineLevel="0" collapsed="false">
      <c r="A455" s="23" t="n">
        <f aca="false">Daily_Returns_Raw_Data!A432</f>
        <v>42996</v>
      </c>
      <c r="B455" s="17" t="n">
        <f aca="false">SUMPRODUCT(Daily_Returns_Raw_Data!B432:X432,$AB$2:$AX$2)</f>
        <v>0.000861378217141639</v>
      </c>
      <c r="C455" s="17" t="n">
        <f aca="false">-B455</f>
        <v>-0.000861378217141639</v>
      </c>
      <c r="D455" s="17" t="n">
        <f aca="false">IF(RANK(C455,$C$25:$C$526,0)&lt;=$H$7,1/$H$7,0)</f>
        <v>0</v>
      </c>
      <c r="E455" s="17" t="n">
        <f aca="false">MAX(C455-$H$19,0)</f>
        <v>0</v>
      </c>
    </row>
    <row r="456" customFormat="false" ht="15" hidden="false" customHeight="true" outlineLevel="0" collapsed="false">
      <c r="A456" s="23" t="n">
        <f aca="false">Daily_Returns_Raw_Data!A433</f>
        <v>42997</v>
      </c>
      <c r="B456" s="17" t="n">
        <f aca="false">SUMPRODUCT(Daily_Returns_Raw_Data!B433:X433,$AB$2:$AX$2)</f>
        <v>0.00199241915347011</v>
      </c>
      <c r="C456" s="17" t="n">
        <f aca="false">-B456</f>
        <v>-0.00199241915347011</v>
      </c>
      <c r="D456" s="17" t="n">
        <f aca="false">IF(RANK(C456,$C$25:$C$526,0)&lt;=$H$7,1/$H$7,0)</f>
        <v>0</v>
      </c>
      <c r="E456" s="17" t="n">
        <f aca="false">MAX(C456-$H$19,0)</f>
        <v>0</v>
      </c>
    </row>
    <row r="457" customFormat="false" ht="15" hidden="false" customHeight="true" outlineLevel="0" collapsed="false">
      <c r="A457" s="23" t="n">
        <f aca="false">Daily_Returns_Raw_Data!A434</f>
        <v>42998</v>
      </c>
      <c r="B457" s="17" t="n">
        <f aca="false">SUMPRODUCT(Daily_Returns_Raw_Data!B434:X434,$AB$2:$AX$2)</f>
        <v>-0.00284573507286683</v>
      </c>
      <c r="C457" s="17" t="n">
        <f aca="false">-B457</f>
        <v>0.00284573507286683</v>
      </c>
      <c r="D457" s="17" t="n">
        <f aca="false">IF(RANK(C457,$C$25:$C$526,0)&lt;=$H$7,1/$H$7,0)</f>
        <v>0</v>
      </c>
      <c r="E457" s="17" t="n">
        <f aca="false">MAX(C457-$H$19,0)</f>
        <v>0</v>
      </c>
    </row>
    <row r="458" customFormat="false" ht="15" hidden="false" customHeight="true" outlineLevel="0" collapsed="false">
      <c r="A458" s="23" t="n">
        <f aca="false">Daily_Returns_Raw_Data!A435</f>
        <v>42999</v>
      </c>
      <c r="B458" s="17" t="n">
        <f aca="false">SUMPRODUCT(Daily_Returns_Raw_Data!B435:X435,$AB$2:$AX$2)</f>
        <v>0.00397685238083829</v>
      </c>
      <c r="C458" s="17" t="n">
        <f aca="false">-B458</f>
        <v>-0.00397685238083829</v>
      </c>
      <c r="D458" s="17" t="n">
        <f aca="false">IF(RANK(C458,$C$25:$C$526,0)&lt;=$H$7,1/$H$7,0)</f>
        <v>0</v>
      </c>
      <c r="E458" s="17" t="n">
        <f aca="false">MAX(C458-$H$19,0)</f>
        <v>0</v>
      </c>
    </row>
    <row r="459" customFormat="false" ht="15" hidden="false" customHeight="true" outlineLevel="0" collapsed="false">
      <c r="A459" s="23" t="n">
        <f aca="false">Daily_Returns_Raw_Data!A436</f>
        <v>43000</v>
      </c>
      <c r="B459" s="17" t="n">
        <f aca="false">SUMPRODUCT(Daily_Returns_Raw_Data!B436:X436,$AB$2:$AX$2)</f>
        <v>0.00251742127102387</v>
      </c>
      <c r="C459" s="17" t="n">
        <f aca="false">-B459</f>
        <v>-0.00251742127102387</v>
      </c>
      <c r="D459" s="17" t="n">
        <f aca="false">IF(RANK(C459,$C$25:$C$526,0)&lt;=$H$7,1/$H$7,0)</f>
        <v>0</v>
      </c>
      <c r="E459" s="17" t="n">
        <f aca="false">MAX(C459-$H$19,0)</f>
        <v>0</v>
      </c>
    </row>
    <row r="460" customFormat="false" ht="15" hidden="false" customHeight="true" outlineLevel="0" collapsed="false">
      <c r="A460" s="23" t="n">
        <f aca="false">Daily_Returns_Raw_Data!A437</f>
        <v>43003</v>
      </c>
      <c r="B460" s="17" t="n">
        <f aca="false">SUMPRODUCT(Daily_Returns_Raw_Data!B437:X437,$AB$2:$AX$2)</f>
        <v>-0.00109527726857903</v>
      </c>
      <c r="C460" s="17" t="n">
        <f aca="false">-B460</f>
        <v>0.00109527726857903</v>
      </c>
      <c r="D460" s="17" t="n">
        <f aca="false">IF(RANK(C460,$C$25:$C$526,0)&lt;=$H$7,1/$H$7,0)</f>
        <v>0</v>
      </c>
      <c r="E460" s="17" t="n">
        <f aca="false">MAX(C460-$H$19,0)</f>
        <v>0</v>
      </c>
    </row>
    <row r="461" customFormat="false" ht="15" hidden="false" customHeight="true" outlineLevel="0" collapsed="false">
      <c r="A461" s="23" t="n">
        <f aca="false">Daily_Returns_Raw_Data!A438</f>
        <v>43004</v>
      </c>
      <c r="B461" s="17" t="n">
        <f aca="false">SUMPRODUCT(Daily_Returns_Raw_Data!B438:X438,$AB$2:$AX$2)</f>
        <v>0.0018840268381566</v>
      </c>
      <c r="C461" s="17" t="n">
        <f aca="false">-B461</f>
        <v>-0.0018840268381566</v>
      </c>
      <c r="D461" s="17" t="n">
        <f aca="false">IF(RANK(C461,$C$25:$C$526,0)&lt;=$H$7,1/$H$7,0)</f>
        <v>0</v>
      </c>
      <c r="E461" s="17" t="n">
        <f aca="false">MAX(C461-$H$19,0)</f>
        <v>0</v>
      </c>
    </row>
    <row r="462" customFormat="false" ht="15" hidden="false" customHeight="true" outlineLevel="0" collapsed="false">
      <c r="A462" s="23" t="n">
        <f aca="false">Daily_Returns_Raw_Data!A439</f>
        <v>43005</v>
      </c>
      <c r="B462" s="17" t="n">
        <f aca="false">SUMPRODUCT(Daily_Returns_Raw_Data!B439:X439,$AB$2:$AX$2)</f>
        <v>-0.000784480594069724</v>
      </c>
      <c r="C462" s="17" t="n">
        <f aca="false">-B462</f>
        <v>0.000784480594069724</v>
      </c>
      <c r="D462" s="17" t="n">
        <f aca="false">IF(RANK(C462,$C$25:$C$526,0)&lt;=$H$7,1/$H$7,0)</f>
        <v>0</v>
      </c>
      <c r="E462" s="17" t="n">
        <f aca="false">MAX(C462-$H$19,0)</f>
        <v>0</v>
      </c>
    </row>
    <row r="463" customFormat="false" ht="15" hidden="false" customHeight="true" outlineLevel="0" collapsed="false">
      <c r="A463" s="23" t="n">
        <f aca="false">Daily_Returns_Raw_Data!A440</f>
        <v>43006</v>
      </c>
      <c r="B463" s="17" t="n">
        <f aca="false">SUMPRODUCT(Daily_Returns_Raw_Data!B440:X440,$AB$2:$AX$2)</f>
        <v>0.00276154613167482</v>
      </c>
      <c r="C463" s="17" t="n">
        <f aca="false">-B463</f>
        <v>-0.00276154613167482</v>
      </c>
      <c r="D463" s="17" t="n">
        <f aca="false">IF(RANK(C463,$C$25:$C$526,0)&lt;=$H$7,1/$H$7,0)</f>
        <v>0</v>
      </c>
      <c r="E463" s="17" t="n">
        <f aca="false">MAX(C463-$H$19,0)</f>
        <v>0</v>
      </c>
    </row>
    <row r="464" customFormat="false" ht="15" hidden="false" customHeight="true" outlineLevel="0" collapsed="false">
      <c r="A464" s="23" t="n">
        <f aca="false">Daily_Returns_Raw_Data!A441</f>
        <v>43007</v>
      </c>
      <c r="B464" s="17" t="n">
        <f aca="false">SUMPRODUCT(Daily_Returns_Raw_Data!B441:X441,$AB$2:$AX$2)</f>
        <v>0.00582552890142897</v>
      </c>
      <c r="C464" s="17" t="n">
        <f aca="false">-B464</f>
        <v>-0.00582552890142897</v>
      </c>
      <c r="D464" s="17" t="n">
        <f aca="false">IF(RANK(C464,$C$25:$C$526,0)&lt;=$H$7,1/$H$7,0)</f>
        <v>0</v>
      </c>
      <c r="E464" s="17" t="n">
        <f aca="false">MAX(C464-$H$19,0)</f>
        <v>0</v>
      </c>
    </row>
    <row r="465" customFormat="false" ht="15" hidden="false" customHeight="true" outlineLevel="0" collapsed="false">
      <c r="A465" s="23" t="n">
        <f aca="false">Daily_Returns_Raw_Data!A442</f>
        <v>43010</v>
      </c>
      <c r="B465" s="17" t="n">
        <f aca="false">SUMPRODUCT(Daily_Returns_Raw_Data!B442:X442,$AB$2:$AX$2)</f>
        <v>0.0107363444951587</v>
      </c>
      <c r="C465" s="17" t="n">
        <f aca="false">-B465</f>
        <v>-0.0107363444951587</v>
      </c>
      <c r="D465" s="17" t="n">
        <f aca="false">IF(RANK(C465,$C$25:$C$526,0)&lt;=$H$7,1/$H$7,0)</f>
        <v>0</v>
      </c>
      <c r="E465" s="17" t="n">
        <f aca="false">MAX(C465-$H$19,0)</f>
        <v>0</v>
      </c>
    </row>
    <row r="466" customFormat="false" ht="15" hidden="false" customHeight="true" outlineLevel="0" collapsed="false">
      <c r="A466" s="23" t="n">
        <f aca="false">Daily_Returns_Raw_Data!A443</f>
        <v>43011</v>
      </c>
      <c r="B466" s="17" t="n">
        <f aca="false">SUMPRODUCT(Daily_Returns_Raw_Data!B443:X443,$AB$2:$AX$2)</f>
        <v>-0.00127629279423699</v>
      </c>
      <c r="C466" s="17" t="n">
        <f aca="false">-B466</f>
        <v>0.00127629279423699</v>
      </c>
      <c r="D466" s="17" t="n">
        <f aca="false">IF(RANK(C466,$C$25:$C$526,0)&lt;=$H$7,1/$H$7,0)</f>
        <v>0</v>
      </c>
      <c r="E466" s="17" t="n">
        <f aca="false">MAX(C466-$H$19,0)</f>
        <v>0</v>
      </c>
    </row>
    <row r="467" customFormat="false" ht="15" hidden="false" customHeight="true" outlineLevel="0" collapsed="false">
      <c r="A467" s="23" t="n">
        <f aca="false">Daily_Returns_Raw_Data!A444</f>
        <v>43012</v>
      </c>
      <c r="B467" s="17" t="n">
        <f aca="false">SUMPRODUCT(Daily_Returns_Raw_Data!B444:X444,$AB$2:$AX$2)</f>
        <v>0.00426565646048377</v>
      </c>
      <c r="C467" s="17" t="n">
        <f aca="false">-B467</f>
        <v>-0.00426565646048377</v>
      </c>
      <c r="D467" s="17" t="n">
        <f aca="false">IF(RANK(C467,$C$25:$C$526,0)&lt;=$H$7,1/$H$7,0)</f>
        <v>0</v>
      </c>
      <c r="E467" s="17" t="n">
        <f aca="false">MAX(C467-$H$19,0)</f>
        <v>0</v>
      </c>
    </row>
    <row r="468" customFormat="false" ht="15" hidden="false" customHeight="true" outlineLevel="0" collapsed="false">
      <c r="A468" s="23" t="n">
        <f aca="false">Daily_Returns_Raw_Data!A445</f>
        <v>43013</v>
      </c>
      <c r="B468" s="17" t="n">
        <f aca="false">SUMPRODUCT(Daily_Returns_Raw_Data!B445:X445,$AB$2:$AX$2)</f>
        <v>-0.00712056800987305</v>
      </c>
      <c r="C468" s="17" t="n">
        <f aca="false">-B468</f>
        <v>0.00712056800987305</v>
      </c>
      <c r="D468" s="17" t="n">
        <f aca="false">IF(RANK(C468,$C$25:$C$526,0)&lt;=$H$7,1/$H$7,0)</f>
        <v>0</v>
      </c>
      <c r="E468" s="17" t="n">
        <f aca="false">MAX(C468-$H$19,0)</f>
        <v>0</v>
      </c>
    </row>
    <row r="469" customFormat="false" ht="15" hidden="false" customHeight="true" outlineLevel="0" collapsed="false">
      <c r="A469" s="23" t="n">
        <f aca="false">Daily_Returns_Raw_Data!A446</f>
        <v>43014</v>
      </c>
      <c r="B469" s="17" t="n">
        <f aca="false">SUMPRODUCT(Daily_Returns_Raw_Data!B446:X446,$AB$2:$AX$2)</f>
        <v>-0.004329460960801</v>
      </c>
      <c r="C469" s="17" t="n">
        <f aca="false">-B469</f>
        <v>0.004329460960801</v>
      </c>
      <c r="D469" s="17" t="n">
        <f aca="false">IF(RANK(C469,$C$25:$C$526,0)&lt;=$H$7,1/$H$7,0)</f>
        <v>0</v>
      </c>
      <c r="E469" s="17" t="n">
        <f aca="false">MAX(C469-$H$19,0)</f>
        <v>0</v>
      </c>
    </row>
    <row r="470" customFormat="false" ht="15" hidden="false" customHeight="true" outlineLevel="0" collapsed="false">
      <c r="A470" s="23" t="n">
        <f aca="false">Daily_Returns_Raw_Data!A447</f>
        <v>43017</v>
      </c>
      <c r="B470" s="17" t="n">
        <f aca="false">SUMPRODUCT(Daily_Returns_Raw_Data!B447:X447,$AB$2:$AX$2)</f>
        <v>0.00323943526287889</v>
      </c>
      <c r="C470" s="17" t="n">
        <f aca="false">-B470</f>
        <v>-0.00323943526287889</v>
      </c>
      <c r="D470" s="17" t="n">
        <f aca="false">IF(RANK(C470,$C$25:$C$526,0)&lt;=$H$7,1/$H$7,0)</f>
        <v>0</v>
      </c>
      <c r="E470" s="17" t="n">
        <f aca="false">MAX(C470-$H$19,0)</f>
        <v>0</v>
      </c>
    </row>
    <row r="471" customFormat="false" ht="15" hidden="false" customHeight="true" outlineLevel="0" collapsed="false">
      <c r="A471" s="23" t="n">
        <f aca="false">Daily_Returns_Raw_Data!A448</f>
        <v>43018</v>
      </c>
      <c r="B471" s="17" t="n">
        <f aca="false">SUMPRODUCT(Daily_Returns_Raw_Data!B448:X448,$AB$2:$AX$2)</f>
        <v>0.000438639261891374</v>
      </c>
      <c r="C471" s="17" t="n">
        <f aca="false">-B471</f>
        <v>-0.000438639261891374</v>
      </c>
      <c r="D471" s="17" t="n">
        <f aca="false">IF(RANK(C471,$C$25:$C$526,0)&lt;=$H$7,1/$H$7,0)</f>
        <v>0</v>
      </c>
      <c r="E471" s="17" t="n">
        <f aca="false">MAX(C471-$H$19,0)</f>
        <v>0</v>
      </c>
    </row>
    <row r="472" customFormat="false" ht="15" hidden="false" customHeight="true" outlineLevel="0" collapsed="false">
      <c r="A472" s="23" t="n">
        <f aca="false">Daily_Returns_Raw_Data!A449</f>
        <v>43019</v>
      </c>
      <c r="B472" s="17" t="n">
        <f aca="false">SUMPRODUCT(Daily_Returns_Raw_Data!B449:X449,$AB$2:$AX$2)</f>
        <v>-0.00647103716255131</v>
      </c>
      <c r="C472" s="17" t="n">
        <f aca="false">-B472</f>
        <v>0.00647103716255131</v>
      </c>
      <c r="D472" s="17" t="n">
        <f aca="false">IF(RANK(C472,$C$25:$C$526,0)&lt;=$H$7,1/$H$7,0)</f>
        <v>0</v>
      </c>
      <c r="E472" s="17" t="n">
        <f aca="false">MAX(C472-$H$19,0)</f>
        <v>0</v>
      </c>
    </row>
    <row r="473" customFormat="false" ht="15" hidden="false" customHeight="true" outlineLevel="0" collapsed="false">
      <c r="A473" s="23" t="n">
        <f aca="false">Daily_Returns_Raw_Data!A450</f>
        <v>43020</v>
      </c>
      <c r="B473" s="17" t="n">
        <f aca="false">SUMPRODUCT(Daily_Returns_Raw_Data!B450:X450,$AB$2:$AX$2)</f>
        <v>0.002024994128618</v>
      </c>
      <c r="C473" s="17" t="n">
        <f aca="false">-B473</f>
        <v>-0.002024994128618</v>
      </c>
      <c r="D473" s="17" t="n">
        <f aca="false">IF(RANK(C473,$C$25:$C$526,0)&lt;=$H$7,1/$H$7,0)</f>
        <v>0</v>
      </c>
      <c r="E473" s="17" t="n">
        <f aca="false">MAX(C473-$H$19,0)</f>
        <v>0</v>
      </c>
    </row>
    <row r="474" customFormat="false" ht="15" hidden="false" customHeight="true" outlineLevel="0" collapsed="false">
      <c r="A474" s="23" t="n">
        <f aca="false">Daily_Returns_Raw_Data!A451</f>
        <v>43021</v>
      </c>
      <c r="B474" s="17" t="n">
        <f aca="false">SUMPRODUCT(Daily_Returns_Raw_Data!B451:X451,$AB$2:$AX$2)</f>
        <v>-0.00474323659136908</v>
      </c>
      <c r="C474" s="17" t="n">
        <f aca="false">-B474</f>
        <v>0.00474323659136908</v>
      </c>
      <c r="D474" s="17" t="n">
        <f aca="false">IF(RANK(C474,$C$25:$C$526,0)&lt;=$H$7,1/$H$7,0)</f>
        <v>0</v>
      </c>
      <c r="E474" s="17" t="n">
        <f aca="false">MAX(C474-$H$19,0)</f>
        <v>0</v>
      </c>
    </row>
    <row r="475" customFormat="false" ht="15" hidden="false" customHeight="true" outlineLevel="0" collapsed="false">
      <c r="A475" s="23" t="n">
        <f aca="false">Daily_Returns_Raw_Data!A452</f>
        <v>43024</v>
      </c>
      <c r="B475" s="17" t="n">
        <f aca="false">SUMPRODUCT(Daily_Returns_Raw_Data!B452:X452,$AB$2:$AX$2)</f>
        <v>-0.00394385905709173</v>
      </c>
      <c r="C475" s="17" t="n">
        <f aca="false">-B475</f>
        <v>0.00394385905709173</v>
      </c>
      <c r="D475" s="17" t="n">
        <f aca="false">IF(RANK(C475,$C$25:$C$526,0)&lt;=$H$7,1/$H$7,0)</f>
        <v>0</v>
      </c>
      <c r="E475" s="17" t="n">
        <f aca="false">MAX(C475-$H$19,0)</f>
        <v>0</v>
      </c>
    </row>
    <row r="476" customFormat="false" ht="15" hidden="false" customHeight="true" outlineLevel="0" collapsed="false">
      <c r="A476" s="23" t="n">
        <f aca="false">Daily_Returns_Raw_Data!A453</f>
        <v>43025</v>
      </c>
      <c r="B476" s="17" t="n">
        <f aca="false">SUMPRODUCT(Daily_Returns_Raw_Data!B453:X453,$AB$2:$AX$2)</f>
        <v>0.00563716429932415</v>
      </c>
      <c r="C476" s="17" t="n">
        <f aca="false">-B476</f>
        <v>-0.00563716429932415</v>
      </c>
      <c r="D476" s="17" t="n">
        <f aca="false">IF(RANK(C476,$C$25:$C$526,0)&lt;=$H$7,1/$H$7,0)</f>
        <v>0</v>
      </c>
      <c r="E476" s="17" t="n">
        <f aca="false">MAX(C476-$H$19,0)</f>
        <v>0</v>
      </c>
    </row>
    <row r="477" customFormat="false" ht="15" hidden="false" customHeight="true" outlineLevel="0" collapsed="false">
      <c r="A477" s="23" t="n">
        <f aca="false">Daily_Returns_Raw_Data!A454</f>
        <v>43026</v>
      </c>
      <c r="B477" s="17" t="n">
        <f aca="false">SUMPRODUCT(Daily_Returns_Raw_Data!B454:X454,$AB$2:$AX$2)</f>
        <v>0.00203953784479493</v>
      </c>
      <c r="C477" s="17" t="n">
        <f aca="false">-B477</f>
        <v>-0.00203953784479493</v>
      </c>
      <c r="D477" s="17" t="n">
        <f aca="false">IF(RANK(C477,$C$25:$C$526,0)&lt;=$H$7,1/$H$7,0)</f>
        <v>0</v>
      </c>
      <c r="E477" s="17" t="n">
        <f aca="false">MAX(C477-$H$19,0)</f>
        <v>0</v>
      </c>
    </row>
    <row r="478" customFormat="false" ht="15" hidden="false" customHeight="true" outlineLevel="0" collapsed="false">
      <c r="A478" s="23" t="n">
        <f aca="false">Daily_Returns_Raw_Data!A455</f>
        <v>43027</v>
      </c>
      <c r="B478" s="17" t="n">
        <f aca="false">SUMPRODUCT(Daily_Returns_Raw_Data!B455:X455,$AB$2:$AX$2)</f>
        <v>0.00525161162543303</v>
      </c>
      <c r="C478" s="17" t="n">
        <f aca="false">-B478</f>
        <v>-0.00525161162543303</v>
      </c>
      <c r="D478" s="17" t="n">
        <f aca="false">IF(RANK(C478,$C$25:$C$526,0)&lt;=$H$7,1/$H$7,0)</f>
        <v>0</v>
      </c>
      <c r="E478" s="17" t="n">
        <f aca="false">MAX(C478-$H$19,0)</f>
        <v>0</v>
      </c>
    </row>
    <row r="479" customFormat="false" ht="15" hidden="false" customHeight="true" outlineLevel="0" collapsed="false">
      <c r="A479" s="23" t="n">
        <f aca="false">Daily_Returns_Raw_Data!A456</f>
        <v>43028</v>
      </c>
      <c r="B479" s="17" t="n">
        <f aca="false">SUMPRODUCT(Daily_Returns_Raw_Data!B456:X456,$AB$2:$AX$2)</f>
        <v>-0.00901209418600086</v>
      </c>
      <c r="C479" s="17" t="n">
        <f aca="false">-B479</f>
        <v>0.00901209418600086</v>
      </c>
      <c r="D479" s="17" t="n">
        <f aca="false">IF(RANK(C479,$C$25:$C$526,0)&lt;=$H$7,1/$H$7,0)</f>
        <v>0.0196078431372549</v>
      </c>
      <c r="E479" s="17" t="n">
        <f aca="false">MAX(C479-$H$19,0)</f>
        <v>6.56409093195663E-005</v>
      </c>
    </row>
    <row r="480" customFormat="false" ht="15" hidden="false" customHeight="true" outlineLevel="0" collapsed="false">
      <c r="A480" s="23" t="n">
        <f aca="false">Daily_Returns_Raw_Data!A457</f>
        <v>43031</v>
      </c>
      <c r="B480" s="17" t="n">
        <f aca="false">SUMPRODUCT(Daily_Returns_Raw_Data!B457:X457,$AB$2:$AX$2)</f>
        <v>-0.00135431781914069</v>
      </c>
      <c r="C480" s="17" t="n">
        <f aca="false">-B480</f>
        <v>0.00135431781914069</v>
      </c>
      <c r="D480" s="17" t="n">
        <f aca="false">IF(RANK(C480,$C$25:$C$526,0)&lt;=$H$7,1/$H$7,0)</f>
        <v>0</v>
      </c>
      <c r="E480" s="17" t="n">
        <f aca="false">MAX(C480-$H$19,0)</f>
        <v>0</v>
      </c>
    </row>
    <row r="481" customFormat="false" ht="15" hidden="false" customHeight="true" outlineLevel="0" collapsed="false">
      <c r="A481" s="23" t="n">
        <f aca="false">Daily_Returns_Raw_Data!A458</f>
        <v>43032</v>
      </c>
      <c r="B481" s="17" t="n">
        <f aca="false">SUMPRODUCT(Daily_Returns_Raw_Data!B458:X458,$AB$2:$AX$2)</f>
        <v>-0.00949754893132414</v>
      </c>
      <c r="C481" s="17" t="n">
        <f aca="false">-B481</f>
        <v>0.00949754893132414</v>
      </c>
      <c r="D481" s="17" t="n">
        <f aca="false">IF(RANK(C481,$C$25:$C$526,0)&lt;=$H$7,1/$H$7,0)</f>
        <v>0.0196078431372549</v>
      </c>
      <c r="E481" s="17" t="n">
        <f aca="false">MAX(C481-$H$19,0)</f>
        <v>0.000551095654642843</v>
      </c>
    </row>
    <row r="482" customFormat="false" ht="15" hidden="false" customHeight="true" outlineLevel="0" collapsed="false">
      <c r="A482" s="23" t="n">
        <f aca="false">Daily_Returns_Raw_Data!A459</f>
        <v>43033</v>
      </c>
      <c r="B482" s="17" t="n">
        <f aca="false">SUMPRODUCT(Daily_Returns_Raw_Data!B459:X459,$AB$2:$AX$2)</f>
        <v>-0.00648589276179739</v>
      </c>
      <c r="C482" s="17" t="n">
        <f aca="false">-B482</f>
        <v>0.00648589276179739</v>
      </c>
      <c r="D482" s="17" t="n">
        <f aca="false">IF(RANK(C482,$C$25:$C$526,0)&lt;=$H$7,1/$H$7,0)</f>
        <v>0</v>
      </c>
      <c r="E482" s="17" t="n">
        <f aca="false">MAX(C482-$H$19,0)</f>
        <v>0</v>
      </c>
    </row>
    <row r="483" customFormat="false" ht="15" hidden="false" customHeight="true" outlineLevel="0" collapsed="false">
      <c r="A483" s="23" t="n">
        <f aca="false">Daily_Returns_Raw_Data!A460</f>
        <v>43034</v>
      </c>
      <c r="B483" s="17" t="n">
        <f aca="false">SUMPRODUCT(Daily_Returns_Raw_Data!B460:X460,$AB$2:$AX$2)</f>
        <v>-0.00441677229407251</v>
      </c>
      <c r="C483" s="17" t="n">
        <f aca="false">-B483</f>
        <v>0.00441677229407251</v>
      </c>
      <c r="D483" s="17" t="n">
        <f aca="false">IF(RANK(C483,$C$25:$C$526,0)&lt;=$H$7,1/$H$7,0)</f>
        <v>0</v>
      </c>
      <c r="E483" s="17" t="n">
        <f aca="false">MAX(C483-$H$19,0)</f>
        <v>0</v>
      </c>
    </row>
    <row r="484" customFormat="false" ht="15" hidden="false" customHeight="true" outlineLevel="0" collapsed="false">
      <c r="A484" s="23" t="n">
        <f aca="false">Daily_Returns_Raw_Data!A461</f>
        <v>43035</v>
      </c>
      <c r="B484" s="17" t="n">
        <f aca="false">SUMPRODUCT(Daily_Returns_Raw_Data!B461:X461,$AB$2:$AX$2)</f>
        <v>-0.00117627389123281</v>
      </c>
      <c r="C484" s="17" t="n">
        <f aca="false">-B484</f>
        <v>0.00117627389123281</v>
      </c>
      <c r="D484" s="17" t="n">
        <f aca="false">IF(RANK(C484,$C$25:$C$526,0)&lt;=$H$7,1/$H$7,0)</f>
        <v>0</v>
      </c>
      <c r="E484" s="17" t="n">
        <f aca="false">MAX(C484-$H$19,0)</f>
        <v>0</v>
      </c>
    </row>
    <row r="485" customFormat="false" ht="15" hidden="false" customHeight="true" outlineLevel="0" collapsed="false">
      <c r="A485" s="23" t="n">
        <f aca="false">Daily_Returns_Raw_Data!A462</f>
        <v>43038</v>
      </c>
      <c r="B485" s="17" t="n">
        <f aca="false">SUMPRODUCT(Daily_Returns_Raw_Data!B462:X462,$AB$2:$AX$2)</f>
        <v>0.0017611352111405</v>
      </c>
      <c r="C485" s="17" t="n">
        <f aca="false">-B485</f>
        <v>-0.0017611352111405</v>
      </c>
      <c r="D485" s="17" t="n">
        <f aca="false">IF(RANK(C485,$C$25:$C$526,0)&lt;=$H$7,1/$H$7,0)</f>
        <v>0</v>
      </c>
      <c r="E485" s="17" t="n">
        <f aca="false">MAX(C485-$H$19,0)</f>
        <v>0</v>
      </c>
    </row>
    <row r="486" customFormat="false" ht="15" hidden="false" customHeight="true" outlineLevel="0" collapsed="false">
      <c r="A486" s="23" t="n">
        <f aca="false">Daily_Returns_Raw_Data!A463</f>
        <v>43039</v>
      </c>
      <c r="B486" s="17" t="n">
        <f aca="false">SUMPRODUCT(Daily_Returns_Raw_Data!B463:X463,$AB$2:$AX$2)</f>
        <v>0.0025220871376171</v>
      </c>
      <c r="C486" s="17" t="n">
        <f aca="false">-B486</f>
        <v>-0.0025220871376171</v>
      </c>
      <c r="D486" s="17" t="n">
        <f aca="false">IF(RANK(C486,$C$25:$C$526,0)&lt;=$H$7,1/$H$7,0)</f>
        <v>0</v>
      </c>
      <c r="E486" s="17" t="n">
        <f aca="false">MAX(C486-$H$19,0)</f>
        <v>0</v>
      </c>
    </row>
    <row r="487" customFormat="false" ht="15" hidden="false" customHeight="true" outlineLevel="0" collapsed="false">
      <c r="A487" s="23" t="n">
        <f aca="false">Daily_Returns_Raw_Data!A464</f>
        <v>43040</v>
      </c>
      <c r="B487" s="17" t="n">
        <f aca="false">SUMPRODUCT(Daily_Returns_Raw_Data!B464:X464,$AB$2:$AX$2)</f>
        <v>-0.000773759501679296</v>
      </c>
      <c r="C487" s="17" t="n">
        <f aca="false">-B487</f>
        <v>0.000773759501679296</v>
      </c>
      <c r="D487" s="17" t="n">
        <f aca="false">IF(RANK(C487,$C$25:$C$526,0)&lt;=$H$7,1/$H$7,0)</f>
        <v>0</v>
      </c>
      <c r="E487" s="17" t="n">
        <f aca="false">MAX(C487-$H$19,0)</f>
        <v>0</v>
      </c>
    </row>
    <row r="488" customFormat="false" ht="15" hidden="false" customHeight="true" outlineLevel="0" collapsed="false">
      <c r="A488" s="23" t="n">
        <f aca="false">Daily_Returns_Raw_Data!A465</f>
        <v>43041</v>
      </c>
      <c r="B488" s="17" t="n">
        <f aca="false">SUMPRODUCT(Daily_Returns_Raw_Data!B465:X465,$AB$2:$AX$2)</f>
        <v>-0.00116671399697431</v>
      </c>
      <c r="C488" s="17" t="n">
        <f aca="false">-B488</f>
        <v>0.00116671399697431</v>
      </c>
      <c r="D488" s="17" t="n">
        <f aca="false">IF(RANK(C488,$C$25:$C$526,0)&lt;=$H$7,1/$H$7,0)</f>
        <v>0</v>
      </c>
      <c r="E488" s="17" t="n">
        <f aca="false">MAX(C488-$H$19,0)</f>
        <v>0</v>
      </c>
    </row>
    <row r="489" customFormat="false" ht="15" hidden="false" customHeight="true" outlineLevel="0" collapsed="false">
      <c r="A489" s="23" t="n">
        <f aca="false">Daily_Returns_Raw_Data!A466</f>
        <v>43042</v>
      </c>
      <c r="B489" s="17" t="n">
        <f aca="false">SUMPRODUCT(Daily_Returns_Raw_Data!B466:X466,$AB$2:$AX$2)</f>
        <v>0.0111669941212089</v>
      </c>
      <c r="C489" s="17" t="n">
        <f aca="false">-B489</f>
        <v>-0.0111669941212089</v>
      </c>
      <c r="D489" s="17" t="n">
        <f aca="false">IF(RANK(C489,$C$25:$C$526,0)&lt;=$H$7,1/$H$7,0)</f>
        <v>0</v>
      </c>
      <c r="E489" s="17" t="n">
        <f aca="false">MAX(C489-$H$19,0)</f>
        <v>0</v>
      </c>
    </row>
    <row r="490" customFormat="false" ht="15" hidden="false" customHeight="true" outlineLevel="0" collapsed="false">
      <c r="A490" s="23" t="n">
        <f aca="false">Daily_Returns_Raw_Data!A467</f>
        <v>43045</v>
      </c>
      <c r="B490" s="17" t="n">
        <f aca="false">SUMPRODUCT(Daily_Returns_Raw_Data!B467:X467,$AB$2:$AX$2)</f>
        <v>-0.00301181988267553</v>
      </c>
      <c r="C490" s="17" t="n">
        <f aca="false">-B490</f>
        <v>0.00301181988267553</v>
      </c>
      <c r="D490" s="17" t="n">
        <f aca="false">IF(RANK(C490,$C$25:$C$526,0)&lt;=$H$7,1/$H$7,0)</f>
        <v>0</v>
      </c>
      <c r="E490" s="17" t="n">
        <f aca="false">MAX(C490-$H$19,0)</f>
        <v>0</v>
      </c>
    </row>
    <row r="491" customFormat="false" ht="15" hidden="false" customHeight="true" outlineLevel="0" collapsed="false">
      <c r="A491" s="23" t="n">
        <f aca="false">Daily_Returns_Raw_Data!A468</f>
        <v>43046</v>
      </c>
      <c r="B491" s="17" t="n">
        <f aca="false">SUMPRODUCT(Daily_Returns_Raw_Data!B468:X468,$AB$2:$AX$2)</f>
        <v>0.00502807401141577</v>
      </c>
      <c r="C491" s="17" t="n">
        <f aca="false">-B491</f>
        <v>-0.00502807401141577</v>
      </c>
      <c r="D491" s="17" t="n">
        <f aca="false">IF(RANK(C491,$C$25:$C$526,0)&lt;=$H$7,1/$H$7,0)</f>
        <v>0</v>
      </c>
      <c r="E491" s="17" t="n">
        <f aca="false">MAX(C491-$H$19,0)</f>
        <v>0</v>
      </c>
    </row>
    <row r="492" customFormat="false" ht="15" hidden="false" customHeight="true" outlineLevel="0" collapsed="false">
      <c r="A492" s="23" t="n">
        <f aca="false">Daily_Returns_Raw_Data!A469</f>
        <v>43047</v>
      </c>
      <c r="B492" s="17" t="n">
        <f aca="false">SUMPRODUCT(Daily_Returns_Raw_Data!B469:X469,$AB$2:$AX$2)</f>
        <v>-0.00450408444500917</v>
      </c>
      <c r="C492" s="17" t="n">
        <f aca="false">-B492</f>
        <v>0.00450408444500917</v>
      </c>
      <c r="D492" s="17" t="n">
        <f aca="false">IF(RANK(C492,$C$25:$C$526,0)&lt;=$H$7,1/$H$7,0)</f>
        <v>0</v>
      </c>
      <c r="E492" s="17" t="n">
        <f aca="false">MAX(C492-$H$19,0)</f>
        <v>0</v>
      </c>
    </row>
    <row r="493" customFormat="false" ht="15" hidden="false" customHeight="true" outlineLevel="0" collapsed="false">
      <c r="A493" s="23" t="n">
        <f aca="false">Daily_Returns_Raw_Data!A470</f>
        <v>43048</v>
      </c>
      <c r="B493" s="17" t="n">
        <f aca="false">SUMPRODUCT(Daily_Returns_Raw_Data!B470:X470,$AB$2:$AX$2)</f>
        <v>0.00613036474922341</v>
      </c>
      <c r="C493" s="17" t="n">
        <f aca="false">-B493</f>
        <v>-0.00613036474922341</v>
      </c>
      <c r="D493" s="17" t="n">
        <f aca="false">IF(RANK(C493,$C$25:$C$526,0)&lt;=$H$7,1/$H$7,0)</f>
        <v>0</v>
      </c>
      <c r="E493" s="17" t="n">
        <f aca="false">MAX(C493-$H$19,0)</f>
        <v>0</v>
      </c>
    </row>
    <row r="494" customFormat="false" ht="15" hidden="false" customHeight="true" outlineLevel="0" collapsed="false">
      <c r="A494" s="23" t="n">
        <f aca="false">Daily_Returns_Raw_Data!A471</f>
        <v>43049</v>
      </c>
      <c r="B494" s="17" t="n">
        <f aca="false">SUMPRODUCT(Daily_Returns_Raw_Data!B471:X471,$AB$2:$AX$2)</f>
        <v>0.00855993036745295</v>
      </c>
      <c r="C494" s="17" t="n">
        <f aca="false">-B494</f>
        <v>-0.00855993036745295</v>
      </c>
      <c r="D494" s="17" t="n">
        <f aca="false">IF(RANK(C494,$C$25:$C$526,0)&lt;=$H$7,1/$H$7,0)</f>
        <v>0</v>
      </c>
      <c r="E494" s="17" t="n">
        <f aca="false">MAX(C494-$H$19,0)</f>
        <v>0</v>
      </c>
    </row>
    <row r="495" customFormat="false" ht="15" hidden="false" customHeight="true" outlineLevel="0" collapsed="false">
      <c r="A495" s="23" t="n">
        <f aca="false">Daily_Returns_Raw_Data!A472</f>
        <v>43052</v>
      </c>
      <c r="B495" s="17" t="n">
        <f aca="false">SUMPRODUCT(Daily_Returns_Raw_Data!B472:X472,$AB$2:$AX$2)</f>
        <v>-0.00862144161730598</v>
      </c>
      <c r="C495" s="17" t="n">
        <f aca="false">-B495</f>
        <v>0.00862144161730598</v>
      </c>
      <c r="D495" s="17" t="n">
        <f aca="false">IF(RANK(C495,$C$25:$C$526,0)&lt;=$H$7,1/$H$7,0)</f>
        <v>0</v>
      </c>
      <c r="E495" s="17" t="n">
        <f aca="false">MAX(C495-$H$19,0)</f>
        <v>0</v>
      </c>
    </row>
    <row r="496" customFormat="false" ht="15" hidden="false" customHeight="true" outlineLevel="0" collapsed="false">
      <c r="A496" s="23" t="n">
        <f aca="false">Daily_Returns_Raw_Data!A473</f>
        <v>43053</v>
      </c>
      <c r="B496" s="17" t="n">
        <f aca="false">SUMPRODUCT(Daily_Returns_Raw_Data!B473:X473,$AB$2:$AX$2)</f>
        <v>-0.000818579275125722</v>
      </c>
      <c r="C496" s="17" t="n">
        <f aca="false">-B496</f>
        <v>0.000818579275125722</v>
      </c>
      <c r="D496" s="17" t="n">
        <f aca="false">IF(RANK(C496,$C$25:$C$526,0)&lt;=$H$7,1/$H$7,0)</f>
        <v>0</v>
      </c>
      <c r="E496" s="17" t="n">
        <f aca="false">MAX(C496-$H$19,0)</f>
        <v>0</v>
      </c>
    </row>
    <row r="497" customFormat="false" ht="15" hidden="false" customHeight="true" outlineLevel="0" collapsed="false">
      <c r="A497" s="23" t="n">
        <f aca="false">Daily_Returns_Raw_Data!A474</f>
        <v>43054</v>
      </c>
      <c r="B497" s="17" t="n">
        <f aca="false">SUMPRODUCT(Daily_Returns_Raw_Data!B474:X474,$AB$2:$AX$2)</f>
        <v>0.00401788467930931</v>
      </c>
      <c r="C497" s="17" t="n">
        <f aca="false">-B497</f>
        <v>-0.00401788467930931</v>
      </c>
      <c r="D497" s="17" t="n">
        <f aca="false">IF(RANK(C497,$C$25:$C$526,0)&lt;=$H$7,1/$H$7,0)</f>
        <v>0</v>
      </c>
      <c r="E497" s="17" t="n">
        <f aca="false">MAX(C497-$H$19,0)</f>
        <v>0</v>
      </c>
    </row>
    <row r="498" customFormat="false" ht="15" hidden="false" customHeight="true" outlineLevel="0" collapsed="false">
      <c r="A498" s="23" t="n">
        <f aca="false">Daily_Returns_Raw_Data!A475</f>
        <v>43055</v>
      </c>
      <c r="B498" s="17" t="n">
        <f aca="false">SUMPRODUCT(Daily_Returns_Raw_Data!B475:X475,$AB$2:$AX$2)</f>
        <v>0.00625676781711456</v>
      </c>
      <c r="C498" s="17" t="n">
        <f aca="false">-B498</f>
        <v>-0.00625676781711456</v>
      </c>
      <c r="D498" s="17" t="n">
        <f aca="false">IF(RANK(C498,$C$25:$C$526,0)&lt;=$H$7,1/$H$7,0)</f>
        <v>0</v>
      </c>
      <c r="E498" s="17" t="n">
        <f aca="false">MAX(C498-$H$19,0)</f>
        <v>0</v>
      </c>
    </row>
    <row r="499" customFormat="false" ht="15" hidden="false" customHeight="true" outlineLevel="0" collapsed="false">
      <c r="A499" s="23" t="n">
        <f aca="false">Daily_Returns_Raw_Data!A476</f>
        <v>43056</v>
      </c>
      <c r="B499" s="17" t="n">
        <f aca="false">SUMPRODUCT(Daily_Returns_Raw_Data!B476:X476,$AB$2:$AX$2)</f>
        <v>0.00445037373836657</v>
      </c>
      <c r="C499" s="17" t="n">
        <f aca="false">-B499</f>
        <v>-0.00445037373836657</v>
      </c>
      <c r="D499" s="17" t="n">
        <f aca="false">IF(RANK(C499,$C$25:$C$526,0)&lt;=$H$7,1/$H$7,0)</f>
        <v>0</v>
      </c>
      <c r="E499" s="17" t="n">
        <f aca="false">MAX(C499-$H$19,0)</f>
        <v>0</v>
      </c>
    </row>
    <row r="500" customFormat="false" ht="15" hidden="false" customHeight="true" outlineLevel="0" collapsed="false">
      <c r="A500" s="23" t="n">
        <f aca="false">Daily_Returns_Raw_Data!A477</f>
        <v>43059</v>
      </c>
      <c r="B500" s="17" t="n">
        <f aca="false">SUMPRODUCT(Daily_Returns_Raw_Data!B477:X477,$AB$2:$AX$2)</f>
        <v>0.0068074300458989</v>
      </c>
      <c r="C500" s="17" t="n">
        <f aca="false">-B500</f>
        <v>-0.0068074300458989</v>
      </c>
      <c r="D500" s="17" t="n">
        <f aca="false">IF(RANK(C500,$C$25:$C$526,0)&lt;=$H$7,1/$H$7,0)</f>
        <v>0</v>
      </c>
      <c r="E500" s="17" t="n">
        <f aca="false">MAX(C500-$H$19,0)</f>
        <v>0</v>
      </c>
    </row>
    <row r="501" customFormat="false" ht="15" hidden="false" customHeight="true" outlineLevel="0" collapsed="false">
      <c r="A501" s="23" t="n">
        <f aca="false">Daily_Returns_Raw_Data!A478</f>
        <v>43060</v>
      </c>
      <c r="B501" s="17" t="n">
        <f aca="false">SUMPRODUCT(Daily_Returns_Raw_Data!B478:X478,$AB$2:$AX$2)</f>
        <v>0.00672636562128587</v>
      </c>
      <c r="C501" s="17" t="n">
        <f aca="false">-B501</f>
        <v>-0.00672636562128587</v>
      </c>
      <c r="D501" s="17" t="n">
        <f aca="false">IF(RANK(C501,$C$25:$C$526,0)&lt;=$H$7,1/$H$7,0)</f>
        <v>0</v>
      </c>
      <c r="E501" s="17" t="n">
        <f aca="false">MAX(C501-$H$19,0)</f>
        <v>0</v>
      </c>
    </row>
    <row r="502" customFormat="false" ht="15" hidden="false" customHeight="true" outlineLevel="0" collapsed="false">
      <c r="A502" s="23" t="n">
        <f aca="false">Daily_Returns_Raw_Data!A479</f>
        <v>43061</v>
      </c>
      <c r="B502" s="17" t="n">
        <f aca="false">SUMPRODUCT(Daily_Returns_Raw_Data!B479:X479,$AB$2:$AX$2)</f>
        <v>0.00290116474482622</v>
      </c>
      <c r="C502" s="17" t="n">
        <f aca="false">-B502</f>
        <v>-0.00290116474482622</v>
      </c>
      <c r="D502" s="17" t="n">
        <f aca="false">IF(RANK(C502,$C$25:$C$526,0)&lt;=$H$7,1/$H$7,0)</f>
        <v>0</v>
      </c>
      <c r="E502" s="17" t="n">
        <f aca="false">MAX(C502-$H$19,0)</f>
        <v>0</v>
      </c>
    </row>
    <row r="503" customFormat="false" ht="15" hidden="false" customHeight="true" outlineLevel="0" collapsed="false">
      <c r="A503" s="23" t="n">
        <f aca="false">Daily_Returns_Raw_Data!A480</f>
        <v>43063</v>
      </c>
      <c r="B503" s="17" t="n">
        <f aca="false">SUMPRODUCT(Daily_Returns_Raw_Data!B480:X480,$AB$2:$AX$2)</f>
        <v>0.0030040481737819</v>
      </c>
      <c r="C503" s="17" t="n">
        <f aca="false">-B503</f>
        <v>-0.0030040481737819</v>
      </c>
      <c r="D503" s="17" t="n">
        <f aca="false">IF(RANK(C503,$C$25:$C$526,0)&lt;=$H$7,1/$H$7,0)</f>
        <v>0</v>
      </c>
      <c r="E503" s="17" t="n">
        <f aca="false">MAX(C503-$H$19,0)</f>
        <v>0</v>
      </c>
    </row>
    <row r="504" customFormat="false" ht="15" hidden="false" customHeight="true" outlineLevel="0" collapsed="false">
      <c r="A504" s="23" t="n">
        <f aca="false">Daily_Returns_Raw_Data!A481</f>
        <v>43066</v>
      </c>
      <c r="B504" s="17" t="n">
        <f aca="false">SUMPRODUCT(Daily_Returns_Raw_Data!B481:X481,$AB$2:$AX$2)</f>
        <v>0.0111897731116876</v>
      </c>
      <c r="C504" s="17" t="n">
        <f aca="false">-B504</f>
        <v>-0.0111897731116876</v>
      </c>
      <c r="D504" s="17" t="n">
        <f aca="false">IF(RANK(C504,$C$25:$C$526,0)&lt;=$H$7,1/$H$7,0)</f>
        <v>0</v>
      </c>
      <c r="E504" s="17" t="n">
        <f aca="false">MAX(C504-$H$19,0)</f>
        <v>0</v>
      </c>
    </row>
    <row r="505" customFormat="false" ht="15" hidden="false" customHeight="true" outlineLevel="0" collapsed="false">
      <c r="A505" s="23" t="n">
        <f aca="false">Daily_Returns_Raw_Data!A482</f>
        <v>43067</v>
      </c>
      <c r="B505" s="17" t="n">
        <f aca="false">SUMPRODUCT(Daily_Returns_Raw_Data!B482:X482,$AB$2:$AX$2)</f>
        <v>-0.000444951898728758</v>
      </c>
      <c r="C505" s="17" t="n">
        <f aca="false">-B505</f>
        <v>0.000444951898728758</v>
      </c>
      <c r="D505" s="17" t="n">
        <f aca="false">IF(RANK(C505,$C$25:$C$526,0)&lt;=$H$7,1/$H$7,0)</f>
        <v>0</v>
      </c>
      <c r="E505" s="17" t="n">
        <f aca="false">MAX(C505-$H$19,0)</f>
        <v>0</v>
      </c>
    </row>
    <row r="506" customFormat="false" ht="15" hidden="false" customHeight="true" outlineLevel="0" collapsed="false">
      <c r="A506" s="23" t="n">
        <f aca="false">Daily_Returns_Raw_Data!A483</f>
        <v>43068</v>
      </c>
      <c r="B506" s="17" t="n">
        <f aca="false">SUMPRODUCT(Daily_Returns_Raw_Data!B483:X483,$AB$2:$AX$2)</f>
        <v>0.00755855759666998</v>
      </c>
      <c r="C506" s="17" t="n">
        <f aca="false">-B506</f>
        <v>-0.00755855759666998</v>
      </c>
      <c r="D506" s="17" t="n">
        <f aca="false">IF(RANK(C506,$C$25:$C$526,0)&lt;=$H$7,1/$H$7,0)</f>
        <v>0</v>
      </c>
      <c r="E506" s="17" t="n">
        <f aca="false">MAX(C506-$H$19,0)</f>
        <v>0</v>
      </c>
    </row>
    <row r="507" customFormat="false" ht="15" hidden="false" customHeight="true" outlineLevel="0" collapsed="false">
      <c r="A507" s="23" t="n">
        <f aca="false">Daily_Returns_Raw_Data!A484</f>
        <v>43069</v>
      </c>
      <c r="B507" s="17" t="n">
        <f aca="false">SUMPRODUCT(Daily_Returns_Raw_Data!B484:X484,$AB$2:$AX$2)</f>
        <v>0.00063180150166472</v>
      </c>
      <c r="C507" s="17" t="n">
        <f aca="false">-B507</f>
        <v>-0.00063180150166472</v>
      </c>
      <c r="D507" s="17" t="n">
        <f aca="false">IF(RANK(C507,$C$25:$C$526,0)&lt;=$H$7,1/$H$7,0)</f>
        <v>0</v>
      </c>
      <c r="E507" s="17" t="n">
        <f aca="false">MAX(C507-$H$19,0)</f>
        <v>0</v>
      </c>
    </row>
    <row r="508" customFormat="false" ht="15" hidden="false" customHeight="true" outlineLevel="0" collapsed="false">
      <c r="A508" s="23" t="n">
        <f aca="false">Daily_Returns_Raw_Data!A485</f>
        <v>43070</v>
      </c>
      <c r="B508" s="17" t="n">
        <f aca="false">SUMPRODUCT(Daily_Returns_Raw_Data!B485:X485,$AB$2:$AX$2)</f>
        <v>0.008596964542123</v>
      </c>
      <c r="C508" s="17" t="n">
        <f aca="false">-B508</f>
        <v>-0.008596964542123</v>
      </c>
      <c r="D508" s="17" t="n">
        <f aca="false">IF(RANK(C508,$C$25:$C$526,0)&lt;=$H$7,1/$H$7,0)</f>
        <v>0</v>
      </c>
      <c r="E508" s="17" t="n">
        <f aca="false">MAX(C508-$H$19,0)</f>
        <v>0</v>
      </c>
    </row>
    <row r="509" customFormat="false" ht="15" hidden="false" customHeight="true" outlineLevel="0" collapsed="false">
      <c r="A509" s="23" t="n">
        <f aca="false">Daily_Returns_Raw_Data!A486</f>
        <v>43073</v>
      </c>
      <c r="B509" s="17" t="n">
        <f aca="false">SUMPRODUCT(Daily_Returns_Raw_Data!B486:X486,$AB$2:$AX$2)</f>
        <v>-0.00752025872795213</v>
      </c>
      <c r="C509" s="17" t="n">
        <f aca="false">-B509</f>
        <v>0.00752025872795213</v>
      </c>
      <c r="D509" s="17" t="n">
        <f aca="false">IF(RANK(C509,$C$25:$C$526,0)&lt;=$H$7,1/$H$7,0)</f>
        <v>0</v>
      </c>
      <c r="E509" s="17" t="n">
        <f aca="false">MAX(C509-$H$19,0)</f>
        <v>0</v>
      </c>
    </row>
    <row r="510" customFormat="false" ht="15" hidden="false" customHeight="true" outlineLevel="0" collapsed="false">
      <c r="A510" s="23" t="n">
        <f aca="false">Daily_Returns_Raw_Data!A487</f>
        <v>43074</v>
      </c>
      <c r="B510" s="17" t="n">
        <f aca="false">SUMPRODUCT(Daily_Returns_Raw_Data!B487:X487,$AB$2:$AX$2)</f>
        <v>-0.00928992419687637</v>
      </c>
      <c r="C510" s="17" t="n">
        <f aca="false">-B510</f>
        <v>0.00928992419687637</v>
      </c>
      <c r="D510" s="17" t="n">
        <f aca="false">IF(RANK(C510,$C$25:$C$526,0)&lt;=$H$7,1/$H$7,0)</f>
        <v>0.0196078431372549</v>
      </c>
      <c r="E510" s="17" t="n">
        <f aca="false">MAX(C510-$H$19,0)</f>
        <v>0.000343470920195077</v>
      </c>
    </row>
    <row r="511" customFormat="false" ht="15" hidden="false" customHeight="true" outlineLevel="0" collapsed="false">
      <c r="A511" s="23" t="n">
        <f aca="false">Daily_Returns_Raw_Data!A488</f>
        <v>43075</v>
      </c>
      <c r="B511" s="17" t="n">
        <f aca="false">SUMPRODUCT(Daily_Returns_Raw_Data!B488:X488,$AB$2:$AX$2)</f>
        <v>-2.33776040153699E-005</v>
      </c>
      <c r="C511" s="17" t="n">
        <f aca="false">-B511</f>
        <v>2.33776040153699E-005</v>
      </c>
      <c r="D511" s="17" t="n">
        <f aca="false">IF(RANK(C511,$C$25:$C$526,0)&lt;=$H$7,1/$H$7,0)</f>
        <v>0</v>
      </c>
      <c r="E511" s="17" t="n">
        <f aca="false">MAX(C511-$H$19,0)</f>
        <v>0</v>
      </c>
    </row>
    <row r="512" customFormat="false" ht="15" hidden="false" customHeight="true" outlineLevel="0" collapsed="false">
      <c r="A512" s="23" t="n">
        <f aca="false">Daily_Returns_Raw_Data!A489</f>
        <v>43076</v>
      </c>
      <c r="B512" s="17" t="n">
        <f aca="false">SUMPRODUCT(Daily_Returns_Raw_Data!B489:X489,$AB$2:$AX$2)</f>
        <v>0.0107702389206324</v>
      </c>
      <c r="C512" s="17" t="n">
        <f aca="false">-B512</f>
        <v>-0.0107702389206324</v>
      </c>
      <c r="D512" s="17" t="n">
        <f aca="false">IF(RANK(C512,$C$25:$C$526,0)&lt;=$H$7,1/$H$7,0)</f>
        <v>0</v>
      </c>
      <c r="E512" s="17" t="n">
        <f aca="false">MAX(C512-$H$19,0)</f>
        <v>0</v>
      </c>
    </row>
    <row r="513" customFormat="false" ht="15" hidden="false" customHeight="true" outlineLevel="0" collapsed="false">
      <c r="A513" s="23" t="n">
        <f aca="false">Daily_Returns_Raw_Data!A490</f>
        <v>43077</v>
      </c>
      <c r="B513" s="17" t="n">
        <f aca="false">SUMPRODUCT(Daily_Returns_Raw_Data!B490:X490,$AB$2:$AX$2)</f>
        <v>0.00484288300594568</v>
      </c>
      <c r="C513" s="17" t="n">
        <f aca="false">-B513</f>
        <v>-0.00484288300594568</v>
      </c>
      <c r="D513" s="17" t="n">
        <f aca="false">IF(RANK(C513,$C$25:$C$526,0)&lt;=$H$7,1/$H$7,0)</f>
        <v>0</v>
      </c>
      <c r="E513" s="17" t="n">
        <f aca="false">MAX(C513-$H$19,0)</f>
        <v>0</v>
      </c>
    </row>
    <row r="514" customFormat="false" ht="15" hidden="false" customHeight="true" outlineLevel="0" collapsed="false">
      <c r="A514" s="23" t="n">
        <f aca="false">Daily_Returns_Raw_Data!A491</f>
        <v>43080</v>
      </c>
      <c r="B514" s="17" t="n">
        <f aca="false">SUMPRODUCT(Daily_Returns_Raw_Data!B491:X491,$AB$2:$AX$2)</f>
        <v>0.00701668213165762</v>
      </c>
      <c r="C514" s="17" t="n">
        <f aca="false">-B514</f>
        <v>-0.00701668213165762</v>
      </c>
      <c r="D514" s="17" t="n">
        <f aca="false">IF(RANK(C514,$C$25:$C$526,0)&lt;=$H$7,1/$H$7,0)</f>
        <v>0</v>
      </c>
      <c r="E514" s="17" t="n">
        <f aca="false">MAX(C514-$H$19,0)</f>
        <v>0</v>
      </c>
    </row>
    <row r="515" customFormat="false" ht="15" hidden="false" customHeight="true" outlineLevel="0" collapsed="false">
      <c r="A515" s="23" t="n">
        <f aca="false">Daily_Returns_Raw_Data!A492</f>
        <v>43081</v>
      </c>
      <c r="B515" s="17" t="n">
        <f aca="false">SUMPRODUCT(Daily_Returns_Raw_Data!B492:X492,$AB$2:$AX$2)</f>
        <v>-0.00236781918341221</v>
      </c>
      <c r="C515" s="17" t="n">
        <f aca="false">-B515</f>
        <v>0.00236781918341221</v>
      </c>
      <c r="D515" s="17" t="n">
        <f aca="false">IF(RANK(C515,$C$25:$C$526,0)&lt;=$H$7,1/$H$7,0)</f>
        <v>0</v>
      </c>
      <c r="E515" s="17" t="n">
        <f aca="false">MAX(C515-$H$19,0)</f>
        <v>0</v>
      </c>
    </row>
    <row r="516" customFormat="false" ht="15" hidden="false" customHeight="true" outlineLevel="0" collapsed="false">
      <c r="A516" s="23" t="n">
        <f aca="false">Daily_Returns_Raw_Data!A493</f>
        <v>43082</v>
      </c>
      <c r="B516" s="17" t="n">
        <f aca="false">SUMPRODUCT(Daily_Returns_Raw_Data!B493:X493,$AB$2:$AX$2)</f>
        <v>-0.00891309664639047</v>
      </c>
      <c r="C516" s="17" t="n">
        <f aca="false">-B516</f>
        <v>0.00891309664639047</v>
      </c>
      <c r="D516" s="17" t="n">
        <f aca="false">IF(RANK(C516,$C$25:$C$526,0)&lt;=$H$7,1/$H$7,0)</f>
        <v>0</v>
      </c>
      <c r="E516" s="17" t="n">
        <f aca="false">MAX(C516-$H$19,0)</f>
        <v>0</v>
      </c>
    </row>
    <row r="517" customFormat="false" ht="15" hidden="false" customHeight="true" outlineLevel="0" collapsed="false">
      <c r="A517" s="23" t="n">
        <f aca="false">Daily_Returns_Raw_Data!A494</f>
        <v>43083</v>
      </c>
      <c r="B517" s="17" t="n">
        <f aca="false">SUMPRODUCT(Daily_Returns_Raw_Data!B494:X494,$AB$2:$AX$2)</f>
        <v>0.00336786960643475</v>
      </c>
      <c r="C517" s="17" t="n">
        <f aca="false">-B517</f>
        <v>-0.00336786960643475</v>
      </c>
      <c r="D517" s="17" t="n">
        <f aca="false">IF(RANK(C517,$C$25:$C$526,0)&lt;=$H$7,1/$H$7,0)</f>
        <v>0</v>
      </c>
      <c r="E517" s="17" t="n">
        <f aca="false">MAX(C517-$H$19,0)</f>
        <v>0</v>
      </c>
    </row>
    <row r="518" customFormat="false" ht="15" hidden="false" customHeight="true" outlineLevel="0" collapsed="false">
      <c r="A518" s="23" t="n">
        <f aca="false">Daily_Returns_Raw_Data!A495</f>
        <v>43084</v>
      </c>
      <c r="B518" s="17" t="n">
        <f aca="false">SUMPRODUCT(Daily_Returns_Raw_Data!B495:X495,$AB$2:$AX$2)</f>
        <v>0.00916408253521589</v>
      </c>
      <c r="C518" s="17" t="n">
        <f aca="false">-B518</f>
        <v>-0.00916408253521589</v>
      </c>
      <c r="D518" s="17" t="n">
        <f aca="false">IF(RANK(C518,$C$25:$C$526,0)&lt;=$H$7,1/$H$7,0)</f>
        <v>0</v>
      </c>
      <c r="E518" s="17" t="n">
        <f aca="false">MAX(C518-$H$19,0)</f>
        <v>0</v>
      </c>
    </row>
    <row r="519" customFormat="false" ht="15" hidden="false" customHeight="true" outlineLevel="0" collapsed="false">
      <c r="A519" s="23" t="n">
        <f aca="false">Daily_Returns_Raw_Data!A496</f>
        <v>43087</v>
      </c>
      <c r="B519" s="17" t="n">
        <f aca="false">SUMPRODUCT(Daily_Returns_Raw_Data!B496:X496,$AB$2:$AX$2)</f>
        <v>-0.00321481785618927</v>
      </c>
      <c r="C519" s="17" t="n">
        <f aca="false">-B519</f>
        <v>0.00321481785618927</v>
      </c>
      <c r="D519" s="17" t="n">
        <f aca="false">IF(RANK(C519,$C$25:$C$526,0)&lt;=$H$7,1/$H$7,0)</f>
        <v>0</v>
      </c>
      <c r="E519" s="17" t="n">
        <f aca="false">MAX(C519-$H$19,0)</f>
        <v>0</v>
      </c>
    </row>
    <row r="520" customFormat="false" ht="15" hidden="false" customHeight="true" outlineLevel="0" collapsed="false">
      <c r="A520" s="23" t="n">
        <f aca="false">Daily_Returns_Raw_Data!A497</f>
        <v>43088</v>
      </c>
      <c r="B520" s="17" t="n">
        <f aca="false">SUMPRODUCT(Daily_Returns_Raw_Data!B497:X497,$AB$2:$AX$2)</f>
        <v>0.00372404131999309</v>
      </c>
      <c r="C520" s="17" t="n">
        <f aca="false">-B520</f>
        <v>-0.00372404131999309</v>
      </c>
      <c r="D520" s="17" t="n">
        <f aca="false">IF(RANK(C520,$C$25:$C$526,0)&lt;=$H$7,1/$H$7,0)</f>
        <v>0</v>
      </c>
      <c r="E520" s="17" t="n">
        <f aca="false">MAX(C520-$H$19,0)</f>
        <v>0</v>
      </c>
    </row>
    <row r="521" customFormat="false" ht="15" hidden="false" customHeight="true" outlineLevel="0" collapsed="false">
      <c r="A521" s="23" t="n">
        <f aca="false">Daily_Returns_Raw_Data!A498</f>
        <v>43089</v>
      </c>
      <c r="B521" s="17" t="n">
        <f aca="false">SUMPRODUCT(Daily_Returns_Raw_Data!B498:X498,$AB$2:$AX$2)</f>
        <v>0.00673074503367749</v>
      </c>
      <c r="C521" s="17" t="n">
        <f aca="false">-B521</f>
        <v>-0.00673074503367749</v>
      </c>
      <c r="D521" s="17" t="n">
        <f aca="false">IF(RANK(C521,$C$25:$C$526,0)&lt;=$H$7,1/$H$7,0)</f>
        <v>0</v>
      </c>
      <c r="E521" s="17" t="n">
        <f aca="false">MAX(C521-$H$19,0)</f>
        <v>0</v>
      </c>
    </row>
    <row r="522" customFormat="false" ht="15" hidden="false" customHeight="true" outlineLevel="0" collapsed="false">
      <c r="A522" s="23" t="n">
        <f aca="false">Daily_Returns_Raw_Data!A499</f>
        <v>43090</v>
      </c>
      <c r="B522" s="17" t="n">
        <f aca="false">SUMPRODUCT(Daily_Returns_Raw_Data!B499:X499,$AB$2:$AX$2)</f>
        <v>0.0012250493729429</v>
      </c>
      <c r="C522" s="17" t="n">
        <f aca="false">-B522</f>
        <v>-0.0012250493729429</v>
      </c>
      <c r="D522" s="17" t="n">
        <f aca="false">IF(RANK(C522,$C$25:$C$526,0)&lt;=$H$7,1/$H$7,0)</f>
        <v>0</v>
      </c>
      <c r="E522" s="17" t="n">
        <f aca="false">MAX(C522-$H$19,0)</f>
        <v>0</v>
      </c>
    </row>
    <row r="523" customFormat="false" ht="15" hidden="false" customHeight="true" outlineLevel="0" collapsed="false">
      <c r="A523" s="23" t="n">
        <f aca="false">Daily_Returns_Raw_Data!A500</f>
        <v>43091</v>
      </c>
      <c r="B523" s="17" t="n">
        <f aca="false">SUMPRODUCT(Daily_Returns_Raw_Data!B500:X500,$AB$2:$AX$2)</f>
        <v>0.0063497699252599</v>
      </c>
      <c r="C523" s="17" t="n">
        <f aca="false">-B523</f>
        <v>-0.0063497699252599</v>
      </c>
      <c r="D523" s="17" t="n">
        <f aca="false">IF(RANK(C523,$C$25:$C$526,0)&lt;=$H$7,1/$H$7,0)</f>
        <v>0</v>
      </c>
      <c r="E523" s="17" t="n">
        <f aca="false">MAX(C523-$H$19,0)</f>
        <v>0</v>
      </c>
    </row>
    <row r="524" customFormat="false" ht="15" hidden="false" customHeight="true" outlineLevel="0" collapsed="false">
      <c r="A524" s="23" t="n">
        <f aca="false">Daily_Returns_Raw_Data!A501</f>
        <v>43095</v>
      </c>
      <c r="B524" s="17" t="n">
        <f aca="false">SUMPRODUCT(Daily_Returns_Raw_Data!B501:X501,$AB$2:$AX$2)</f>
        <v>-0.000394577171552799</v>
      </c>
      <c r="C524" s="17" t="n">
        <f aca="false">-B524</f>
        <v>0.000394577171552799</v>
      </c>
      <c r="D524" s="17" t="n">
        <f aca="false">IF(RANK(C524,$C$25:$C$526,0)&lt;=$H$7,1/$H$7,0)</f>
        <v>0</v>
      </c>
      <c r="E524" s="17" t="n">
        <f aca="false">MAX(C524-$H$19,0)</f>
        <v>0</v>
      </c>
    </row>
    <row r="525" customFormat="false" ht="15" hidden="false" customHeight="true" outlineLevel="0" collapsed="false">
      <c r="A525" s="23" t="n">
        <f aca="false">Daily_Returns_Raw_Data!A502</f>
        <v>43096</v>
      </c>
      <c r="B525" s="17" t="n">
        <f aca="false">SUMPRODUCT(Daily_Returns_Raw_Data!B502:X502,$AB$2:$AX$2)</f>
        <v>0.00807558630909445</v>
      </c>
      <c r="C525" s="17" t="n">
        <f aca="false">-B525</f>
        <v>-0.00807558630909445</v>
      </c>
      <c r="D525" s="17" t="n">
        <f aca="false">IF(RANK(C525,$C$25:$C$526,0)&lt;=$H$7,1/$H$7,0)</f>
        <v>0</v>
      </c>
      <c r="E525" s="17" t="n">
        <f aca="false">MAX(C525-$H$19,0)</f>
        <v>0</v>
      </c>
    </row>
    <row r="526" customFormat="false" ht="15" hidden="false" customHeight="true" outlineLevel="0" collapsed="false">
      <c r="A526" s="23" t="n">
        <f aca="false">Daily_Returns_Raw_Data!A503</f>
        <v>43097</v>
      </c>
      <c r="B526" s="17" t="n">
        <f aca="false">SUMPRODUCT(Daily_Returns_Raw_Data!B503:X503,$AB$2:$AX$2)</f>
        <v>-0.00221859832600325</v>
      </c>
      <c r="C526" s="17" t="n">
        <f aca="false">-B526</f>
        <v>0.00221859832600325</v>
      </c>
      <c r="D526" s="17" t="n">
        <f aca="false">IF(RANK(C526,$C$25:$C$526,0)&lt;=$H$7,1/$H$7,0)</f>
        <v>0</v>
      </c>
      <c r="E526" s="17" t="n">
        <f aca="false">MAX(C526-$H$19,0)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4" topLeftCell="A2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24"/>
    <col collapsed="false" customWidth="true" hidden="false" outlineLevel="0" max="7" min="7" style="1" width="40"/>
    <col collapsed="false" customWidth="true" hidden="false" outlineLevel="0" max="10" min="8" style="1" width="16"/>
    <col collapsed="false" customWidth="true" hidden="false" outlineLevel="0" max="27" min="27" style="1" width="30"/>
  </cols>
  <sheetData>
    <row r="1" customFormat="false" ht="15.75" hidden="false" customHeight="true" outlineLevel="0" collapsed="false">
      <c r="A1" s="2" t="s">
        <v>145</v>
      </c>
      <c r="AA1" s="9" t="s">
        <v>146</v>
      </c>
      <c r="AB1" s="9" t="str">
        <f aca="false">Daily_Returns_Raw_Data!B1</f>
        <v>IBM</v>
      </c>
      <c r="AC1" s="9" t="str">
        <f aca="false">Daily_Returns_Raw_Data!C1</f>
        <v>GE</v>
      </c>
      <c r="AD1" s="9" t="str">
        <f aca="false">Daily_Returns_Raw_Data!D1</f>
        <v>LLY</v>
      </c>
      <c r="AE1" s="9" t="str">
        <f aca="false">Daily_Returns_Raw_Data!E1</f>
        <v>F</v>
      </c>
      <c r="AF1" s="9" t="str">
        <f aca="false">Daily_Returns_Raw_Data!F1</f>
        <v>BAC</v>
      </c>
      <c r="AG1" s="9" t="str">
        <f aca="false">Daily_Returns_Raw_Data!G1</f>
        <v>KR</v>
      </c>
      <c r="AH1" s="9" t="str">
        <f aca="false">Daily_Returns_Raw_Data!H1</f>
        <v>ITUB</v>
      </c>
      <c r="AI1" s="9" t="str">
        <f aca="false">Daily_Returns_Raw_Data!I1</f>
        <v>GG</v>
      </c>
      <c r="AJ1" s="9" t="str">
        <f aca="false">Daily_Returns_Raw_Data!J1</f>
        <v>SIRI</v>
      </c>
      <c r="AK1" s="9" t="str">
        <f aca="false">Daily_Returns_Raw_Data!K1</f>
        <v>ACB</v>
      </c>
      <c r="AL1" s="9" t="str">
        <f aca="false">Daily_Returns_Raw_Data!L1</f>
        <v>VALE</v>
      </c>
      <c r="AM1" s="9" t="str">
        <f aca="false">Daily_Returns_Raw_Data!M1</f>
        <v>PFE</v>
      </c>
      <c r="AN1" s="9" t="str">
        <f aca="false">Daily_Returns_Raw_Data!N1</f>
        <v>CTL</v>
      </c>
      <c r="AO1" s="9" t="str">
        <f aca="false">Daily_Returns_Raw_Data!O1</f>
        <v>T</v>
      </c>
      <c r="AP1" s="9" t="str">
        <f aca="false">Daily_Returns_Raw_Data!P1</f>
        <v>ECA</v>
      </c>
      <c r="AQ1" s="9" t="str">
        <f aca="false">Daily_Returns_Raw_Data!Q1</f>
        <v>ABEV</v>
      </c>
      <c r="AR1" s="9" t="str">
        <f aca="false">Daily_Returns_Raw_Data!R1</f>
        <v>CVS</v>
      </c>
      <c r="AS1" s="9" t="str">
        <f aca="false">Daily_Returns_Raw_Data!S1</f>
        <v>MRVL</v>
      </c>
      <c r="AT1" s="9" t="str">
        <f aca="false">Daily_Returns_Raw_Data!T1</f>
        <v>CSCO</v>
      </c>
      <c r="AU1" s="9" t="str">
        <f aca="false">Daily_Returns_Raw_Data!U1</f>
        <v>MO</v>
      </c>
      <c r="AV1" s="9" t="str">
        <f aca="false">Daily_Returns_Raw_Data!V1</f>
        <v>BMY</v>
      </c>
      <c r="AW1" s="9" t="str">
        <f aca="false">Daily_Returns_Raw_Data!W1</f>
        <v>WFC</v>
      </c>
      <c r="AX1" s="9" t="str">
        <f aca="false">Daily_Returns_Raw_Data!X1</f>
        <v>HBAN</v>
      </c>
    </row>
    <row r="2" customFormat="false" ht="15" hidden="false" customHeight="true" outlineLevel="0" collapsed="false">
      <c r="AA2" s="9" t="s">
        <v>147</v>
      </c>
      <c r="AB2" s="17" t="n">
        <f aca="false">AVERAGE(Daily_Returns_Raw_Data!B2:B503)</f>
        <v>0.000240820912281678</v>
      </c>
      <c r="AC2" s="17" t="n">
        <f aca="false">AVERAGE(Daily_Returns_Raw_Data!C2:C503)</f>
        <v>-0.0011259933679319</v>
      </c>
      <c r="AD2" s="17" t="n">
        <f aca="false">AVERAGE(Daily_Returns_Raw_Data!D2:D503)</f>
        <v>3.78583479318958E-005</v>
      </c>
      <c r="AE2" s="17" t="n">
        <f aca="false">AVERAGE(Daily_Returns_Raw_Data!E2:E503)</f>
        <v>-0.000223075471257048</v>
      </c>
      <c r="AF2" s="17" t="n">
        <f aca="false">AVERAGE(Daily_Returns_Raw_Data!F2:F503)</f>
        <v>0.00116724913270058</v>
      </c>
      <c r="AG2" s="17" t="n">
        <f aca="false">AVERAGE(Daily_Returns_Raw_Data!G2:G503)</f>
        <v>-0.000806973528903055</v>
      </c>
      <c r="AH2" s="17" t="n">
        <f aca="false">AVERAGE(Daily_Returns_Raw_Data!H2:H503)</f>
        <v>0.0016583459605131</v>
      </c>
      <c r="AI2" s="17" t="n">
        <f aca="false">AVERAGE(Daily_Returns_Raw_Data!I2:I503)</f>
        <v>0.000147265620059017</v>
      </c>
      <c r="AJ2" s="17" t="n">
        <f aca="false">AVERAGE(Daily_Returns_Raw_Data!J2:J503)</f>
        <v>0.000608064559775409</v>
      </c>
      <c r="AK2" s="17" t="n">
        <f aca="false">AVERAGE(Daily_Returns_Raw_Data!K2:K503)</f>
        <v>0.00578082115522746</v>
      </c>
      <c r="AL2" s="17" t="n">
        <f aca="false">AVERAGE(Daily_Returns_Raw_Data!L2:L503)</f>
        <v>0.00269585628985871</v>
      </c>
      <c r="AM2" s="17" t="n">
        <f aca="false">AVERAGE(Daily_Returns_Raw_Data!M2:M503)</f>
        <v>0.000249879046723138</v>
      </c>
      <c r="AN2" s="17" t="n">
        <f aca="false">AVERAGE(Daily_Returns_Raw_Data!N2:N503)</f>
        <v>-0.000814852155876681</v>
      </c>
      <c r="AO2" s="17" t="n">
        <f aca="false">AVERAGE(Daily_Returns_Raw_Data!O2:O503)</f>
        <v>0.000246768989676278</v>
      </c>
      <c r="AP2" s="17" t="n">
        <f aca="false">AVERAGE(Daily_Returns_Raw_Data!P2:P503)</f>
        <v>0.00190221403780138</v>
      </c>
      <c r="AQ2" s="17" t="n">
        <f aca="false">AVERAGE(Daily_Returns_Raw_Data!Q2:Q503)</f>
        <v>0.000824732073557649</v>
      </c>
      <c r="AR2" s="17" t="n">
        <f aca="false">AVERAGE(Daily_Returns_Raw_Data!R2:R503)</f>
        <v>-0.000568808452766799</v>
      </c>
      <c r="AS2" s="17" t="n">
        <f aca="false">AVERAGE(Daily_Returns_Raw_Data!S2:S503)</f>
        <v>0.00177670286205276</v>
      </c>
      <c r="AT2" s="17" t="n">
        <f aca="false">AVERAGE(Daily_Returns_Raw_Data!T2:T503)</f>
        <v>0.000740452501464389</v>
      </c>
      <c r="AU2" s="17" t="n">
        <f aca="false">AVERAGE(Daily_Returns_Raw_Data!U2:U503)</f>
        <v>0.000435394233782401</v>
      </c>
      <c r="AV2" s="17" t="n">
        <f aca="false">AVERAGE(Daily_Returns_Raw_Data!V2:V503)</f>
        <v>-0.000178658877781522</v>
      </c>
      <c r="AW2" s="17" t="n">
        <f aca="false">AVERAGE(Daily_Returns_Raw_Data!W2:W503)</f>
        <v>0.000272623421795853</v>
      </c>
      <c r="AX2" s="17" t="n">
        <f aca="false">AVERAGE(Daily_Returns_Raw_Data!X2:X503)</f>
        <v>0.000613614238936643</v>
      </c>
    </row>
    <row r="3" customFormat="false" ht="15" hidden="false" customHeight="true" outlineLevel="0" collapsed="false">
      <c r="A3" s="12" t="s">
        <v>148</v>
      </c>
      <c r="G3" s="9" t="s">
        <v>72</v>
      </c>
      <c r="AA3" s="9" t="s">
        <v>149</v>
      </c>
      <c r="AB3" s="33" t="n">
        <v>0</v>
      </c>
      <c r="AC3" s="33" t="n">
        <v>0</v>
      </c>
      <c r="AD3" s="33" t="n">
        <v>0</v>
      </c>
      <c r="AE3" s="33" t="n">
        <v>0</v>
      </c>
      <c r="AF3" s="33" t="n">
        <v>0.082686126352</v>
      </c>
      <c r="AG3" s="33" t="n">
        <v>0</v>
      </c>
      <c r="AH3" s="33" t="n">
        <v>0.054994237832</v>
      </c>
      <c r="AI3" s="33" t="n">
        <v>0.076136095792</v>
      </c>
      <c r="AJ3" s="33" t="n">
        <v>0</v>
      </c>
      <c r="AK3" s="33" t="n">
        <v>0.207799429618</v>
      </c>
      <c r="AL3" s="33" t="n">
        <v>0.025403139491</v>
      </c>
      <c r="AM3" s="33" t="n">
        <v>0.014922675494</v>
      </c>
      <c r="AN3" s="33" t="n">
        <v>0</v>
      </c>
      <c r="AO3" s="33" t="n">
        <v>0.115878144475</v>
      </c>
      <c r="AP3" s="33" t="n">
        <v>0</v>
      </c>
      <c r="AQ3" s="33" t="n">
        <v>0</v>
      </c>
      <c r="AR3" s="33" t="n">
        <v>0</v>
      </c>
      <c r="AS3" s="33" t="n">
        <v>0.210043720723</v>
      </c>
      <c r="AT3" s="33" t="n">
        <v>0</v>
      </c>
      <c r="AU3" s="33" t="n">
        <v>0.212136430223</v>
      </c>
      <c r="AV3" s="33" t="n">
        <v>0</v>
      </c>
      <c r="AW3" s="33" t="n">
        <v>0</v>
      </c>
      <c r="AX3" s="33" t="n">
        <v>0</v>
      </c>
    </row>
    <row r="4" customFormat="false" ht="15" hidden="false" customHeight="true" outlineLevel="0" collapsed="false">
      <c r="G4" s="5" t="s">
        <v>73</v>
      </c>
      <c r="H4" s="14" t="n">
        <f aca="false">COUNTA(Daily_Returns_Raw_Data!B1:X1)</f>
        <v>23</v>
      </c>
      <c r="AA4" s="9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</row>
    <row r="5" customFormat="false" ht="15" hidden="false" customHeight="true" outlineLevel="0" collapsed="false">
      <c r="G5" s="5" t="s">
        <v>150</v>
      </c>
      <c r="H5" s="13" t="n">
        <v>0.9</v>
      </c>
    </row>
    <row r="6" customFormat="false" ht="15" hidden="false" customHeight="true" outlineLevel="0" collapsed="false">
      <c r="G6" s="5" t="s">
        <v>112</v>
      </c>
      <c r="H6" s="14" t="n">
        <f aca="false">COUNT(Daily_Returns_Raw_Data!B2:B503)</f>
        <v>502</v>
      </c>
    </row>
    <row r="7" customFormat="false" ht="15" hidden="false" customHeight="true" outlineLevel="0" collapsed="false">
      <c r="G7" s="5" t="s">
        <v>113</v>
      </c>
      <c r="H7" s="14" t="n">
        <f aca="false">ROUNDUP(H6*(1-H5),0)</f>
        <v>51</v>
      </c>
    </row>
    <row r="8" customFormat="false" ht="15" hidden="false" customHeight="true" outlineLevel="0" collapsed="false">
      <c r="G8" s="5" t="s">
        <v>151</v>
      </c>
      <c r="H8" s="34" t="n">
        <v>0.02</v>
      </c>
    </row>
    <row r="9" customFormat="false" ht="15" hidden="false" customHeight="true" outlineLevel="0" collapsed="false">
      <c r="G9" s="5"/>
      <c r="H9" s="13"/>
    </row>
    <row r="10" customFormat="false" ht="15" hidden="false" customHeight="true" outlineLevel="0" collapsed="false">
      <c r="G10" s="9" t="s">
        <v>5</v>
      </c>
      <c r="H10" s="17"/>
    </row>
    <row r="11" customFormat="false" ht="15" hidden="false" customHeight="true" outlineLevel="0" collapsed="false">
      <c r="G11" s="5" t="s">
        <v>152</v>
      </c>
      <c r="H11" s="17" t="n">
        <f aca="false">SUMPRODUCT($AB$2:$AX$2,$AB$3:$AX$3)</f>
        <v>0.00196653381776922</v>
      </c>
    </row>
    <row r="12" customFormat="false" ht="15" hidden="false" customHeight="true" outlineLevel="0" collapsed="false">
      <c r="G12" s="9" t="s">
        <v>115</v>
      </c>
      <c r="H12" s="28" t="n">
        <f aca="false">ROUND(H11,6)</f>
        <v>0.001967</v>
      </c>
    </row>
    <row r="13" customFormat="false" ht="15" hidden="false" customHeight="true" outlineLevel="0" collapsed="false">
      <c r="G13" s="5"/>
      <c r="H13" s="17"/>
    </row>
    <row r="14" customFormat="false" ht="15" hidden="false" customHeight="true" outlineLevel="0" collapsed="false">
      <c r="G14" s="9" t="s">
        <v>153</v>
      </c>
      <c r="H14" s="28"/>
    </row>
    <row r="15" customFormat="false" ht="15" hidden="false" customHeight="true" outlineLevel="0" collapsed="false">
      <c r="G15" s="5" t="s">
        <v>121</v>
      </c>
      <c r="H15" s="17" t="n">
        <f aca="false">LARGE($C$25:$C$526,$H$7)</f>
        <v>0.0137512090062502</v>
      </c>
    </row>
    <row r="16" customFormat="false" ht="15" hidden="false" customHeight="true" outlineLevel="0" collapsed="false">
      <c r="G16" s="5" t="s">
        <v>154</v>
      </c>
      <c r="H16" s="17" t="n">
        <f aca="false">SUM($D$25:$D$526)/$H$7+$H$15</f>
        <v>0.0199999999999823</v>
      </c>
    </row>
    <row r="17" customFormat="false" ht="15" hidden="false" customHeight="true" outlineLevel="0" collapsed="false">
      <c r="G17" s="5" t="s">
        <v>155</v>
      </c>
      <c r="H17" s="29" t="n">
        <f aca="false">H8-H16</f>
        <v>1.76698933262998E-014</v>
      </c>
    </row>
    <row r="18" customFormat="false" ht="15" hidden="false" customHeight="true" outlineLevel="0" collapsed="false">
      <c r="G18" s="5" t="s">
        <v>156</v>
      </c>
      <c r="H18" s="18" t="n">
        <f aca="false">SUM($AB$3:$AX$3)</f>
        <v>1</v>
      </c>
    </row>
    <row r="19" customFormat="false" ht="15" hidden="false" customHeight="true" outlineLevel="0" collapsed="false">
      <c r="G19" s="5" t="s">
        <v>157</v>
      </c>
      <c r="H19" s="18" t="n">
        <f aca="false">MIN($AB$3:$AX$3)</f>
        <v>0</v>
      </c>
    </row>
    <row r="20" customFormat="false" ht="15" hidden="false" customHeight="true" outlineLevel="0" collapsed="false">
      <c r="G20" s="5" t="s">
        <v>158</v>
      </c>
      <c r="H20" s="26" t="n">
        <f aca="false">SUMPRODUCT(ABS($AB$3:$AX$3))</f>
        <v>1</v>
      </c>
    </row>
    <row r="21" customFormat="false" ht="15" hidden="false" customHeight="true" outlineLevel="0" collapsed="false">
      <c r="G21" s="5" t="s">
        <v>159</v>
      </c>
      <c r="H21" s="14" t="n">
        <f aca="false">COUNTIF($AB$3:$AX$3,"&gt;0.00000001")</f>
        <v>9</v>
      </c>
    </row>
    <row r="22" customFormat="false" ht="15" hidden="false" customHeight="true" outlineLevel="0" collapsed="false">
      <c r="G22" s="5"/>
      <c r="H22" s="29"/>
    </row>
    <row r="23" customFormat="false" ht="15" hidden="false" customHeight="true" outlineLevel="0" collapsed="false">
      <c r="A23" s="12" t="s">
        <v>160</v>
      </c>
      <c r="G23" s="9" t="s">
        <v>161</v>
      </c>
      <c r="H23" s="11"/>
    </row>
    <row r="24" customFormat="false" ht="15" hidden="false" customHeight="true" outlineLevel="0" collapsed="false">
      <c r="A24" s="10" t="s">
        <v>88</v>
      </c>
      <c r="B24" s="10" t="s">
        <v>89</v>
      </c>
      <c r="C24" s="10" t="s">
        <v>126</v>
      </c>
      <c r="D24" s="10" t="s">
        <v>128</v>
      </c>
      <c r="E24" s="10" t="s">
        <v>162</v>
      </c>
      <c r="F24" s="10" t="s">
        <v>163</v>
      </c>
      <c r="G24" s="5" t="s">
        <v>164</v>
      </c>
      <c r="H24" s="35" t="n">
        <v>0.013751209006</v>
      </c>
    </row>
    <row r="25" customFormat="false" ht="15" hidden="false" customHeight="true" outlineLevel="0" collapsed="false">
      <c r="A25" s="23" t="n">
        <f aca="false">Daily_Returns_Raw_Data!A2</f>
        <v>42373</v>
      </c>
      <c r="B25" s="17" t="n">
        <f aca="false">SUMPRODUCT(Daily_Returns_Raw_Data!B2:X2,$AB$3:$AX$3)</f>
        <v>0.0066629428623803</v>
      </c>
      <c r="C25" s="17" t="n">
        <f aca="false">-B25</f>
        <v>-0.0066629428623803</v>
      </c>
      <c r="D25" s="17" t="n">
        <f aca="false">MAX(C25-$H$15,0)</f>
        <v>0</v>
      </c>
      <c r="E25" s="36" t="n">
        <v>0</v>
      </c>
      <c r="F25" s="17" t="n">
        <f aca="false">E25+$H$24-C25</f>
        <v>0.0204141518683803</v>
      </c>
      <c r="G25" s="5" t="s">
        <v>165</v>
      </c>
      <c r="H25" s="17" t="n">
        <f aca="false">SUM($E$25:$E$526)/$H$7+$H$24</f>
        <v>0.0199999999997451</v>
      </c>
    </row>
    <row r="26" customFormat="false" ht="15" hidden="false" customHeight="true" outlineLevel="0" collapsed="false">
      <c r="A26" s="23" t="n">
        <f aca="false">Daily_Returns_Raw_Data!A3</f>
        <v>42374</v>
      </c>
      <c r="B26" s="17" t="n">
        <f aca="false">SUMPRODUCT(Daily_Returns_Raw_Data!B3:X3,$AB$3:$AX$3)</f>
        <v>-0.0159673954855988</v>
      </c>
      <c r="C26" s="17" t="n">
        <f aca="false">-B26</f>
        <v>0.0159673954855988</v>
      </c>
      <c r="D26" s="17" t="n">
        <f aca="false">MAX(C26-$H$15,0)</f>
        <v>0.00221618647934865</v>
      </c>
      <c r="E26" s="36" t="n">
        <v>0.002216186479</v>
      </c>
      <c r="F26" s="17" t="n">
        <f aca="false">E26+$H$24-C26</f>
        <v>-5.98833482801098E-013</v>
      </c>
      <c r="G26" s="5" t="s">
        <v>166</v>
      </c>
      <c r="H26" s="29" t="n">
        <f aca="false">MIN($F$25:$F$526)</f>
        <v>-6.87627038642447E-013</v>
      </c>
    </row>
    <row r="27" customFormat="false" ht="15" hidden="false" customHeight="true" outlineLevel="0" collapsed="false">
      <c r="A27" s="23" t="n">
        <f aca="false">Daily_Returns_Raw_Data!A4</f>
        <v>42375</v>
      </c>
      <c r="B27" s="17" t="n">
        <f aca="false">SUMPRODUCT(Daily_Returns_Raw_Data!B4:X4,$AB$3:$AX$3)</f>
        <v>-0.0173116730384225</v>
      </c>
      <c r="C27" s="17" t="n">
        <f aca="false">-B27</f>
        <v>0.0173116730384225</v>
      </c>
      <c r="D27" s="17" t="n">
        <f aca="false">MAX(C27-$H$15,0)</f>
        <v>0.00356046403217231</v>
      </c>
      <c r="E27" s="36" t="n">
        <v>0.003560464032</v>
      </c>
      <c r="F27" s="17" t="n">
        <f aca="false">E27+$H$24-C27</f>
        <v>-4.22498841468055E-013</v>
      </c>
      <c r="G27" s="5" t="s">
        <v>167</v>
      </c>
      <c r="H27" s="29" t="n">
        <f aca="false">MIN($E$25:$E$526)</f>
        <v>0</v>
      </c>
    </row>
    <row r="28" customFormat="false" ht="15" hidden="false" customHeight="true" outlineLevel="0" collapsed="false">
      <c r="A28" s="23" t="n">
        <f aca="false">Daily_Returns_Raw_Data!A5</f>
        <v>42376</v>
      </c>
      <c r="B28" s="17" t="n">
        <f aca="false">SUMPRODUCT(Daily_Returns_Raw_Data!B5:X5,$AB$3:$AX$3)</f>
        <v>0.00403303961707623</v>
      </c>
      <c r="C28" s="17" t="n">
        <f aca="false">-B28</f>
        <v>-0.00403303961707623</v>
      </c>
      <c r="D28" s="17" t="n">
        <f aca="false">MAX(C28-$H$15,0)</f>
        <v>0</v>
      </c>
      <c r="E28" s="36" t="n">
        <v>0</v>
      </c>
      <c r="F28" s="17" t="n">
        <f aca="false">E28+$H$24-C28</f>
        <v>0.0177842486230762</v>
      </c>
      <c r="G28" s="5"/>
      <c r="H28" s="35"/>
    </row>
    <row r="29" customFormat="false" ht="30" hidden="false" customHeight="true" outlineLevel="0" collapsed="false">
      <c r="A29" s="23" t="n">
        <f aca="false">Daily_Returns_Raw_Data!A6</f>
        <v>42377</v>
      </c>
      <c r="B29" s="17" t="n">
        <f aca="false">SUMPRODUCT(Daily_Returns_Raw_Data!B6:X6,$AB$3:$AX$3)</f>
        <v>0.00353476899547024</v>
      </c>
      <c r="C29" s="17" t="n">
        <f aca="false">-B29</f>
        <v>-0.00353476899547024</v>
      </c>
      <c r="D29" s="17" t="n">
        <f aca="false">MAX(C29-$H$15,0)</f>
        <v>0</v>
      </c>
      <c r="E29" s="36" t="n">
        <v>0</v>
      </c>
      <c r="F29" s="17" t="n">
        <f aca="false">E29+$H$24-C29</f>
        <v>0.0172859780014702</v>
      </c>
      <c r="G29" s="30" t="s">
        <v>168</v>
      </c>
      <c r="H29" s="17"/>
    </row>
    <row r="30" customFormat="false" ht="30" hidden="false" customHeight="true" outlineLevel="0" collapsed="false">
      <c r="A30" s="23" t="n">
        <f aca="false">Daily_Returns_Raw_Data!A7</f>
        <v>42380</v>
      </c>
      <c r="B30" s="17" t="n">
        <f aca="false">SUMPRODUCT(Daily_Returns_Raw_Data!B7:X7,$AB$3:$AX$3)</f>
        <v>0.00260295148545171</v>
      </c>
      <c r="C30" s="17" t="n">
        <f aca="false">-B30</f>
        <v>-0.00260295148545171</v>
      </c>
      <c r="D30" s="17" t="n">
        <f aca="false">MAX(C30-$H$15,0)</f>
        <v>0</v>
      </c>
      <c r="E30" s="36" t="n">
        <v>0</v>
      </c>
      <c r="F30" s="17" t="n">
        <f aca="false">E30+$H$24-C30</f>
        <v>0.0163541604914517</v>
      </c>
      <c r="G30" s="31" t="s">
        <v>169</v>
      </c>
      <c r="H30" s="29"/>
    </row>
    <row r="31" customFormat="false" ht="30" hidden="false" customHeight="true" outlineLevel="0" collapsed="false">
      <c r="A31" s="23" t="n">
        <f aca="false">Daily_Returns_Raw_Data!A8</f>
        <v>42381</v>
      </c>
      <c r="B31" s="17" t="n">
        <f aca="false">SUMPRODUCT(Daily_Returns_Raw_Data!B8:X8,$AB$3:$AX$3)</f>
        <v>-0.0259202908616876</v>
      </c>
      <c r="C31" s="17" t="n">
        <f aca="false">-B31</f>
        <v>0.0259202908616876</v>
      </c>
      <c r="D31" s="17" t="n">
        <f aca="false">MAX(C31-$H$15,0)</f>
        <v>0.0121690818554374</v>
      </c>
      <c r="E31" s="36" t="n">
        <v>0.012169081855</v>
      </c>
      <c r="F31" s="17" t="n">
        <f aca="false">E31+$H$24-C31</f>
        <v>-6.87627038642447E-013</v>
      </c>
      <c r="G31" s="31" t="s">
        <v>170</v>
      </c>
      <c r="H31" s="29"/>
    </row>
    <row r="32" customFormat="false" ht="30" hidden="false" customHeight="true" outlineLevel="0" collapsed="false">
      <c r="A32" s="23" t="n">
        <f aca="false">Daily_Returns_Raw_Data!A9</f>
        <v>42382</v>
      </c>
      <c r="B32" s="17" t="n">
        <f aca="false">SUMPRODUCT(Daily_Returns_Raw_Data!B9:X9,$AB$3:$AX$3)</f>
        <v>-0.00326024023925835</v>
      </c>
      <c r="C32" s="17" t="n">
        <f aca="false">-B32</f>
        <v>0.00326024023925835</v>
      </c>
      <c r="D32" s="17" t="n">
        <f aca="false">MAX(C32-$H$15,0)</f>
        <v>0</v>
      </c>
      <c r="E32" s="36" t="n">
        <v>0</v>
      </c>
      <c r="F32" s="17" t="n">
        <f aca="false">E32+$H$24-C32</f>
        <v>0.0104909687667417</v>
      </c>
      <c r="G32" s="31" t="s">
        <v>171</v>
      </c>
    </row>
    <row r="33" customFormat="false" ht="30" hidden="false" customHeight="true" outlineLevel="0" collapsed="false">
      <c r="A33" s="23" t="n">
        <f aca="false">Daily_Returns_Raw_Data!A10</f>
        <v>42383</v>
      </c>
      <c r="B33" s="17" t="n">
        <f aca="false">SUMPRODUCT(Daily_Returns_Raw_Data!B10:X10,$AB$3:$AX$3)</f>
        <v>-0.03232277157025</v>
      </c>
      <c r="C33" s="17" t="n">
        <f aca="false">-B33</f>
        <v>0.03232277157025</v>
      </c>
      <c r="D33" s="17" t="n">
        <f aca="false">MAX(C33-$H$15,0)</f>
        <v>0.0185715625639998</v>
      </c>
      <c r="E33" s="36" t="n">
        <v>0.018571562564</v>
      </c>
      <c r="F33" s="17" t="n">
        <f aca="false">E33+$H$24-C33</f>
        <v>-2.4995977510045E-013</v>
      </c>
      <c r="G33" s="32" t="s">
        <v>172</v>
      </c>
    </row>
    <row r="34" customFormat="false" ht="30" hidden="false" customHeight="true" outlineLevel="0" collapsed="false">
      <c r="A34" s="23" t="n">
        <f aca="false">Daily_Returns_Raw_Data!A11</f>
        <v>42384</v>
      </c>
      <c r="B34" s="17" t="n">
        <f aca="false">SUMPRODUCT(Daily_Returns_Raw_Data!B11:X11,$AB$3:$AX$3)</f>
        <v>-0.00123694712574922</v>
      </c>
      <c r="C34" s="17" t="n">
        <f aca="false">-B34</f>
        <v>0.00123694712574922</v>
      </c>
      <c r="D34" s="17" t="n">
        <f aca="false">MAX(C34-$H$15,0)</f>
        <v>0</v>
      </c>
      <c r="E34" s="36" t="n">
        <v>0</v>
      </c>
      <c r="F34" s="17" t="n">
        <f aca="false">E34+$H$24-C34</f>
        <v>0.0125142618802508</v>
      </c>
      <c r="G34" s="31" t="s">
        <v>173</v>
      </c>
    </row>
    <row r="35" customFormat="false" ht="15" hidden="false" customHeight="true" outlineLevel="0" collapsed="false">
      <c r="A35" s="23" t="n">
        <f aca="false">Daily_Returns_Raw_Data!A12</f>
        <v>42388</v>
      </c>
      <c r="B35" s="17" t="n">
        <f aca="false">SUMPRODUCT(Daily_Returns_Raw_Data!B12:X12,$AB$3:$AX$3)</f>
        <v>-0.0154963743058446</v>
      </c>
      <c r="C35" s="17" t="n">
        <f aca="false">-B35</f>
        <v>0.0154963743058446</v>
      </c>
      <c r="D35" s="17" t="n">
        <f aca="false">MAX(C35-$H$15,0)</f>
        <v>0.00174516529959437</v>
      </c>
      <c r="E35" s="36" t="n">
        <v>0.0017451653</v>
      </c>
      <c r="F35" s="17" t="n">
        <f aca="false">E35+$H$24-C35</f>
        <v>1.55446835958806E-013</v>
      </c>
      <c r="G35" s="5"/>
    </row>
    <row r="36" customFormat="false" ht="30" hidden="false" customHeight="true" outlineLevel="0" collapsed="false">
      <c r="A36" s="23" t="n">
        <f aca="false">Daily_Returns_Raw_Data!A13</f>
        <v>42389</v>
      </c>
      <c r="B36" s="17" t="n">
        <f aca="false">SUMPRODUCT(Daily_Returns_Raw_Data!B13:X13,$AB$3:$AX$3)</f>
        <v>0.00152890041896301</v>
      </c>
      <c r="C36" s="17" t="n">
        <f aca="false">-B36</f>
        <v>-0.00152890041896301</v>
      </c>
      <c r="D36" s="17" t="n">
        <f aca="false">MAX(C36-$H$15,0)</f>
        <v>0</v>
      </c>
      <c r="E36" s="36" t="n">
        <v>0</v>
      </c>
      <c r="F36" s="17" t="n">
        <f aca="false">E36+$H$24-C36</f>
        <v>0.015280109424963</v>
      </c>
      <c r="G36" s="30" t="s">
        <v>174</v>
      </c>
    </row>
    <row r="37" customFormat="false" ht="30" hidden="false" customHeight="true" outlineLevel="0" collapsed="false">
      <c r="A37" s="23" t="n">
        <f aca="false">Daily_Returns_Raw_Data!A14</f>
        <v>42390</v>
      </c>
      <c r="B37" s="17" t="n">
        <f aca="false">SUMPRODUCT(Daily_Returns_Raw_Data!B14:X14,$AB$3:$AX$3)</f>
        <v>0.0334639296275621</v>
      </c>
      <c r="C37" s="17" t="n">
        <f aca="false">-B37</f>
        <v>-0.0334639296275621</v>
      </c>
      <c r="D37" s="17" t="n">
        <f aca="false">MAX(C37-$H$15,0)</f>
        <v>0</v>
      </c>
      <c r="E37" s="36" t="n">
        <v>0</v>
      </c>
      <c r="F37" s="17" t="n">
        <f aca="false">E37+$H$24-C37</f>
        <v>0.0472151386335621</v>
      </c>
      <c r="G37" s="31" t="s">
        <v>175</v>
      </c>
    </row>
    <row r="38" customFormat="false" ht="30" hidden="false" customHeight="true" outlineLevel="0" collapsed="false">
      <c r="A38" s="23" t="n">
        <f aca="false">Daily_Returns_Raw_Data!A15</f>
        <v>42391</v>
      </c>
      <c r="B38" s="17" t="n">
        <f aca="false">SUMPRODUCT(Daily_Returns_Raw_Data!B15:X15,$AB$3:$AX$3)</f>
        <v>-0.0107858640581515</v>
      </c>
      <c r="C38" s="17" t="n">
        <f aca="false">-B38</f>
        <v>0.0107858640581515</v>
      </c>
      <c r="D38" s="17" t="n">
        <f aca="false">MAX(C38-$H$15,0)</f>
        <v>0</v>
      </c>
      <c r="E38" s="36" t="n">
        <v>0</v>
      </c>
      <c r="F38" s="17" t="n">
        <f aca="false">E38+$H$24-C38</f>
        <v>0.00296534494784854</v>
      </c>
      <c r="G38" s="31" t="s">
        <v>176</v>
      </c>
    </row>
    <row r="39" customFormat="false" ht="30" hidden="false" customHeight="true" outlineLevel="0" collapsed="false">
      <c r="A39" s="23" t="n">
        <f aca="false">Daily_Returns_Raw_Data!A16</f>
        <v>42394</v>
      </c>
      <c r="B39" s="17" t="n">
        <f aca="false">SUMPRODUCT(Daily_Returns_Raw_Data!B16:X16,$AB$3:$AX$3)</f>
        <v>0.013629558075718</v>
      </c>
      <c r="C39" s="17" t="n">
        <f aca="false">-B39</f>
        <v>-0.013629558075718</v>
      </c>
      <c r="D39" s="17" t="n">
        <f aca="false">MAX(C39-$H$15,0)</f>
        <v>0</v>
      </c>
      <c r="E39" s="36" t="n">
        <v>0</v>
      </c>
      <c r="F39" s="17" t="n">
        <f aca="false">E39+$H$24-C39</f>
        <v>0.027380767081718</v>
      </c>
      <c r="G39" s="31" t="s">
        <v>177</v>
      </c>
    </row>
    <row r="40" customFormat="false" ht="30" hidden="false" customHeight="true" outlineLevel="0" collapsed="false">
      <c r="A40" s="23" t="n">
        <f aca="false">Daily_Returns_Raw_Data!A17</f>
        <v>42395</v>
      </c>
      <c r="B40" s="17" t="n">
        <f aca="false">SUMPRODUCT(Daily_Returns_Raw_Data!B17:X17,$AB$3:$AX$3)</f>
        <v>-0.00127117160263714</v>
      </c>
      <c r="C40" s="17" t="n">
        <f aca="false">-B40</f>
        <v>0.00127117160263714</v>
      </c>
      <c r="D40" s="17" t="n">
        <f aca="false">MAX(C40-$H$15,0)</f>
        <v>0</v>
      </c>
      <c r="E40" s="36" t="n">
        <v>0</v>
      </c>
      <c r="F40" s="17" t="n">
        <f aca="false">E40+$H$24-C40</f>
        <v>0.0124800374033629</v>
      </c>
      <c r="G40" s="31" t="s">
        <v>178</v>
      </c>
    </row>
    <row r="41" customFormat="false" ht="15" hidden="false" customHeight="true" outlineLevel="0" collapsed="false">
      <c r="A41" s="23" t="n">
        <f aca="false">Daily_Returns_Raw_Data!A18</f>
        <v>42396</v>
      </c>
      <c r="B41" s="17" t="n">
        <f aca="false">SUMPRODUCT(Daily_Returns_Raw_Data!B18:X18,$AB$3:$AX$3)</f>
        <v>0.00869812001214452</v>
      </c>
      <c r="C41" s="17" t="n">
        <f aca="false">-B41</f>
        <v>-0.00869812001214452</v>
      </c>
      <c r="D41" s="17" t="n">
        <f aca="false">MAX(C41-$H$15,0)</f>
        <v>0</v>
      </c>
      <c r="E41" s="36" t="n">
        <v>0</v>
      </c>
      <c r="F41" s="17" t="n">
        <f aca="false">E41+$H$24-C41</f>
        <v>0.0224493290181445</v>
      </c>
      <c r="G41" s="5"/>
    </row>
    <row r="42" customFormat="false" ht="30" hidden="false" customHeight="true" outlineLevel="0" collapsed="false">
      <c r="A42" s="23" t="n">
        <f aca="false">Daily_Returns_Raw_Data!A19</f>
        <v>42397</v>
      </c>
      <c r="B42" s="17" t="n">
        <f aca="false">SUMPRODUCT(Daily_Returns_Raw_Data!B19:X19,$AB$3:$AX$3)</f>
        <v>0.0268875019602737</v>
      </c>
      <c r="C42" s="17" t="n">
        <f aca="false">-B42</f>
        <v>-0.0268875019602737</v>
      </c>
      <c r="D42" s="17" t="n">
        <f aca="false">MAX(C42-$H$15,0)</f>
        <v>0</v>
      </c>
      <c r="E42" s="36" t="n">
        <v>0</v>
      </c>
      <c r="F42" s="17" t="n">
        <f aca="false">E42+$H$24-C42</f>
        <v>0.0406387109662737</v>
      </c>
      <c r="G42" s="30" t="s">
        <v>179</v>
      </c>
    </row>
    <row r="43" customFormat="false" ht="30" hidden="false" customHeight="true" outlineLevel="0" collapsed="false">
      <c r="A43" s="23" t="n">
        <f aca="false">Daily_Returns_Raw_Data!A20</f>
        <v>42398</v>
      </c>
      <c r="B43" s="17" t="n">
        <f aca="false">SUMPRODUCT(Daily_Returns_Raw_Data!B20:X20,$AB$3:$AX$3)</f>
        <v>0.0107360195119493</v>
      </c>
      <c r="C43" s="17" t="n">
        <f aca="false">-B43</f>
        <v>-0.0107360195119493</v>
      </c>
      <c r="D43" s="17" t="n">
        <f aca="false">MAX(C43-$H$15,0)</f>
        <v>0</v>
      </c>
      <c r="E43" s="36" t="n">
        <v>0</v>
      </c>
      <c r="F43" s="17" t="n">
        <f aca="false">E43+$H$24-C43</f>
        <v>0.0244872285179493</v>
      </c>
      <c r="G43" s="31" t="s">
        <v>180</v>
      </c>
    </row>
    <row r="44" customFormat="false" ht="30" hidden="false" customHeight="true" outlineLevel="0" collapsed="false">
      <c r="A44" s="23" t="n">
        <f aca="false">Daily_Returns_Raw_Data!A21</f>
        <v>42401</v>
      </c>
      <c r="B44" s="17" t="n">
        <f aca="false">SUMPRODUCT(Daily_Returns_Raw_Data!B21:X21,$AB$3:$AX$3)</f>
        <v>-0.0216204966681097</v>
      </c>
      <c r="C44" s="17" t="n">
        <f aca="false">-B44</f>
        <v>0.0216204966681097</v>
      </c>
      <c r="D44" s="17" t="n">
        <f aca="false">MAX(C44-$H$15,0)</f>
        <v>0.00786928766185946</v>
      </c>
      <c r="E44" s="36" t="n">
        <v>0.007869287662</v>
      </c>
      <c r="F44" s="17" t="n">
        <f aca="false">E44+$H$24-C44</f>
        <v>-1.09651870916494E-013</v>
      </c>
      <c r="G44" s="32" t="s">
        <v>181</v>
      </c>
    </row>
    <row r="45" customFormat="false" ht="30" hidden="false" customHeight="true" outlineLevel="0" collapsed="false">
      <c r="A45" s="23" t="n">
        <f aca="false">Daily_Returns_Raw_Data!A22</f>
        <v>42402</v>
      </c>
      <c r="B45" s="17" t="n">
        <f aca="false">SUMPRODUCT(Daily_Returns_Raw_Data!B22:X22,$AB$3:$AX$3)</f>
        <v>0.0229305975561244</v>
      </c>
      <c r="C45" s="17" t="n">
        <f aca="false">-B45</f>
        <v>-0.0229305975561244</v>
      </c>
      <c r="D45" s="17" t="n">
        <f aca="false">MAX(C45-$H$15,0)</f>
        <v>0</v>
      </c>
      <c r="E45" s="36" t="n">
        <v>0</v>
      </c>
      <c r="F45" s="17" t="n">
        <f aca="false">E45+$H$24-C45</f>
        <v>0.0366818065621244</v>
      </c>
      <c r="G45" s="37" t="s">
        <v>182</v>
      </c>
      <c r="H45" s="10"/>
      <c r="I45" s="10"/>
    </row>
    <row r="46" customFormat="false" ht="30" hidden="false" customHeight="true" outlineLevel="0" collapsed="false">
      <c r="A46" s="23" t="n">
        <f aca="false">Daily_Returns_Raw_Data!A23</f>
        <v>42403</v>
      </c>
      <c r="B46" s="17" t="n">
        <f aca="false">SUMPRODUCT(Daily_Returns_Raw_Data!B23:X23,$AB$3:$AX$3)</f>
        <v>0.0118866507572608</v>
      </c>
      <c r="C46" s="17" t="n">
        <f aca="false">-B46</f>
        <v>-0.0118866507572608</v>
      </c>
      <c r="D46" s="17" t="n">
        <f aca="false">MAX(C46-$H$15,0)</f>
        <v>0</v>
      </c>
      <c r="E46" s="36" t="n">
        <v>0</v>
      </c>
      <c r="F46" s="17" t="n">
        <f aca="false">E46+$H$24-C46</f>
        <v>0.0256378597632608</v>
      </c>
      <c r="G46" s="38" t="s">
        <v>183</v>
      </c>
      <c r="H46" s="39"/>
      <c r="I46" s="39"/>
    </row>
    <row r="47" customFormat="false" ht="15" hidden="false" customHeight="true" outlineLevel="0" collapsed="false">
      <c r="A47" s="23" t="n">
        <f aca="false">Daily_Returns_Raw_Data!A24</f>
        <v>42404</v>
      </c>
      <c r="B47" s="17" t="n">
        <f aca="false">SUMPRODUCT(Daily_Returns_Raw_Data!B24:X24,$AB$3:$AX$3)</f>
        <v>-0.0154489617552989</v>
      </c>
      <c r="C47" s="17" t="n">
        <f aca="false">-B47</f>
        <v>0.0154489617552989</v>
      </c>
      <c r="D47" s="17" t="n">
        <f aca="false">MAX(C47-$H$15,0)</f>
        <v>0.00169775274904873</v>
      </c>
      <c r="E47" s="36" t="n">
        <v>0.001697752749</v>
      </c>
      <c r="F47" s="17" t="n">
        <f aca="false">E47+$H$24-C47</f>
        <v>-2.98918875762944E-013</v>
      </c>
      <c r="G47" s="26"/>
      <c r="H47" s="39"/>
      <c r="I47" s="39"/>
    </row>
    <row r="48" customFormat="false" ht="15" hidden="false" customHeight="true" outlineLevel="0" collapsed="false">
      <c r="A48" s="23" t="n">
        <f aca="false">Daily_Returns_Raw_Data!A25</f>
        <v>42405</v>
      </c>
      <c r="B48" s="17" t="n">
        <f aca="false">SUMPRODUCT(Daily_Returns_Raw_Data!B25:X25,$AB$3:$AX$3)</f>
        <v>0.00640303531279883</v>
      </c>
      <c r="C48" s="17" t="n">
        <f aca="false">-B48</f>
        <v>-0.00640303531279883</v>
      </c>
      <c r="D48" s="17" t="n">
        <f aca="false">MAX(C48-$H$15,0)</f>
        <v>0</v>
      </c>
      <c r="E48" s="36" t="n">
        <v>0</v>
      </c>
      <c r="F48" s="17" t="n">
        <f aca="false">E48+$H$24-C48</f>
        <v>0.0201542443187988</v>
      </c>
      <c r="G48" s="40"/>
      <c r="H48" s="39"/>
      <c r="I48" s="39"/>
    </row>
    <row r="49" customFormat="false" ht="15" hidden="false" customHeight="true" outlineLevel="0" collapsed="false">
      <c r="A49" s="23" t="n">
        <f aca="false">Daily_Returns_Raw_Data!A26</f>
        <v>42408</v>
      </c>
      <c r="B49" s="17" t="n">
        <f aca="false">SUMPRODUCT(Daily_Returns_Raw_Data!B26:X26,$AB$3:$AX$3)</f>
        <v>0.00952803287113947</v>
      </c>
      <c r="C49" s="17" t="n">
        <f aca="false">-B49</f>
        <v>-0.00952803287113947</v>
      </c>
      <c r="D49" s="17" t="n">
        <f aca="false">MAX(C49-$H$15,0)</f>
        <v>0</v>
      </c>
      <c r="E49" s="36" t="n">
        <v>0</v>
      </c>
      <c r="F49" s="17" t="n">
        <f aca="false">E49+$H$24-C49</f>
        <v>0.0232792418771395</v>
      </c>
      <c r="G49" s="41" t="s">
        <v>184</v>
      </c>
      <c r="H49" s="39"/>
      <c r="I49" s="39"/>
    </row>
    <row r="50" customFormat="false" ht="25.5" hidden="false" customHeight="true" outlineLevel="0" collapsed="false">
      <c r="A50" s="23" t="n">
        <f aca="false">Daily_Returns_Raw_Data!A27</f>
        <v>42409</v>
      </c>
      <c r="B50" s="17" t="n">
        <f aca="false">SUMPRODUCT(Daily_Returns_Raw_Data!B27:X27,$AB$3:$AX$3)</f>
        <v>-0.0137512090062375</v>
      </c>
      <c r="C50" s="17" t="n">
        <f aca="false">-B50</f>
        <v>0.0137512090062375</v>
      </c>
      <c r="D50" s="17" t="n">
        <f aca="false">MAX(C50-$H$15,0)</f>
        <v>0</v>
      </c>
      <c r="E50" s="36" t="n">
        <v>0</v>
      </c>
      <c r="F50" s="17" t="n">
        <f aca="false">E50+$H$24-C50</f>
        <v>-2.37476704967321E-013</v>
      </c>
      <c r="G50" s="38" t="s">
        <v>185</v>
      </c>
      <c r="H50" s="39"/>
      <c r="I50" s="39"/>
    </row>
    <row r="51" customFormat="false" ht="15" hidden="false" customHeight="true" outlineLevel="0" collapsed="false">
      <c r="A51" s="23" t="n">
        <f aca="false">Daily_Returns_Raw_Data!A28</f>
        <v>42410</v>
      </c>
      <c r="B51" s="17" t="n">
        <f aca="false">SUMPRODUCT(Daily_Returns_Raw_Data!B28:X28,$AB$3:$AX$3)</f>
        <v>-0.0134435041915098</v>
      </c>
      <c r="C51" s="17" t="n">
        <f aca="false">-B51</f>
        <v>0.0134435041915098</v>
      </c>
      <c r="D51" s="17" t="n">
        <f aca="false">MAX(C51-$H$15,0)</f>
        <v>0</v>
      </c>
      <c r="E51" s="36" t="n">
        <v>0</v>
      </c>
      <c r="F51" s="17" t="n">
        <f aca="false">E51+$H$24-C51</f>
        <v>0.000307704814490207</v>
      </c>
      <c r="G51" s="42" t="s">
        <v>186</v>
      </c>
      <c r="H51" s="43" t="s">
        <v>187</v>
      </c>
      <c r="I51" s="43" t="s">
        <v>188</v>
      </c>
    </row>
    <row r="52" customFormat="false" ht="15" hidden="false" customHeight="true" outlineLevel="0" collapsed="false">
      <c r="A52" s="23" t="n">
        <f aca="false">Daily_Returns_Raw_Data!A29</f>
        <v>42411</v>
      </c>
      <c r="B52" s="17" t="n">
        <f aca="false">SUMPRODUCT(Daily_Returns_Raw_Data!B29:X29,$AB$3:$AX$3)</f>
        <v>0.0289718371263314</v>
      </c>
      <c r="C52" s="17" t="n">
        <f aca="false">-B52</f>
        <v>-0.0289718371263314</v>
      </c>
      <c r="D52" s="17" t="n">
        <f aca="false">MAX(C52-$H$15,0)</f>
        <v>0</v>
      </c>
      <c r="E52" s="36" t="n">
        <v>0</v>
      </c>
      <c r="F52" s="17" t="n">
        <f aca="false">E52+$H$24-C52</f>
        <v>0.0427230461323314</v>
      </c>
      <c r="G52" s="24" t="n">
        <v>0.011</v>
      </c>
      <c r="H52" s="39" t="n">
        <v>0.000716143775363014</v>
      </c>
      <c r="I52" s="39" t="n">
        <v>0.00120929052192391</v>
      </c>
    </row>
    <row r="53" customFormat="false" ht="15" hidden="false" customHeight="true" outlineLevel="0" collapsed="false">
      <c r="A53" s="23" t="n">
        <f aca="false">Daily_Returns_Raw_Data!A30</f>
        <v>42412</v>
      </c>
      <c r="B53" s="17" t="n">
        <f aca="false">SUMPRODUCT(Daily_Returns_Raw_Data!B30:X30,$AB$3:$AX$3)</f>
        <v>0.0216164777997621</v>
      </c>
      <c r="C53" s="17" t="n">
        <f aca="false">-B53</f>
        <v>-0.0216164777997621</v>
      </c>
      <c r="D53" s="17" t="n">
        <f aca="false">MAX(C53-$H$15,0)</f>
        <v>0</v>
      </c>
      <c r="E53" s="36" t="n">
        <v>0</v>
      </c>
      <c r="F53" s="17" t="n">
        <f aca="false">E53+$H$24-C53</f>
        <v>0.0353676868057621</v>
      </c>
      <c r="G53" s="24" t="n">
        <v>0.0125</v>
      </c>
      <c r="H53" s="39" t="n">
        <v>0.00106077930981021</v>
      </c>
      <c r="I53" s="39" t="n">
        <v>0.0018286332389745</v>
      </c>
    </row>
    <row r="54" customFormat="false" ht="15" hidden="false" customHeight="true" outlineLevel="0" collapsed="false">
      <c r="A54" s="23" t="n">
        <f aca="false">Daily_Returns_Raw_Data!A31</f>
        <v>42416</v>
      </c>
      <c r="B54" s="17" t="n">
        <f aca="false">SUMPRODUCT(Daily_Returns_Raw_Data!B31:X31,$AB$3:$AX$3)</f>
        <v>0.0199300949013043</v>
      </c>
      <c r="C54" s="17" t="n">
        <f aca="false">-B54</f>
        <v>-0.0199300949013043</v>
      </c>
      <c r="D54" s="17" t="n">
        <f aca="false">MAX(C54-$H$15,0)</f>
        <v>0</v>
      </c>
      <c r="E54" s="36" t="n">
        <v>0</v>
      </c>
      <c r="F54" s="17" t="n">
        <f aca="false">E54+$H$24-C54</f>
        <v>0.0336813039073043</v>
      </c>
      <c r="G54" s="44" t="n">
        <v>0.015</v>
      </c>
      <c r="H54" s="45" t="n">
        <v>0.00141364043993118</v>
      </c>
      <c r="I54" s="45" t="n">
        <v>0.00258701546761494</v>
      </c>
    </row>
    <row r="55" customFormat="false" ht="15" hidden="false" customHeight="true" outlineLevel="0" collapsed="false">
      <c r="A55" s="23" t="n">
        <f aca="false">Daily_Returns_Raw_Data!A32</f>
        <v>42417</v>
      </c>
      <c r="B55" s="17" t="n">
        <f aca="false">SUMPRODUCT(Daily_Returns_Raw_Data!B32:X32,$AB$3:$AX$3)</f>
        <v>0.00555073921004697</v>
      </c>
      <c r="C55" s="17" t="n">
        <f aca="false">-B55</f>
        <v>-0.00555073921004697</v>
      </c>
      <c r="D55" s="17" t="n">
        <f aca="false">MAX(C55-$H$15,0)</f>
        <v>0</v>
      </c>
      <c r="E55" s="36" t="n">
        <v>0</v>
      </c>
      <c r="F55" s="17" t="n">
        <f aca="false">E55+$H$24-C55</f>
        <v>0.019301948216047</v>
      </c>
      <c r="G55" s="24" t="n">
        <v>0.0175</v>
      </c>
      <c r="H55" s="39" t="n">
        <v>0.00169429304513204</v>
      </c>
      <c r="I55" s="39" t="n">
        <v>0.00320030250237075</v>
      </c>
    </row>
    <row r="56" customFormat="false" ht="15" hidden="false" customHeight="true" outlineLevel="0" collapsed="false">
      <c r="A56" s="23" t="n">
        <f aca="false">Daily_Returns_Raw_Data!A33</f>
        <v>42418</v>
      </c>
      <c r="B56" s="17" t="n">
        <f aca="false">SUMPRODUCT(Daily_Returns_Raw_Data!B33:X33,$AB$3:$AX$3)</f>
        <v>-0.0188073651349689</v>
      </c>
      <c r="C56" s="17" t="n">
        <f aca="false">-B56</f>
        <v>0.0188073651349689</v>
      </c>
      <c r="D56" s="17" t="n">
        <f aca="false">MAX(C56-$H$15,0)</f>
        <v>0.00505615612871868</v>
      </c>
      <c r="E56" s="36" t="n">
        <v>0.005056156129</v>
      </c>
      <c r="F56" s="17" t="n">
        <f aca="false">E56+$H$24-C56</f>
        <v>3.11382863937837E-014</v>
      </c>
      <c r="G56" s="24" t="n">
        <v>0.02</v>
      </c>
      <c r="H56" s="39" t="n">
        <v>0.00196653381777119</v>
      </c>
      <c r="I56" s="39" t="n">
        <v>0.00377038966816264</v>
      </c>
    </row>
    <row r="57" customFormat="false" ht="15" hidden="false" customHeight="true" outlineLevel="0" collapsed="false">
      <c r="A57" s="23" t="n">
        <f aca="false">Daily_Returns_Raw_Data!A34</f>
        <v>42419</v>
      </c>
      <c r="B57" s="17" t="n">
        <f aca="false">SUMPRODUCT(Daily_Returns_Raw_Data!B34:X34,$AB$3:$AX$3)</f>
        <v>0.0132708749916477</v>
      </c>
      <c r="C57" s="17" t="n">
        <f aca="false">-B57</f>
        <v>-0.0132708749916477</v>
      </c>
      <c r="D57" s="17" t="n">
        <f aca="false">MAX(C57-$H$15,0)</f>
        <v>0</v>
      </c>
      <c r="E57" s="36" t="n">
        <v>0</v>
      </c>
      <c r="F57" s="17" t="n">
        <f aca="false">E57+$H$24-C57</f>
        <v>0.0270220839976477</v>
      </c>
      <c r="G57" s="24" t="n">
        <v>0.025</v>
      </c>
      <c r="H57" s="39" t="n">
        <v>0.00247917728921885</v>
      </c>
      <c r="I57" s="39" t="n">
        <v>0.00487862350784486</v>
      </c>
    </row>
    <row r="58" customFormat="false" ht="15" hidden="false" customHeight="true" outlineLevel="0" collapsed="false">
      <c r="A58" s="23" t="n">
        <f aca="false">Daily_Returns_Raw_Data!A35</f>
        <v>42422</v>
      </c>
      <c r="B58" s="17" t="n">
        <f aca="false">SUMPRODUCT(Daily_Returns_Raw_Data!B35:X35,$AB$3:$AX$3)</f>
        <v>-0.00262205973045529</v>
      </c>
      <c r="C58" s="17" t="n">
        <f aca="false">-B58</f>
        <v>0.00262205973045529</v>
      </c>
      <c r="D58" s="17" t="n">
        <f aca="false">MAX(C58-$H$15,0)</f>
        <v>0</v>
      </c>
      <c r="E58" s="36" t="n">
        <v>0</v>
      </c>
      <c r="F58" s="17" t="n">
        <f aca="false">E58+$H$24-C58</f>
        <v>0.0111291492755447</v>
      </c>
      <c r="G58" s="24" t="n">
        <v>0.03</v>
      </c>
      <c r="H58" s="39" t="n">
        <v>0.0029501847008619</v>
      </c>
      <c r="I58" s="39" t="n">
        <v>0.0059640837386245</v>
      </c>
    </row>
    <row r="59" customFormat="false" ht="15" hidden="false" customHeight="true" outlineLevel="0" collapsed="false">
      <c r="A59" s="23" t="n">
        <f aca="false">Daily_Returns_Raw_Data!A36</f>
        <v>42423</v>
      </c>
      <c r="B59" s="17" t="n">
        <f aca="false">SUMPRODUCT(Daily_Returns_Raw_Data!B36:X36,$AB$3:$AX$3)</f>
        <v>-0.0091032205557312</v>
      </c>
      <c r="C59" s="17" t="n">
        <f aca="false">-B59</f>
        <v>0.0091032205557312</v>
      </c>
      <c r="D59" s="17" t="n">
        <f aca="false">MAX(C59-$H$15,0)</f>
        <v>0</v>
      </c>
      <c r="E59" s="36" t="n">
        <v>0</v>
      </c>
      <c r="F59" s="17" t="n">
        <f aca="false">E59+$H$24-C59</f>
        <v>0.0046479884502688</v>
      </c>
      <c r="G59" s="24" t="n">
        <v>0.04</v>
      </c>
      <c r="H59" s="39" t="n">
        <v>0.00380578685998454</v>
      </c>
      <c r="I59" s="39" t="n">
        <v>0.00809226491063956</v>
      </c>
    </row>
    <row r="60" customFormat="false" ht="15" hidden="false" customHeight="true" outlineLevel="0" collapsed="false">
      <c r="A60" s="23" t="n">
        <f aca="false">Daily_Returns_Raw_Data!A37</f>
        <v>42424</v>
      </c>
      <c r="B60" s="17" t="n">
        <f aca="false">SUMPRODUCT(Daily_Returns_Raw_Data!B37:X37,$AB$3:$AX$3)</f>
        <v>0.010514944892271</v>
      </c>
      <c r="C60" s="17" t="n">
        <f aca="false">-B60</f>
        <v>-0.010514944892271</v>
      </c>
      <c r="D60" s="17" t="n">
        <f aca="false">MAX(C60-$H$15,0)</f>
        <v>0</v>
      </c>
      <c r="E60" s="36" t="n">
        <v>0</v>
      </c>
      <c r="F60" s="17" t="n">
        <f aca="false">E60+$H$24-C60</f>
        <v>0.024266153898271</v>
      </c>
      <c r="G60" s="24" t="n">
        <v>0.05</v>
      </c>
      <c r="H60" s="39" t="n">
        <v>0.00447834080208897</v>
      </c>
      <c r="I60" s="39" t="n">
        <v>0.0101754524842377</v>
      </c>
    </row>
    <row r="61" customFormat="false" ht="15" hidden="false" customHeight="true" outlineLevel="0" collapsed="false">
      <c r="A61" s="23" t="n">
        <f aca="false">Daily_Returns_Raw_Data!A38</f>
        <v>42425</v>
      </c>
      <c r="B61" s="17" t="n">
        <f aca="false">SUMPRODUCT(Daily_Returns_Raw_Data!B38:X38,$AB$3:$AX$3)</f>
        <v>0.00130813308052078</v>
      </c>
      <c r="C61" s="17" t="n">
        <f aca="false">-B61</f>
        <v>-0.00130813308052078</v>
      </c>
      <c r="D61" s="17" t="n">
        <f aca="false">MAX(C61-$H$15,0)</f>
        <v>0</v>
      </c>
      <c r="E61" s="36" t="n">
        <v>0</v>
      </c>
      <c r="F61" s="17" t="n">
        <f aca="false">E61+$H$24-C61</f>
        <v>0.0150593420865208</v>
      </c>
      <c r="G61" s="24"/>
      <c r="H61" s="39"/>
      <c r="I61" s="39"/>
    </row>
    <row r="62" customFormat="false" ht="15" hidden="false" customHeight="true" outlineLevel="0" collapsed="false">
      <c r="A62" s="23" t="n">
        <f aca="false">Daily_Returns_Raw_Data!A39</f>
        <v>42426</v>
      </c>
      <c r="B62" s="17" t="n">
        <f aca="false">SUMPRODUCT(Daily_Returns_Raw_Data!B39:X39,$AB$3:$AX$3)</f>
        <v>-0.00168625532958147</v>
      </c>
      <c r="C62" s="17" t="n">
        <f aca="false">-B62</f>
        <v>0.00168625532958147</v>
      </c>
      <c r="D62" s="17" t="n">
        <f aca="false">MAX(C62-$H$15,0)</f>
        <v>0</v>
      </c>
      <c r="E62" s="36" t="n">
        <v>0</v>
      </c>
      <c r="F62" s="17" t="n">
        <f aca="false">E62+$H$24-C62</f>
        <v>0.0120649536764185</v>
      </c>
      <c r="G62" s="24"/>
      <c r="H62" s="39"/>
      <c r="I62" s="39"/>
    </row>
    <row r="63" customFormat="false" ht="15" hidden="false" customHeight="true" outlineLevel="0" collapsed="false">
      <c r="A63" s="23" t="n">
        <f aca="false">Daily_Returns_Raw_Data!A40</f>
        <v>42429</v>
      </c>
      <c r="B63" s="17" t="n">
        <f aca="false">SUMPRODUCT(Daily_Returns_Raw_Data!B40:X40,$AB$3:$AX$3)</f>
        <v>0.011705267779303</v>
      </c>
      <c r="C63" s="17" t="n">
        <f aca="false">-B63</f>
        <v>-0.011705267779303</v>
      </c>
      <c r="D63" s="17" t="n">
        <f aca="false">MAX(C63-$H$15,0)</f>
        <v>0</v>
      </c>
      <c r="E63" s="36" t="n">
        <v>0</v>
      </c>
      <c r="F63" s="17" t="n">
        <f aca="false">E63+$H$24-C63</f>
        <v>0.025456476785303</v>
      </c>
      <c r="G63" s="24"/>
      <c r="H63" s="39"/>
      <c r="I63" s="39"/>
    </row>
    <row r="64" customFormat="false" ht="15" hidden="false" customHeight="true" outlineLevel="0" collapsed="false">
      <c r="A64" s="23" t="n">
        <f aca="false">Daily_Returns_Raw_Data!A41</f>
        <v>42430</v>
      </c>
      <c r="B64" s="17" t="n">
        <f aca="false">SUMPRODUCT(Daily_Returns_Raw_Data!B41:X41,$AB$3:$AX$3)</f>
        <v>0.0171347167245608</v>
      </c>
      <c r="C64" s="17" t="n">
        <f aca="false">-B64</f>
        <v>-0.0171347167245608</v>
      </c>
      <c r="D64" s="17" t="n">
        <f aca="false">MAX(C64-$H$15,0)</f>
        <v>0</v>
      </c>
      <c r="E64" s="36" t="n">
        <v>0</v>
      </c>
      <c r="F64" s="17" t="n">
        <f aca="false">E64+$H$24-C64</f>
        <v>0.0308859257305608</v>
      </c>
    </row>
    <row r="65" customFormat="false" ht="15" hidden="false" customHeight="true" outlineLevel="0" collapsed="false">
      <c r="A65" s="23" t="n">
        <f aca="false">Daily_Returns_Raw_Data!A42</f>
        <v>42431</v>
      </c>
      <c r="B65" s="17" t="n">
        <f aca="false">SUMPRODUCT(Daily_Returns_Raw_Data!B42:X42,$AB$3:$AX$3)</f>
        <v>0.0135741198999832</v>
      </c>
      <c r="C65" s="17" t="n">
        <f aca="false">-B65</f>
        <v>-0.0135741198999832</v>
      </c>
      <c r="D65" s="17" t="n">
        <f aca="false">MAX(C65-$H$15,0)</f>
        <v>0</v>
      </c>
      <c r="E65" s="36" t="n">
        <v>0</v>
      </c>
      <c r="F65" s="17" t="n">
        <f aca="false">E65+$H$24-C65</f>
        <v>0.0273253289059832</v>
      </c>
    </row>
    <row r="66" customFormat="false" ht="15" hidden="false" customHeight="true" outlineLevel="0" collapsed="false">
      <c r="A66" s="23" t="n">
        <f aca="false">Daily_Returns_Raw_Data!A43</f>
        <v>42432</v>
      </c>
      <c r="B66" s="17" t="n">
        <f aca="false">SUMPRODUCT(Daily_Returns_Raw_Data!B43:X43,$AB$3:$AX$3)</f>
        <v>0.00600881093565481</v>
      </c>
      <c r="C66" s="17" t="n">
        <f aca="false">-B66</f>
        <v>-0.00600881093565481</v>
      </c>
      <c r="D66" s="17" t="n">
        <f aca="false">MAX(C66-$H$15,0)</f>
        <v>0</v>
      </c>
      <c r="E66" s="36" t="n">
        <v>0</v>
      </c>
      <c r="F66" s="17" t="n">
        <f aca="false">E66+$H$24-C66</f>
        <v>0.0197600199416548</v>
      </c>
    </row>
    <row r="67" customFormat="false" ht="15" hidden="false" customHeight="true" outlineLevel="0" collapsed="false">
      <c r="A67" s="23" t="n">
        <f aca="false">Daily_Returns_Raw_Data!A44</f>
        <v>42433</v>
      </c>
      <c r="B67" s="17" t="n">
        <f aca="false">SUMPRODUCT(Daily_Returns_Raw_Data!B44:X44,$AB$3:$AX$3)</f>
        <v>-0.000214776507346317</v>
      </c>
      <c r="C67" s="17" t="n">
        <f aca="false">-B67</f>
        <v>0.000214776507346317</v>
      </c>
      <c r="D67" s="17" t="n">
        <f aca="false">MAX(C67-$H$15,0)</f>
        <v>0</v>
      </c>
      <c r="E67" s="36" t="n">
        <v>0</v>
      </c>
      <c r="F67" s="17" t="n">
        <f aca="false">E67+$H$24-C67</f>
        <v>0.0135364324986537</v>
      </c>
    </row>
    <row r="68" customFormat="false" ht="15" hidden="false" customHeight="true" outlineLevel="0" collapsed="false">
      <c r="A68" s="23" t="n">
        <f aca="false">Daily_Returns_Raw_Data!A45</f>
        <v>42436</v>
      </c>
      <c r="B68" s="17" t="n">
        <f aca="false">SUMPRODUCT(Daily_Returns_Raw_Data!B45:X45,$AB$3:$AX$3)</f>
        <v>-0.00650374894966424</v>
      </c>
      <c r="C68" s="17" t="n">
        <f aca="false">-B68</f>
        <v>0.00650374894966424</v>
      </c>
      <c r="D68" s="17" t="n">
        <f aca="false">MAX(C68-$H$15,0)</f>
        <v>0</v>
      </c>
      <c r="E68" s="36" t="n">
        <v>0</v>
      </c>
      <c r="F68" s="17" t="n">
        <f aca="false">E68+$H$24-C68</f>
        <v>0.00724746005633576</v>
      </c>
    </row>
    <row r="69" customFormat="false" ht="15" hidden="false" customHeight="true" outlineLevel="0" collapsed="false">
      <c r="A69" s="23" t="n">
        <f aca="false">Daily_Returns_Raw_Data!A46</f>
        <v>42437</v>
      </c>
      <c r="B69" s="17" t="n">
        <f aca="false">SUMPRODUCT(Daily_Returns_Raw_Data!B46:X46,$AB$3:$AX$3)</f>
        <v>-0.00636223703936257</v>
      </c>
      <c r="C69" s="17" t="n">
        <f aca="false">-B69</f>
        <v>0.00636223703936257</v>
      </c>
      <c r="D69" s="17" t="n">
        <f aca="false">MAX(C69-$H$15,0)</f>
        <v>0</v>
      </c>
      <c r="E69" s="36" t="n">
        <v>0</v>
      </c>
      <c r="F69" s="17" t="n">
        <f aca="false">E69+$H$24-C69</f>
        <v>0.00738897196663743</v>
      </c>
    </row>
    <row r="70" customFormat="false" ht="15" hidden="false" customHeight="true" outlineLevel="0" collapsed="false">
      <c r="A70" s="23" t="n">
        <f aca="false">Daily_Returns_Raw_Data!A47</f>
        <v>42438</v>
      </c>
      <c r="B70" s="17" t="n">
        <f aca="false">SUMPRODUCT(Daily_Returns_Raw_Data!B47:X47,$AB$3:$AX$3)</f>
        <v>0.00898462411789982</v>
      </c>
      <c r="C70" s="17" t="n">
        <f aca="false">-B70</f>
        <v>-0.00898462411789982</v>
      </c>
      <c r="D70" s="17" t="n">
        <f aca="false">MAX(C70-$H$15,0)</f>
        <v>0</v>
      </c>
      <c r="E70" s="36" t="n">
        <v>0</v>
      </c>
      <c r="F70" s="17" t="n">
        <f aca="false">E70+$H$24-C70</f>
        <v>0.0227358331238998</v>
      </c>
    </row>
    <row r="71" customFormat="false" ht="15" hidden="false" customHeight="true" outlineLevel="0" collapsed="false">
      <c r="A71" s="23" t="n">
        <f aca="false">Daily_Returns_Raw_Data!A48</f>
        <v>42439</v>
      </c>
      <c r="B71" s="17" t="n">
        <f aca="false">SUMPRODUCT(Daily_Returns_Raw_Data!B48:X48,$AB$3:$AX$3)</f>
        <v>0.00623482173428246</v>
      </c>
      <c r="C71" s="17" t="n">
        <f aca="false">-B71</f>
        <v>-0.00623482173428246</v>
      </c>
      <c r="D71" s="17" t="n">
        <f aca="false">MAX(C71-$H$15,0)</f>
        <v>0</v>
      </c>
      <c r="E71" s="36" t="n">
        <v>0</v>
      </c>
      <c r="F71" s="17" t="n">
        <f aca="false">E71+$H$24-C71</f>
        <v>0.0199860307402825</v>
      </c>
    </row>
    <row r="72" customFormat="false" ht="15" hidden="false" customHeight="true" outlineLevel="0" collapsed="false">
      <c r="A72" s="23" t="n">
        <f aca="false">Daily_Returns_Raw_Data!A49</f>
        <v>42440</v>
      </c>
      <c r="B72" s="17" t="n">
        <f aca="false">SUMPRODUCT(Daily_Returns_Raw_Data!B49:X49,$AB$3:$AX$3)</f>
        <v>0.00565569981152564</v>
      </c>
      <c r="C72" s="17" t="n">
        <f aca="false">-B72</f>
        <v>-0.00565569981152564</v>
      </c>
      <c r="D72" s="17" t="n">
        <f aca="false">MAX(C72-$H$15,0)</f>
        <v>0</v>
      </c>
      <c r="E72" s="36" t="n">
        <v>0</v>
      </c>
      <c r="F72" s="17" t="n">
        <f aca="false">E72+$H$24-C72</f>
        <v>0.0194069088175256</v>
      </c>
    </row>
    <row r="73" customFormat="false" ht="15" hidden="false" customHeight="true" outlineLevel="0" collapsed="false">
      <c r="A73" s="23" t="n">
        <f aca="false">Daily_Returns_Raw_Data!A50</f>
        <v>42443</v>
      </c>
      <c r="B73" s="17" t="n">
        <f aca="false">SUMPRODUCT(Daily_Returns_Raw_Data!B50:X50,$AB$3:$AX$3)</f>
        <v>-0.00992203867444657</v>
      </c>
      <c r="C73" s="17" t="n">
        <f aca="false">-B73</f>
        <v>0.00992203867444657</v>
      </c>
      <c r="D73" s="17" t="n">
        <f aca="false">MAX(C73-$H$15,0)</f>
        <v>0</v>
      </c>
      <c r="E73" s="36" t="n">
        <v>0</v>
      </c>
      <c r="F73" s="17" t="n">
        <f aca="false">E73+$H$24-C73</f>
        <v>0.00382917033155343</v>
      </c>
    </row>
    <row r="74" customFormat="false" ht="15" hidden="false" customHeight="true" outlineLevel="0" collapsed="false">
      <c r="A74" s="23" t="n">
        <f aca="false">Daily_Returns_Raw_Data!A51</f>
        <v>42444</v>
      </c>
      <c r="B74" s="17" t="n">
        <f aca="false">SUMPRODUCT(Daily_Returns_Raw_Data!B51:X51,$AB$3:$AX$3)</f>
        <v>0.00850031214889866</v>
      </c>
      <c r="C74" s="17" t="n">
        <f aca="false">-B74</f>
        <v>-0.00850031214889866</v>
      </c>
      <c r="D74" s="17" t="n">
        <f aca="false">MAX(C74-$H$15,0)</f>
        <v>0</v>
      </c>
      <c r="E74" s="36" t="n">
        <v>0</v>
      </c>
      <c r="F74" s="17" t="n">
        <f aca="false">E74+$H$24-C74</f>
        <v>0.0222515211548987</v>
      </c>
    </row>
    <row r="75" customFormat="false" ht="15" hidden="false" customHeight="true" outlineLevel="0" collapsed="false">
      <c r="A75" s="23" t="n">
        <f aca="false">Daily_Returns_Raw_Data!A52</f>
        <v>42445</v>
      </c>
      <c r="B75" s="17" t="n">
        <f aca="false">SUMPRODUCT(Daily_Returns_Raw_Data!B52:X52,$AB$3:$AX$3)</f>
        <v>0.00318977817260838</v>
      </c>
      <c r="C75" s="17" t="n">
        <f aca="false">-B75</f>
        <v>-0.00318977817260838</v>
      </c>
      <c r="D75" s="17" t="n">
        <f aca="false">MAX(C75-$H$15,0)</f>
        <v>0</v>
      </c>
      <c r="E75" s="36" t="n">
        <v>0</v>
      </c>
      <c r="F75" s="17" t="n">
        <f aca="false">E75+$H$24-C75</f>
        <v>0.0169409871786084</v>
      </c>
    </row>
    <row r="76" customFormat="false" ht="15" hidden="false" customHeight="true" outlineLevel="0" collapsed="false">
      <c r="A76" s="23" t="n">
        <f aca="false">Daily_Returns_Raw_Data!A53</f>
        <v>42446</v>
      </c>
      <c r="B76" s="17" t="n">
        <f aca="false">SUMPRODUCT(Daily_Returns_Raw_Data!B53:X53,$AB$3:$AX$3)</f>
        <v>0.0028763837744717</v>
      </c>
      <c r="C76" s="17" t="n">
        <f aca="false">-B76</f>
        <v>-0.0028763837744717</v>
      </c>
      <c r="D76" s="17" t="n">
        <f aca="false">MAX(C76-$H$15,0)</f>
        <v>0</v>
      </c>
      <c r="E76" s="36" t="n">
        <v>0</v>
      </c>
      <c r="F76" s="17" t="n">
        <f aca="false">E76+$H$24-C76</f>
        <v>0.0166275927804717</v>
      </c>
    </row>
    <row r="77" customFormat="false" ht="15" hidden="false" customHeight="true" outlineLevel="0" collapsed="false">
      <c r="A77" s="23" t="n">
        <f aca="false">Daily_Returns_Raw_Data!A54</f>
        <v>42447</v>
      </c>
      <c r="B77" s="17" t="n">
        <f aca="false">SUMPRODUCT(Daily_Returns_Raw_Data!B54:X54,$AB$3:$AX$3)</f>
        <v>0.00458456191379269</v>
      </c>
      <c r="C77" s="17" t="n">
        <f aca="false">-B77</f>
        <v>-0.00458456191379269</v>
      </c>
      <c r="D77" s="17" t="n">
        <f aca="false">MAX(C77-$H$15,0)</f>
        <v>0</v>
      </c>
      <c r="E77" s="36" t="n">
        <v>0</v>
      </c>
      <c r="F77" s="17" t="n">
        <f aca="false">E77+$H$24-C77</f>
        <v>0.0183357709197927</v>
      </c>
    </row>
    <row r="78" customFormat="false" ht="15" hidden="false" customHeight="true" outlineLevel="0" collapsed="false">
      <c r="A78" s="23" t="n">
        <f aca="false">Daily_Returns_Raw_Data!A55</f>
        <v>42450</v>
      </c>
      <c r="B78" s="17" t="n">
        <f aca="false">SUMPRODUCT(Daily_Returns_Raw_Data!B55:X55,$AB$3:$AX$3)</f>
        <v>-0.00956133221503311</v>
      </c>
      <c r="C78" s="17" t="n">
        <f aca="false">-B78</f>
        <v>0.00956133221503311</v>
      </c>
      <c r="D78" s="17" t="n">
        <f aca="false">MAX(C78-$H$15,0)</f>
        <v>0</v>
      </c>
      <c r="E78" s="36" t="n">
        <v>0</v>
      </c>
      <c r="F78" s="17" t="n">
        <f aca="false">E78+$H$24-C78</f>
        <v>0.00418987679096689</v>
      </c>
    </row>
    <row r="79" customFormat="false" ht="15" hidden="false" customHeight="true" outlineLevel="0" collapsed="false">
      <c r="A79" s="23" t="n">
        <f aca="false">Daily_Returns_Raw_Data!A56</f>
        <v>42451</v>
      </c>
      <c r="B79" s="17" t="n">
        <f aca="false">SUMPRODUCT(Daily_Returns_Raw_Data!B56:X56,$AB$3:$AX$3)</f>
        <v>-0.0131516778104773</v>
      </c>
      <c r="C79" s="17" t="n">
        <f aca="false">-B79</f>
        <v>0.0131516778104773</v>
      </c>
      <c r="D79" s="17" t="n">
        <f aca="false">MAX(C79-$H$15,0)</f>
        <v>0</v>
      </c>
      <c r="E79" s="36" t="n">
        <v>0</v>
      </c>
      <c r="F79" s="17" t="n">
        <f aca="false">E79+$H$24-C79</f>
        <v>0.000599531195522663</v>
      </c>
    </row>
    <row r="80" customFormat="false" ht="15" hidden="false" customHeight="true" outlineLevel="0" collapsed="false">
      <c r="A80" s="23" t="n">
        <f aca="false">Daily_Returns_Raw_Data!A57</f>
        <v>42452</v>
      </c>
      <c r="B80" s="17" t="n">
        <f aca="false">SUMPRODUCT(Daily_Returns_Raw_Data!B57:X57,$AB$3:$AX$3)</f>
        <v>-0.00607319005985941</v>
      </c>
      <c r="C80" s="17" t="n">
        <f aca="false">-B80</f>
        <v>0.00607319005985941</v>
      </c>
      <c r="D80" s="17" t="n">
        <f aca="false">MAX(C80-$H$15,0)</f>
        <v>0</v>
      </c>
      <c r="E80" s="36" t="n">
        <v>0</v>
      </c>
      <c r="F80" s="17" t="n">
        <f aca="false">E80+$H$24-C80</f>
        <v>0.0076780189461406</v>
      </c>
    </row>
    <row r="81" customFormat="false" ht="15" hidden="false" customHeight="true" outlineLevel="0" collapsed="false">
      <c r="A81" s="23" t="n">
        <f aca="false">Daily_Returns_Raw_Data!A58</f>
        <v>42453</v>
      </c>
      <c r="B81" s="17" t="n">
        <f aca="false">SUMPRODUCT(Daily_Returns_Raw_Data!B58:X58,$AB$3:$AX$3)</f>
        <v>0.00923871682634832</v>
      </c>
      <c r="C81" s="17" t="n">
        <f aca="false">-B81</f>
        <v>-0.00923871682634832</v>
      </c>
      <c r="D81" s="17" t="n">
        <f aca="false">MAX(C81-$H$15,0)</f>
        <v>0</v>
      </c>
      <c r="E81" s="36" t="n">
        <v>0</v>
      </c>
      <c r="F81" s="17" t="n">
        <f aca="false">E81+$H$24-C81</f>
        <v>0.0229899258323483</v>
      </c>
    </row>
    <row r="82" customFormat="false" ht="15" hidden="false" customHeight="true" outlineLevel="0" collapsed="false">
      <c r="A82" s="23" t="n">
        <f aca="false">Daily_Returns_Raw_Data!A59</f>
        <v>42457</v>
      </c>
      <c r="B82" s="17" t="n">
        <f aca="false">SUMPRODUCT(Daily_Returns_Raw_Data!B59:X59,$AB$3:$AX$3)</f>
        <v>-0.000781645614753152</v>
      </c>
      <c r="C82" s="17" t="n">
        <f aca="false">-B82</f>
        <v>0.000781645614753152</v>
      </c>
      <c r="D82" s="17" t="n">
        <f aca="false">MAX(C82-$H$15,0)</f>
        <v>0</v>
      </c>
      <c r="E82" s="36" t="n">
        <v>0</v>
      </c>
      <c r="F82" s="17" t="n">
        <f aca="false">E82+$H$24-C82</f>
        <v>0.0129695633912468</v>
      </c>
    </row>
    <row r="83" customFormat="false" ht="15" hidden="false" customHeight="true" outlineLevel="0" collapsed="false">
      <c r="A83" s="23" t="n">
        <f aca="false">Daily_Returns_Raw_Data!A60</f>
        <v>42458</v>
      </c>
      <c r="B83" s="17" t="n">
        <f aca="false">SUMPRODUCT(Daily_Returns_Raw_Data!B60:X60,$AB$3:$AX$3)</f>
        <v>0.0143286216594746</v>
      </c>
      <c r="C83" s="17" t="n">
        <f aca="false">-B83</f>
        <v>-0.0143286216594746</v>
      </c>
      <c r="D83" s="17" t="n">
        <f aca="false">MAX(C83-$H$15,0)</f>
        <v>0</v>
      </c>
      <c r="E83" s="36" t="n">
        <v>0</v>
      </c>
      <c r="F83" s="17" t="n">
        <f aca="false">E83+$H$24-C83</f>
        <v>0.0280798306654746</v>
      </c>
    </row>
    <row r="84" customFormat="false" ht="15" hidden="false" customHeight="true" outlineLevel="0" collapsed="false">
      <c r="A84" s="23" t="n">
        <f aca="false">Daily_Returns_Raw_Data!A61</f>
        <v>42459</v>
      </c>
      <c r="B84" s="17" t="n">
        <f aca="false">SUMPRODUCT(Daily_Returns_Raw_Data!B61:X61,$AB$3:$AX$3)</f>
        <v>-0.00279469459483094</v>
      </c>
      <c r="C84" s="17" t="n">
        <f aca="false">-B84</f>
        <v>0.00279469459483094</v>
      </c>
      <c r="D84" s="17" t="n">
        <f aca="false">MAX(C84-$H$15,0)</f>
        <v>0</v>
      </c>
      <c r="E84" s="36" t="n">
        <v>0</v>
      </c>
      <c r="F84" s="17" t="n">
        <f aca="false">E84+$H$24-C84</f>
        <v>0.0109565144111691</v>
      </c>
    </row>
    <row r="85" customFormat="false" ht="15" hidden="false" customHeight="true" outlineLevel="0" collapsed="false">
      <c r="A85" s="23" t="n">
        <f aca="false">Daily_Returns_Raw_Data!A62</f>
        <v>42460</v>
      </c>
      <c r="B85" s="17" t="n">
        <f aca="false">SUMPRODUCT(Daily_Returns_Raw_Data!B62:X62,$AB$3:$AX$3)</f>
        <v>-0.0111437290265634</v>
      </c>
      <c r="C85" s="17" t="n">
        <f aca="false">-B85</f>
        <v>0.0111437290265634</v>
      </c>
      <c r="D85" s="17" t="n">
        <f aca="false">MAX(C85-$H$15,0)</f>
        <v>0</v>
      </c>
      <c r="E85" s="36" t="n">
        <v>0</v>
      </c>
      <c r="F85" s="17" t="n">
        <f aca="false">E85+$H$24-C85</f>
        <v>0.00260747997943657</v>
      </c>
    </row>
    <row r="86" customFormat="false" ht="15" hidden="false" customHeight="true" outlineLevel="0" collapsed="false">
      <c r="A86" s="23" t="n">
        <f aca="false">Daily_Returns_Raw_Data!A63</f>
        <v>42461</v>
      </c>
      <c r="B86" s="17" t="n">
        <f aca="false">SUMPRODUCT(Daily_Returns_Raw_Data!B63:X63,$AB$3:$AX$3)</f>
        <v>-0.00429731132020359</v>
      </c>
      <c r="C86" s="17" t="n">
        <f aca="false">-B86</f>
        <v>0.00429731132020359</v>
      </c>
      <c r="D86" s="17" t="n">
        <f aca="false">MAX(C86-$H$15,0)</f>
        <v>0</v>
      </c>
      <c r="E86" s="36" t="n">
        <v>0</v>
      </c>
      <c r="F86" s="17" t="n">
        <f aca="false">E86+$H$24-C86</f>
        <v>0.00945389768579641</v>
      </c>
    </row>
    <row r="87" customFormat="false" ht="15" hidden="false" customHeight="true" outlineLevel="0" collapsed="false">
      <c r="A87" s="23" t="n">
        <f aca="false">Daily_Returns_Raw_Data!A64</f>
        <v>42464</v>
      </c>
      <c r="B87" s="17" t="n">
        <f aca="false">SUMPRODUCT(Daily_Returns_Raw_Data!B64:X64,$AB$3:$AX$3)</f>
        <v>0.0247680386422816</v>
      </c>
      <c r="C87" s="17" t="n">
        <f aca="false">-B87</f>
        <v>-0.0247680386422816</v>
      </c>
      <c r="D87" s="17" t="n">
        <f aca="false">MAX(C87-$H$15,0)</f>
        <v>0</v>
      </c>
      <c r="E87" s="36" t="n">
        <v>0</v>
      </c>
      <c r="F87" s="17" t="n">
        <f aca="false">E87+$H$24-C87</f>
        <v>0.0385192476482816</v>
      </c>
    </row>
    <row r="88" customFormat="false" ht="15" hidden="false" customHeight="true" outlineLevel="0" collapsed="false">
      <c r="A88" s="23" t="n">
        <f aca="false">Daily_Returns_Raw_Data!A65</f>
        <v>42465</v>
      </c>
      <c r="B88" s="17" t="n">
        <f aca="false">SUMPRODUCT(Daily_Returns_Raw_Data!B65:X65,$AB$3:$AX$3)</f>
        <v>-0.00502020175641233</v>
      </c>
      <c r="C88" s="17" t="n">
        <f aca="false">-B88</f>
        <v>0.00502020175641233</v>
      </c>
      <c r="D88" s="17" t="n">
        <f aca="false">MAX(C88-$H$15,0)</f>
        <v>0</v>
      </c>
      <c r="E88" s="36" t="n">
        <v>0</v>
      </c>
      <c r="F88" s="17" t="n">
        <f aca="false">E88+$H$24-C88</f>
        <v>0.00873100724958767</v>
      </c>
    </row>
    <row r="89" customFormat="false" ht="15" hidden="false" customHeight="true" outlineLevel="0" collapsed="false">
      <c r="A89" s="23" t="n">
        <f aca="false">Daily_Returns_Raw_Data!A66</f>
        <v>42466</v>
      </c>
      <c r="B89" s="17" t="n">
        <f aca="false">SUMPRODUCT(Daily_Returns_Raw_Data!B66:X66,$AB$3:$AX$3)</f>
        <v>-0.0153358409936049</v>
      </c>
      <c r="C89" s="17" t="n">
        <f aca="false">-B89</f>
        <v>0.0153358409936049</v>
      </c>
      <c r="D89" s="17" t="n">
        <f aca="false">MAX(C89-$H$15,0)</f>
        <v>0.00158463198735475</v>
      </c>
      <c r="E89" s="36" t="n">
        <v>0.001584631987</v>
      </c>
      <c r="F89" s="17" t="n">
        <f aca="false">E89+$H$24-C89</f>
        <v>-6.04936239989584E-013</v>
      </c>
    </row>
    <row r="90" customFormat="false" ht="15" hidden="false" customHeight="true" outlineLevel="0" collapsed="false">
      <c r="A90" s="23" t="n">
        <f aca="false">Daily_Returns_Raw_Data!A67</f>
        <v>42467</v>
      </c>
      <c r="B90" s="17" t="n">
        <f aca="false">SUMPRODUCT(Daily_Returns_Raw_Data!B67:X67,$AB$3:$AX$3)</f>
        <v>0.0151997514034357</v>
      </c>
      <c r="C90" s="17" t="n">
        <f aca="false">-B90</f>
        <v>-0.0151997514034357</v>
      </c>
      <c r="D90" s="17" t="n">
        <f aca="false">MAX(C90-$H$15,0)</f>
        <v>0</v>
      </c>
      <c r="E90" s="36" t="n">
        <v>0</v>
      </c>
      <c r="F90" s="17" t="n">
        <f aca="false">E90+$H$24-C90</f>
        <v>0.0289509604094357</v>
      </c>
    </row>
    <row r="91" customFormat="false" ht="15" hidden="false" customHeight="true" outlineLevel="0" collapsed="false">
      <c r="A91" s="23" t="n">
        <f aca="false">Daily_Returns_Raw_Data!A68</f>
        <v>42468</v>
      </c>
      <c r="B91" s="17" t="n">
        <f aca="false">SUMPRODUCT(Daily_Returns_Raw_Data!B68:X68,$AB$3:$AX$3)</f>
        <v>0.0132124812933805</v>
      </c>
      <c r="C91" s="17" t="n">
        <f aca="false">-B91</f>
        <v>-0.0132124812933805</v>
      </c>
      <c r="D91" s="17" t="n">
        <f aca="false">MAX(C91-$H$15,0)</f>
        <v>0</v>
      </c>
      <c r="E91" s="36" t="n">
        <v>0</v>
      </c>
      <c r="F91" s="17" t="n">
        <f aca="false">E91+$H$24-C91</f>
        <v>0.0269636902993805</v>
      </c>
    </row>
    <row r="92" customFormat="false" ht="15" hidden="false" customHeight="true" outlineLevel="0" collapsed="false">
      <c r="A92" s="23" t="n">
        <f aca="false">Daily_Returns_Raw_Data!A69</f>
        <v>42471</v>
      </c>
      <c r="B92" s="17" t="n">
        <f aca="false">SUMPRODUCT(Daily_Returns_Raw_Data!B69:X69,$AB$3:$AX$3)</f>
        <v>0.0136696995221137</v>
      </c>
      <c r="C92" s="17" t="n">
        <f aca="false">-B92</f>
        <v>-0.0136696995221137</v>
      </c>
      <c r="D92" s="17" t="n">
        <f aca="false">MAX(C92-$H$15,0)</f>
        <v>0</v>
      </c>
      <c r="E92" s="36" t="n">
        <v>0</v>
      </c>
      <c r="F92" s="17" t="n">
        <f aca="false">E92+$H$24-C92</f>
        <v>0.0274209085281137</v>
      </c>
    </row>
    <row r="93" customFormat="false" ht="15" hidden="false" customHeight="true" outlineLevel="0" collapsed="false">
      <c r="A93" s="23" t="n">
        <f aca="false">Daily_Returns_Raw_Data!A70</f>
        <v>42472</v>
      </c>
      <c r="B93" s="17" t="n">
        <f aca="false">SUMPRODUCT(Daily_Returns_Raw_Data!B70:X70,$AB$3:$AX$3)</f>
        <v>0.00138145013443103</v>
      </c>
      <c r="C93" s="17" t="n">
        <f aca="false">-B93</f>
        <v>-0.00138145013443103</v>
      </c>
      <c r="D93" s="17" t="n">
        <f aca="false">MAX(C93-$H$15,0)</f>
        <v>0</v>
      </c>
      <c r="E93" s="36" t="n">
        <v>0</v>
      </c>
      <c r="F93" s="17" t="n">
        <f aca="false">E93+$H$24-C93</f>
        <v>0.015132659140431</v>
      </c>
    </row>
    <row r="94" customFormat="false" ht="15" hidden="false" customHeight="true" outlineLevel="0" collapsed="false">
      <c r="A94" s="23" t="n">
        <f aca="false">Daily_Returns_Raw_Data!A71</f>
        <v>42473</v>
      </c>
      <c r="B94" s="17" t="n">
        <f aca="false">SUMPRODUCT(Daily_Returns_Raw_Data!B71:X71,$AB$3:$AX$3)</f>
        <v>-0.00744385938846939</v>
      </c>
      <c r="C94" s="17" t="n">
        <f aca="false">-B94</f>
        <v>0.00744385938846939</v>
      </c>
      <c r="D94" s="17" t="n">
        <f aca="false">MAX(C94-$H$15,0)</f>
        <v>0</v>
      </c>
      <c r="E94" s="36" t="n">
        <v>0</v>
      </c>
      <c r="F94" s="17" t="n">
        <f aca="false">E94+$H$24-C94</f>
        <v>0.00630734961753062</v>
      </c>
    </row>
    <row r="95" customFormat="false" ht="15" hidden="false" customHeight="true" outlineLevel="0" collapsed="false">
      <c r="A95" s="23" t="n">
        <f aca="false">Daily_Returns_Raw_Data!A72</f>
        <v>42474</v>
      </c>
      <c r="B95" s="17" t="n">
        <f aca="false">SUMPRODUCT(Daily_Returns_Raw_Data!B72:X72,$AB$3:$AX$3)</f>
        <v>-0.0137512090062433</v>
      </c>
      <c r="C95" s="17" t="n">
        <f aca="false">-B95</f>
        <v>0.0137512090062433</v>
      </c>
      <c r="D95" s="17" t="n">
        <f aca="false">MAX(C95-$H$15,0)</f>
        <v>0</v>
      </c>
      <c r="E95" s="36" t="n">
        <v>0</v>
      </c>
      <c r="F95" s="17" t="n">
        <f aca="false">E95+$H$24-C95</f>
        <v>-2.43340070316123E-013</v>
      </c>
    </row>
    <row r="96" customFormat="false" ht="15" hidden="false" customHeight="true" outlineLevel="0" collapsed="false">
      <c r="A96" s="23" t="n">
        <f aca="false">Daily_Returns_Raw_Data!A73</f>
        <v>42475</v>
      </c>
      <c r="B96" s="17" t="n">
        <f aca="false">SUMPRODUCT(Daily_Returns_Raw_Data!B73:X73,$AB$3:$AX$3)</f>
        <v>-2.6890690097456E-005</v>
      </c>
      <c r="C96" s="17" t="n">
        <f aca="false">-B96</f>
        <v>2.6890690097456E-005</v>
      </c>
      <c r="D96" s="17" t="n">
        <f aca="false">MAX(C96-$H$15,0)</f>
        <v>0</v>
      </c>
      <c r="E96" s="36" t="n">
        <v>0</v>
      </c>
      <c r="F96" s="17" t="n">
        <f aca="false">E96+$H$24-C96</f>
        <v>0.0137243183159025</v>
      </c>
    </row>
    <row r="97" customFormat="false" ht="15" hidden="false" customHeight="true" outlineLevel="0" collapsed="false">
      <c r="A97" s="23" t="n">
        <f aca="false">Daily_Returns_Raw_Data!A74</f>
        <v>42478</v>
      </c>
      <c r="B97" s="17" t="n">
        <f aca="false">SUMPRODUCT(Daily_Returns_Raw_Data!B74:X74,$AB$3:$AX$3)</f>
        <v>-0.00247741039705057</v>
      </c>
      <c r="C97" s="17" t="n">
        <f aca="false">-B97</f>
        <v>0.00247741039705057</v>
      </c>
      <c r="D97" s="17" t="n">
        <f aca="false">MAX(C97-$H$15,0)</f>
        <v>0</v>
      </c>
      <c r="E97" s="36" t="n">
        <v>0</v>
      </c>
      <c r="F97" s="17" t="n">
        <f aca="false">E97+$H$24-C97</f>
        <v>0.0112737986089494</v>
      </c>
    </row>
    <row r="98" customFormat="false" ht="15" hidden="false" customHeight="true" outlineLevel="0" collapsed="false">
      <c r="A98" s="23" t="n">
        <f aca="false">Daily_Returns_Raw_Data!A75</f>
        <v>42479</v>
      </c>
      <c r="B98" s="17" t="n">
        <f aca="false">SUMPRODUCT(Daily_Returns_Raw_Data!B75:X75,$AB$3:$AX$3)</f>
        <v>0.0255347516156948</v>
      </c>
      <c r="C98" s="17" t="n">
        <f aca="false">-B98</f>
        <v>-0.0255347516156948</v>
      </c>
      <c r="D98" s="17" t="n">
        <f aca="false">MAX(C98-$H$15,0)</f>
        <v>0</v>
      </c>
      <c r="E98" s="36" t="n">
        <v>0</v>
      </c>
      <c r="F98" s="17" t="n">
        <f aca="false">E98+$H$24-C98</f>
        <v>0.0392859606216948</v>
      </c>
    </row>
    <row r="99" customFormat="false" ht="15" hidden="false" customHeight="true" outlineLevel="0" collapsed="false">
      <c r="A99" s="23" t="n">
        <f aca="false">Daily_Returns_Raw_Data!A76</f>
        <v>42480</v>
      </c>
      <c r="B99" s="17" t="n">
        <f aca="false">SUMPRODUCT(Daily_Returns_Raw_Data!B76:X76,$AB$3:$AX$3)</f>
        <v>-0.0291277019544824</v>
      </c>
      <c r="C99" s="17" t="n">
        <f aca="false">-B99</f>
        <v>0.0291277019544824</v>
      </c>
      <c r="D99" s="17" t="n">
        <f aca="false">MAX(C99-$H$15,0)</f>
        <v>0.0153764929482323</v>
      </c>
      <c r="E99" s="36" t="n">
        <v>0.015376492948</v>
      </c>
      <c r="F99" s="17" t="n">
        <f aca="false">E99+$H$24-C99</f>
        <v>-4.82437007010006E-013</v>
      </c>
    </row>
    <row r="100" customFormat="false" ht="15" hidden="false" customHeight="true" outlineLevel="0" collapsed="false">
      <c r="A100" s="23" t="n">
        <f aca="false">Daily_Returns_Raw_Data!A77</f>
        <v>42481</v>
      </c>
      <c r="B100" s="17" t="n">
        <f aca="false">SUMPRODUCT(Daily_Returns_Raw_Data!B77:X77,$AB$3:$AX$3)</f>
        <v>0.0073156952701047</v>
      </c>
      <c r="C100" s="17" t="n">
        <f aca="false">-B100</f>
        <v>-0.0073156952701047</v>
      </c>
      <c r="D100" s="17" t="n">
        <f aca="false">MAX(C100-$H$15,0)</f>
        <v>0</v>
      </c>
      <c r="E100" s="36" t="n">
        <v>0</v>
      </c>
      <c r="F100" s="17" t="n">
        <f aca="false">E100+$H$24-C100</f>
        <v>0.0210669042761047</v>
      </c>
    </row>
    <row r="101" customFormat="false" ht="15" hidden="false" customHeight="true" outlineLevel="0" collapsed="false">
      <c r="A101" s="23" t="n">
        <f aca="false">Daily_Returns_Raw_Data!A78</f>
        <v>42482</v>
      </c>
      <c r="B101" s="17" t="n">
        <f aca="false">SUMPRODUCT(Daily_Returns_Raw_Data!B78:X78,$AB$3:$AX$3)</f>
        <v>-0.00934931964026768</v>
      </c>
      <c r="C101" s="17" t="n">
        <f aca="false">-B101</f>
        <v>0.00934931964026768</v>
      </c>
      <c r="D101" s="17" t="n">
        <f aca="false">MAX(C101-$H$15,0)</f>
        <v>0</v>
      </c>
      <c r="E101" s="36" t="n">
        <v>0</v>
      </c>
      <c r="F101" s="17" t="n">
        <f aca="false">E101+$H$24-C101</f>
        <v>0.00440188936573232</v>
      </c>
    </row>
    <row r="102" customFormat="false" ht="15" hidden="false" customHeight="true" outlineLevel="0" collapsed="false">
      <c r="A102" s="23" t="n">
        <f aca="false">Daily_Returns_Raw_Data!A79</f>
        <v>42485</v>
      </c>
      <c r="B102" s="17" t="n">
        <f aca="false">SUMPRODUCT(Daily_Returns_Raw_Data!B79:X79,$AB$3:$AX$3)</f>
        <v>0.0142584626131969</v>
      </c>
      <c r="C102" s="17" t="n">
        <f aca="false">-B102</f>
        <v>-0.0142584626131969</v>
      </c>
      <c r="D102" s="17" t="n">
        <f aca="false">MAX(C102-$H$15,0)</f>
        <v>0</v>
      </c>
      <c r="E102" s="36" t="n">
        <v>0</v>
      </c>
      <c r="F102" s="17" t="n">
        <f aca="false">E102+$H$24-C102</f>
        <v>0.0280096716191969</v>
      </c>
    </row>
    <row r="103" customFormat="false" ht="15" hidden="false" customHeight="true" outlineLevel="0" collapsed="false">
      <c r="A103" s="23" t="n">
        <f aca="false">Daily_Returns_Raw_Data!A80</f>
        <v>42486</v>
      </c>
      <c r="B103" s="17" t="n">
        <f aca="false">SUMPRODUCT(Daily_Returns_Raw_Data!B80:X80,$AB$3:$AX$3)</f>
        <v>0.00985956444896199</v>
      </c>
      <c r="C103" s="17" t="n">
        <f aca="false">-B103</f>
        <v>-0.00985956444896199</v>
      </c>
      <c r="D103" s="17" t="n">
        <f aca="false">MAX(C103-$H$15,0)</f>
        <v>0</v>
      </c>
      <c r="E103" s="36" t="n">
        <v>0</v>
      </c>
      <c r="F103" s="17" t="n">
        <f aca="false">E103+$H$24-C103</f>
        <v>0.023610773454962</v>
      </c>
    </row>
    <row r="104" customFormat="false" ht="15" hidden="false" customHeight="true" outlineLevel="0" collapsed="false">
      <c r="A104" s="23" t="n">
        <f aca="false">Daily_Returns_Raw_Data!A81</f>
        <v>42487</v>
      </c>
      <c r="B104" s="17" t="n">
        <f aca="false">SUMPRODUCT(Daily_Returns_Raw_Data!B81:X81,$AB$3:$AX$3)</f>
        <v>0.00726136781324042</v>
      </c>
      <c r="C104" s="17" t="n">
        <f aca="false">-B104</f>
        <v>-0.00726136781324042</v>
      </c>
      <c r="D104" s="17" t="n">
        <f aca="false">MAX(C104-$H$15,0)</f>
        <v>0</v>
      </c>
      <c r="E104" s="36" t="n">
        <v>0</v>
      </c>
      <c r="F104" s="17" t="n">
        <f aca="false">E104+$H$24-C104</f>
        <v>0.0210125768192404</v>
      </c>
    </row>
    <row r="105" customFormat="false" ht="15" hidden="false" customHeight="true" outlineLevel="0" collapsed="false">
      <c r="A105" s="23" t="n">
        <f aca="false">Daily_Returns_Raw_Data!A82</f>
        <v>42488</v>
      </c>
      <c r="B105" s="17" t="n">
        <f aca="false">SUMPRODUCT(Daily_Returns_Raw_Data!B82:X82,$AB$3:$AX$3)</f>
        <v>0.00193433723206192</v>
      </c>
      <c r="C105" s="17" t="n">
        <f aca="false">-B105</f>
        <v>-0.00193433723206192</v>
      </c>
      <c r="D105" s="17" t="n">
        <f aca="false">MAX(C105-$H$15,0)</f>
        <v>0</v>
      </c>
      <c r="E105" s="36" t="n">
        <v>0</v>
      </c>
      <c r="F105" s="17" t="n">
        <f aca="false">E105+$H$24-C105</f>
        <v>0.0156855462380619</v>
      </c>
    </row>
    <row r="106" customFormat="false" ht="15" hidden="false" customHeight="true" outlineLevel="0" collapsed="false">
      <c r="A106" s="23" t="n">
        <f aca="false">Daily_Returns_Raw_Data!A83</f>
        <v>42489</v>
      </c>
      <c r="B106" s="17" t="n">
        <f aca="false">SUMPRODUCT(Daily_Returns_Raw_Data!B83:X83,$AB$3:$AX$3)</f>
        <v>-0.00748418376578807</v>
      </c>
      <c r="C106" s="17" t="n">
        <f aca="false">-B106</f>
        <v>0.00748418376578807</v>
      </c>
      <c r="D106" s="17" t="n">
        <f aca="false">MAX(C106-$H$15,0)</f>
        <v>0</v>
      </c>
      <c r="E106" s="36" t="n">
        <v>0</v>
      </c>
      <c r="F106" s="17" t="n">
        <f aca="false">E106+$H$24-C106</f>
        <v>0.00626702524021193</v>
      </c>
    </row>
    <row r="107" customFormat="false" ht="15" hidden="false" customHeight="true" outlineLevel="0" collapsed="false">
      <c r="A107" s="23" t="n">
        <f aca="false">Daily_Returns_Raw_Data!A84</f>
        <v>42492</v>
      </c>
      <c r="B107" s="17" t="n">
        <f aca="false">SUMPRODUCT(Daily_Returns_Raw_Data!B84:X84,$AB$3:$AX$3)</f>
        <v>-0.0225339876630968</v>
      </c>
      <c r="C107" s="17" t="n">
        <f aca="false">-B107</f>
        <v>0.0225339876630968</v>
      </c>
      <c r="D107" s="17" t="n">
        <f aca="false">MAX(C107-$H$15,0)</f>
        <v>0.00878277865684661</v>
      </c>
      <c r="E107" s="36" t="n">
        <v>0.008782778657</v>
      </c>
      <c r="F107" s="17" t="n">
        <f aca="false">E107+$H$24-C107</f>
        <v>-9.67941005125539E-014</v>
      </c>
    </row>
    <row r="108" customFormat="false" ht="15" hidden="false" customHeight="true" outlineLevel="0" collapsed="false">
      <c r="A108" s="23" t="n">
        <f aca="false">Daily_Returns_Raw_Data!A85</f>
        <v>42493</v>
      </c>
      <c r="B108" s="17" t="n">
        <f aca="false">SUMPRODUCT(Daily_Returns_Raw_Data!B85:X85,$AB$3:$AX$3)</f>
        <v>-0.0145184033404447</v>
      </c>
      <c r="C108" s="17" t="n">
        <f aca="false">-B108</f>
        <v>0.0145184033404447</v>
      </c>
      <c r="D108" s="17" t="n">
        <f aca="false">MAX(C108-$H$15,0)</f>
        <v>0.000767194334194553</v>
      </c>
      <c r="E108" s="36" t="n">
        <v>0.000767194334</v>
      </c>
      <c r="F108" s="17" t="n">
        <f aca="false">E108+$H$24-C108</f>
        <v>-4.44739731153554E-013</v>
      </c>
    </row>
    <row r="109" customFormat="false" ht="15" hidden="false" customHeight="true" outlineLevel="0" collapsed="false">
      <c r="A109" s="23" t="n">
        <f aca="false">Daily_Returns_Raw_Data!A86</f>
        <v>42494</v>
      </c>
      <c r="B109" s="17" t="n">
        <f aca="false">SUMPRODUCT(Daily_Returns_Raw_Data!B86:X86,$AB$3:$AX$3)</f>
        <v>-0.000882939092369894</v>
      </c>
      <c r="C109" s="17" t="n">
        <f aca="false">-B109</f>
        <v>0.000882939092369894</v>
      </c>
      <c r="D109" s="17" t="n">
        <f aca="false">MAX(C109-$H$15,0)</f>
        <v>0</v>
      </c>
      <c r="E109" s="36" t="n">
        <v>0</v>
      </c>
      <c r="F109" s="17" t="n">
        <f aca="false">E109+$H$24-C109</f>
        <v>0.0128682699136301</v>
      </c>
    </row>
    <row r="110" customFormat="false" ht="15" hidden="false" customHeight="true" outlineLevel="0" collapsed="false">
      <c r="A110" s="23" t="n">
        <f aca="false">Daily_Returns_Raw_Data!A87</f>
        <v>42495</v>
      </c>
      <c r="B110" s="17" t="n">
        <f aca="false">SUMPRODUCT(Daily_Returns_Raw_Data!B87:X87,$AB$3:$AX$3)</f>
        <v>-0.00819726522985507</v>
      </c>
      <c r="C110" s="17" t="n">
        <f aca="false">-B110</f>
        <v>0.00819726522985507</v>
      </c>
      <c r="D110" s="17" t="n">
        <f aca="false">MAX(C110-$H$15,0)</f>
        <v>0</v>
      </c>
      <c r="E110" s="36" t="n">
        <v>0</v>
      </c>
      <c r="F110" s="17" t="n">
        <f aca="false">E110+$H$24-C110</f>
        <v>0.00555394377614493</v>
      </c>
    </row>
    <row r="111" customFormat="false" ht="15" hidden="false" customHeight="true" outlineLevel="0" collapsed="false">
      <c r="A111" s="23" t="n">
        <f aca="false">Daily_Returns_Raw_Data!A88</f>
        <v>42496</v>
      </c>
      <c r="B111" s="17" t="n">
        <f aca="false">SUMPRODUCT(Daily_Returns_Raw_Data!B88:X88,$AB$3:$AX$3)</f>
        <v>-0.0131076305392631</v>
      </c>
      <c r="C111" s="17" t="n">
        <f aca="false">-B111</f>
        <v>0.0131076305392631</v>
      </c>
      <c r="D111" s="17" t="n">
        <f aca="false">MAX(C111-$H$15,0)</f>
        <v>0</v>
      </c>
      <c r="E111" s="36" t="n">
        <v>0</v>
      </c>
      <c r="F111" s="17" t="n">
        <f aca="false">E111+$H$24-C111</f>
        <v>0.000643578466736858</v>
      </c>
    </row>
    <row r="112" customFormat="false" ht="15" hidden="false" customHeight="true" outlineLevel="0" collapsed="false">
      <c r="A112" s="23" t="n">
        <f aca="false">Daily_Returns_Raw_Data!A89</f>
        <v>42499</v>
      </c>
      <c r="B112" s="17" t="n">
        <f aca="false">SUMPRODUCT(Daily_Returns_Raw_Data!B89:X89,$AB$3:$AX$3)</f>
        <v>0.0203646348002716</v>
      </c>
      <c r="C112" s="17" t="n">
        <f aca="false">-B112</f>
        <v>-0.0203646348002716</v>
      </c>
      <c r="D112" s="17" t="n">
        <f aca="false">MAX(C112-$H$15,0)</f>
        <v>0</v>
      </c>
      <c r="E112" s="36" t="n">
        <v>0</v>
      </c>
      <c r="F112" s="17" t="n">
        <f aca="false">E112+$H$24-C112</f>
        <v>0.0341158438062716</v>
      </c>
    </row>
    <row r="113" customFormat="false" ht="15" hidden="false" customHeight="true" outlineLevel="0" collapsed="false">
      <c r="A113" s="23" t="n">
        <f aca="false">Daily_Returns_Raw_Data!A90</f>
        <v>42500</v>
      </c>
      <c r="B113" s="17" t="n">
        <f aca="false">SUMPRODUCT(Daily_Returns_Raw_Data!B90:X90,$AB$3:$AX$3)</f>
        <v>0.00497919257539119</v>
      </c>
      <c r="C113" s="17" t="n">
        <f aca="false">-B113</f>
        <v>-0.00497919257539119</v>
      </c>
      <c r="D113" s="17" t="n">
        <f aca="false">MAX(C113-$H$15,0)</f>
        <v>0</v>
      </c>
      <c r="E113" s="36" t="n">
        <v>0</v>
      </c>
      <c r="F113" s="17" t="n">
        <f aca="false">E113+$H$24-C113</f>
        <v>0.0187304015813912</v>
      </c>
    </row>
    <row r="114" customFormat="false" ht="15" hidden="false" customHeight="true" outlineLevel="0" collapsed="false">
      <c r="A114" s="23" t="n">
        <f aca="false">Daily_Returns_Raw_Data!A91</f>
        <v>42501</v>
      </c>
      <c r="B114" s="17" t="n">
        <f aca="false">SUMPRODUCT(Daily_Returns_Raw_Data!B91:X91,$AB$3:$AX$3)</f>
        <v>-0.0182529353072072</v>
      </c>
      <c r="C114" s="17" t="n">
        <f aca="false">-B114</f>
        <v>0.0182529353072072</v>
      </c>
      <c r="D114" s="17" t="n">
        <f aca="false">MAX(C114-$H$15,0)</f>
        <v>0.00450172630095696</v>
      </c>
      <c r="E114" s="36" t="n">
        <v>0.004501726301</v>
      </c>
      <c r="F114" s="17" t="n">
        <f aca="false">E114+$H$24-C114</f>
        <v>-2.07150269160294E-013</v>
      </c>
    </row>
    <row r="115" customFormat="false" ht="15" hidden="false" customHeight="true" outlineLevel="0" collapsed="false">
      <c r="A115" s="23" t="n">
        <f aca="false">Daily_Returns_Raw_Data!A92</f>
        <v>42502</v>
      </c>
      <c r="B115" s="17" t="n">
        <f aca="false">SUMPRODUCT(Daily_Returns_Raw_Data!B92:X92,$AB$3:$AX$3)</f>
        <v>0.00136509275081849</v>
      </c>
      <c r="C115" s="17" t="n">
        <f aca="false">-B115</f>
        <v>-0.00136509275081849</v>
      </c>
      <c r="D115" s="17" t="n">
        <f aca="false">MAX(C115-$H$15,0)</f>
        <v>0</v>
      </c>
      <c r="E115" s="36" t="n">
        <v>0</v>
      </c>
      <c r="F115" s="17" t="n">
        <f aca="false">E115+$H$24-C115</f>
        <v>0.0151163017568185</v>
      </c>
    </row>
    <row r="116" customFormat="false" ht="15" hidden="false" customHeight="true" outlineLevel="0" collapsed="false">
      <c r="A116" s="23" t="n">
        <f aca="false">Daily_Returns_Raw_Data!A93</f>
        <v>42503</v>
      </c>
      <c r="B116" s="17" t="n">
        <f aca="false">SUMPRODUCT(Daily_Returns_Raw_Data!B93:X93,$AB$3:$AX$3)</f>
        <v>0.00137341967849163</v>
      </c>
      <c r="C116" s="17" t="n">
        <f aca="false">-B116</f>
        <v>-0.00137341967849163</v>
      </c>
      <c r="D116" s="17" t="n">
        <f aca="false">MAX(C116-$H$15,0)</f>
        <v>0</v>
      </c>
      <c r="E116" s="36" t="n">
        <v>0</v>
      </c>
      <c r="F116" s="17" t="n">
        <f aca="false">E116+$H$24-C116</f>
        <v>0.0151246286844916</v>
      </c>
    </row>
    <row r="117" customFormat="false" ht="15" hidden="false" customHeight="true" outlineLevel="0" collapsed="false">
      <c r="A117" s="23" t="n">
        <f aca="false">Daily_Returns_Raw_Data!A94</f>
        <v>42506</v>
      </c>
      <c r="B117" s="17" t="n">
        <f aca="false">SUMPRODUCT(Daily_Returns_Raw_Data!B94:X94,$AB$3:$AX$3)</f>
        <v>-0.0147331452148605</v>
      </c>
      <c r="C117" s="17" t="n">
        <f aca="false">-B117</f>
        <v>0.0147331452148605</v>
      </c>
      <c r="D117" s="17" t="n">
        <f aca="false">MAX(C117-$H$15,0)</f>
        <v>0.00098193620861034</v>
      </c>
      <c r="E117" s="36" t="n">
        <v>0.000981936209</v>
      </c>
      <c r="F117" s="17" t="n">
        <f aca="false">E117+$H$24-C117</f>
        <v>1.39473502192011E-013</v>
      </c>
    </row>
    <row r="118" customFormat="false" ht="15" hidden="false" customHeight="true" outlineLevel="0" collapsed="false">
      <c r="A118" s="23" t="n">
        <f aca="false">Daily_Returns_Raw_Data!A95</f>
        <v>42507</v>
      </c>
      <c r="B118" s="17" t="n">
        <f aca="false">SUMPRODUCT(Daily_Returns_Raw_Data!B95:X95,$AB$3:$AX$3)</f>
        <v>-0.0137512090062532</v>
      </c>
      <c r="C118" s="17" t="n">
        <f aca="false">-B118</f>
        <v>0.0137512090062532</v>
      </c>
      <c r="D118" s="17" t="n">
        <f aca="false">MAX(C118-$H$15,0)</f>
        <v>2.99413271953597E-015</v>
      </c>
      <c r="E118" s="36" t="n">
        <v>0</v>
      </c>
      <c r="F118" s="17" t="n">
        <f aca="false">E118+$H$24-C118</f>
        <v>-2.53181156595339E-013</v>
      </c>
    </row>
    <row r="119" customFormat="false" ht="15" hidden="false" customHeight="true" outlineLevel="0" collapsed="false">
      <c r="A119" s="23" t="n">
        <f aca="false">Daily_Returns_Raw_Data!A96</f>
        <v>42508</v>
      </c>
      <c r="B119" s="17" t="n">
        <f aca="false">SUMPRODUCT(Daily_Returns_Raw_Data!B96:X96,$AB$3:$AX$3)</f>
        <v>-0.00913680726439081</v>
      </c>
      <c r="C119" s="17" t="n">
        <f aca="false">-B119</f>
        <v>0.00913680726439081</v>
      </c>
      <c r="D119" s="17" t="n">
        <f aca="false">MAX(C119-$H$15,0)</f>
        <v>0</v>
      </c>
      <c r="E119" s="36" t="n">
        <v>0</v>
      </c>
      <c r="F119" s="17" t="n">
        <f aca="false">E119+$H$24-C119</f>
        <v>0.0046144017416092</v>
      </c>
    </row>
    <row r="120" customFormat="false" ht="15" hidden="false" customHeight="true" outlineLevel="0" collapsed="false">
      <c r="A120" s="23" t="n">
        <f aca="false">Daily_Returns_Raw_Data!A97</f>
        <v>42509</v>
      </c>
      <c r="B120" s="17" t="n">
        <f aca="false">SUMPRODUCT(Daily_Returns_Raw_Data!B97:X97,$AB$3:$AX$3)</f>
        <v>0.0106253094837293</v>
      </c>
      <c r="C120" s="17" t="n">
        <f aca="false">-B120</f>
        <v>-0.0106253094837293</v>
      </c>
      <c r="D120" s="17" t="n">
        <f aca="false">MAX(C120-$H$15,0)</f>
        <v>0</v>
      </c>
      <c r="E120" s="36" t="n">
        <v>0</v>
      </c>
      <c r="F120" s="17" t="n">
        <f aca="false">E120+$H$24-C120</f>
        <v>0.0243765184897293</v>
      </c>
    </row>
    <row r="121" customFormat="false" ht="15" hidden="false" customHeight="true" outlineLevel="0" collapsed="false">
      <c r="A121" s="23" t="n">
        <f aca="false">Daily_Returns_Raw_Data!A98</f>
        <v>42510</v>
      </c>
      <c r="B121" s="17" t="n">
        <f aca="false">SUMPRODUCT(Daily_Returns_Raw_Data!B98:X98,$AB$3:$AX$3)</f>
        <v>-0.00212648976270676</v>
      </c>
      <c r="C121" s="17" t="n">
        <f aca="false">-B121</f>
        <v>0.00212648976270676</v>
      </c>
      <c r="D121" s="17" t="n">
        <f aca="false">MAX(C121-$H$15,0)</f>
        <v>0</v>
      </c>
      <c r="E121" s="36" t="n">
        <v>0</v>
      </c>
      <c r="F121" s="17" t="n">
        <f aca="false">E121+$H$24-C121</f>
        <v>0.0116247192432932</v>
      </c>
    </row>
    <row r="122" customFormat="false" ht="15" hidden="false" customHeight="true" outlineLevel="0" collapsed="false">
      <c r="A122" s="23" t="n">
        <f aca="false">Daily_Returns_Raw_Data!A99</f>
        <v>42513</v>
      </c>
      <c r="B122" s="17" t="n">
        <f aca="false">SUMPRODUCT(Daily_Returns_Raw_Data!B99:X99,$AB$3:$AX$3)</f>
        <v>0.0204078796267914</v>
      </c>
      <c r="C122" s="17" t="n">
        <f aca="false">-B122</f>
        <v>-0.0204078796267914</v>
      </c>
      <c r="D122" s="17" t="n">
        <f aca="false">MAX(C122-$H$15,0)</f>
        <v>0</v>
      </c>
      <c r="E122" s="36" t="n">
        <v>0</v>
      </c>
      <c r="F122" s="17" t="n">
        <f aca="false">E122+$H$24-C122</f>
        <v>0.0341590886327914</v>
      </c>
    </row>
    <row r="123" customFormat="false" ht="15" hidden="false" customHeight="true" outlineLevel="0" collapsed="false">
      <c r="A123" s="23" t="n">
        <f aca="false">Daily_Returns_Raw_Data!A100</f>
        <v>42514</v>
      </c>
      <c r="B123" s="17" t="n">
        <f aca="false">SUMPRODUCT(Daily_Returns_Raw_Data!B100:X100,$AB$3:$AX$3)</f>
        <v>0.0057230345320225</v>
      </c>
      <c r="C123" s="17" t="n">
        <f aca="false">-B123</f>
        <v>-0.0057230345320225</v>
      </c>
      <c r="D123" s="17" t="n">
        <f aca="false">MAX(C123-$H$15,0)</f>
        <v>0</v>
      </c>
      <c r="E123" s="36" t="n">
        <v>0</v>
      </c>
      <c r="F123" s="17" t="n">
        <f aca="false">E123+$H$24-C123</f>
        <v>0.0194742435380225</v>
      </c>
    </row>
    <row r="124" customFormat="false" ht="15" hidden="false" customHeight="true" outlineLevel="0" collapsed="false">
      <c r="A124" s="23" t="n">
        <f aca="false">Daily_Returns_Raw_Data!A101</f>
        <v>42515</v>
      </c>
      <c r="B124" s="17" t="n">
        <f aca="false">SUMPRODUCT(Daily_Returns_Raw_Data!B101:X101,$AB$3:$AX$3)</f>
        <v>0.00769499640834722</v>
      </c>
      <c r="C124" s="17" t="n">
        <f aca="false">-B124</f>
        <v>-0.00769499640834722</v>
      </c>
      <c r="D124" s="17" t="n">
        <f aca="false">MAX(C124-$H$15,0)</f>
        <v>0</v>
      </c>
      <c r="E124" s="36" t="n">
        <v>0</v>
      </c>
      <c r="F124" s="17" t="n">
        <f aca="false">E124+$H$24-C124</f>
        <v>0.0214462054143472</v>
      </c>
    </row>
    <row r="125" customFormat="false" ht="15" hidden="false" customHeight="true" outlineLevel="0" collapsed="false">
      <c r="A125" s="23" t="n">
        <f aca="false">Daily_Returns_Raw_Data!A102</f>
        <v>42516</v>
      </c>
      <c r="B125" s="17" t="n">
        <f aca="false">SUMPRODUCT(Daily_Returns_Raw_Data!B102:X102,$AB$3:$AX$3)</f>
        <v>-0.00444172078456672</v>
      </c>
      <c r="C125" s="17" t="n">
        <f aca="false">-B125</f>
        <v>0.00444172078456672</v>
      </c>
      <c r="D125" s="17" t="n">
        <f aca="false">MAX(C125-$H$15,0)</f>
        <v>0</v>
      </c>
      <c r="E125" s="36" t="n">
        <v>0</v>
      </c>
      <c r="F125" s="17" t="n">
        <f aca="false">E125+$H$24-C125</f>
        <v>0.00930948822143328</v>
      </c>
    </row>
    <row r="126" customFormat="false" ht="15" hidden="false" customHeight="true" outlineLevel="0" collapsed="false">
      <c r="A126" s="23" t="n">
        <f aca="false">Daily_Returns_Raw_Data!A103</f>
        <v>42517</v>
      </c>
      <c r="B126" s="17" t="n">
        <f aca="false">SUMPRODUCT(Daily_Returns_Raw_Data!B103:X103,$AB$3:$AX$3)</f>
        <v>0.00472581812920646</v>
      </c>
      <c r="C126" s="17" t="n">
        <f aca="false">-B126</f>
        <v>-0.00472581812920646</v>
      </c>
      <c r="D126" s="17" t="n">
        <f aca="false">MAX(C126-$H$15,0)</f>
        <v>0</v>
      </c>
      <c r="E126" s="36" t="n">
        <v>0</v>
      </c>
      <c r="F126" s="17" t="n">
        <f aca="false">E126+$H$24-C126</f>
        <v>0.0184770271352065</v>
      </c>
    </row>
    <row r="127" customFormat="false" ht="15" hidden="false" customHeight="true" outlineLevel="0" collapsed="false">
      <c r="A127" s="23" t="n">
        <f aca="false">Daily_Returns_Raw_Data!A104</f>
        <v>42521</v>
      </c>
      <c r="B127" s="17" t="n">
        <f aca="false">SUMPRODUCT(Daily_Returns_Raw_Data!B104:X104,$AB$3:$AX$3)</f>
        <v>0.0221921438605253</v>
      </c>
      <c r="C127" s="17" t="n">
        <f aca="false">-B127</f>
        <v>-0.0221921438605253</v>
      </c>
      <c r="D127" s="17" t="n">
        <f aca="false">MAX(C127-$H$15,0)</f>
        <v>0</v>
      </c>
      <c r="E127" s="36" t="n">
        <v>0</v>
      </c>
      <c r="F127" s="17" t="n">
        <f aca="false">E127+$H$24-C127</f>
        <v>0.0359433528665253</v>
      </c>
    </row>
    <row r="128" customFormat="false" ht="15" hidden="false" customHeight="true" outlineLevel="0" collapsed="false">
      <c r="A128" s="23" t="n">
        <f aca="false">Daily_Returns_Raw_Data!A105</f>
        <v>42522</v>
      </c>
      <c r="B128" s="17" t="n">
        <f aca="false">SUMPRODUCT(Daily_Returns_Raw_Data!B105:X105,$AB$3:$AX$3)</f>
        <v>-0.00426530190643429</v>
      </c>
      <c r="C128" s="17" t="n">
        <f aca="false">-B128</f>
        <v>0.00426530190643429</v>
      </c>
      <c r="D128" s="17" t="n">
        <f aca="false">MAX(C128-$H$15,0)</f>
        <v>0</v>
      </c>
      <c r="E128" s="36" t="n">
        <v>0</v>
      </c>
      <c r="F128" s="17" t="n">
        <f aca="false">E128+$H$24-C128</f>
        <v>0.00948590709956571</v>
      </c>
    </row>
    <row r="129" customFormat="false" ht="15" hidden="false" customHeight="true" outlineLevel="0" collapsed="false">
      <c r="A129" s="23" t="n">
        <f aca="false">Daily_Returns_Raw_Data!A106</f>
        <v>42523</v>
      </c>
      <c r="B129" s="17" t="n">
        <f aca="false">SUMPRODUCT(Daily_Returns_Raw_Data!B106:X106,$AB$3:$AX$3)</f>
        <v>0.000372519118597126</v>
      </c>
      <c r="C129" s="17" t="n">
        <f aca="false">-B129</f>
        <v>-0.000372519118597126</v>
      </c>
      <c r="D129" s="17" t="n">
        <f aca="false">MAX(C129-$H$15,0)</f>
        <v>0</v>
      </c>
      <c r="E129" s="36" t="n">
        <v>0</v>
      </c>
      <c r="F129" s="17" t="n">
        <f aca="false">E129+$H$24-C129</f>
        <v>0.0141237281245971</v>
      </c>
    </row>
    <row r="130" customFormat="false" ht="15" hidden="false" customHeight="true" outlineLevel="0" collapsed="false">
      <c r="A130" s="23" t="n">
        <f aca="false">Daily_Returns_Raw_Data!A107</f>
        <v>42524</v>
      </c>
      <c r="B130" s="17" t="n">
        <f aca="false">SUMPRODUCT(Daily_Returns_Raw_Data!B107:X107,$AB$3:$AX$3)</f>
        <v>0.0126759803105869</v>
      </c>
      <c r="C130" s="17" t="n">
        <f aca="false">-B130</f>
        <v>-0.0126759803105869</v>
      </c>
      <c r="D130" s="17" t="n">
        <f aca="false">MAX(C130-$H$15,0)</f>
        <v>0</v>
      </c>
      <c r="E130" s="36" t="n">
        <v>0</v>
      </c>
      <c r="F130" s="17" t="n">
        <f aca="false">E130+$H$24-C130</f>
        <v>0.0264271893165869</v>
      </c>
    </row>
    <row r="131" customFormat="false" ht="15" hidden="false" customHeight="true" outlineLevel="0" collapsed="false">
      <c r="A131" s="23" t="n">
        <f aca="false">Daily_Returns_Raw_Data!A108</f>
        <v>42527</v>
      </c>
      <c r="B131" s="17" t="n">
        <f aca="false">SUMPRODUCT(Daily_Returns_Raw_Data!B108:X108,$AB$3:$AX$3)</f>
        <v>0.00300787434034607</v>
      </c>
      <c r="C131" s="17" t="n">
        <f aca="false">-B131</f>
        <v>-0.00300787434034607</v>
      </c>
      <c r="D131" s="17" t="n">
        <f aca="false">MAX(C131-$H$15,0)</f>
        <v>0</v>
      </c>
      <c r="E131" s="36" t="n">
        <v>0</v>
      </c>
      <c r="F131" s="17" t="n">
        <f aca="false">E131+$H$24-C131</f>
        <v>0.0167590833463461</v>
      </c>
    </row>
    <row r="132" customFormat="false" ht="15" hidden="false" customHeight="true" outlineLevel="0" collapsed="false">
      <c r="A132" s="23" t="n">
        <f aca="false">Daily_Returns_Raw_Data!A109</f>
        <v>42528</v>
      </c>
      <c r="B132" s="17" t="n">
        <f aca="false">SUMPRODUCT(Daily_Returns_Raw_Data!B109:X109,$AB$3:$AX$3)</f>
        <v>0.0146212503508781</v>
      </c>
      <c r="C132" s="17" t="n">
        <f aca="false">-B132</f>
        <v>-0.0146212503508781</v>
      </c>
      <c r="D132" s="17" t="n">
        <f aca="false">MAX(C132-$H$15,0)</f>
        <v>0</v>
      </c>
      <c r="E132" s="36" t="n">
        <v>0</v>
      </c>
      <c r="F132" s="17" t="n">
        <f aca="false">E132+$H$24-C132</f>
        <v>0.0283724593568781</v>
      </c>
    </row>
    <row r="133" customFormat="false" ht="15" hidden="false" customHeight="true" outlineLevel="0" collapsed="false">
      <c r="A133" s="23" t="n">
        <f aca="false">Daily_Returns_Raw_Data!A110</f>
        <v>42529</v>
      </c>
      <c r="B133" s="17" t="n">
        <f aca="false">SUMPRODUCT(Daily_Returns_Raw_Data!B110:X110,$AB$3:$AX$3)</f>
        <v>-0.0117082020711914</v>
      </c>
      <c r="C133" s="17" t="n">
        <f aca="false">-B133</f>
        <v>0.0117082020711914</v>
      </c>
      <c r="D133" s="17" t="n">
        <f aca="false">MAX(C133-$H$15,0)</f>
        <v>0</v>
      </c>
      <c r="E133" s="36" t="n">
        <v>0</v>
      </c>
      <c r="F133" s="17" t="n">
        <f aca="false">E133+$H$24-C133</f>
        <v>0.00204300693480863</v>
      </c>
    </row>
    <row r="134" customFormat="false" ht="15" hidden="false" customHeight="true" outlineLevel="0" collapsed="false">
      <c r="A134" s="23" t="n">
        <f aca="false">Daily_Returns_Raw_Data!A111</f>
        <v>42530</v>
      </c>
      <c r="B134" s="17" t="n">
        <f aca="false">SUMPRODUCT(Daily_Returns_Raw_Data!B111:X111,$AB$3:$AX$3)</f>
        <v>-0.0185934599126831</v>
      </c>
      <c r="C134" s="17" t="n">
        <f aca="false">-B134</f>
        <v>0.0185934599126831</v>
      </c>
      <c r="D134" s="17" t="n">
        <f aca="false">MAX(C134-$H$15,0)</f>
        <v>0.00484225090643286</v>
      </c>
      <c r="E134" s="36" t="n">
        <v>0.004842250906</v>
      </c>
      <c r="F134" s="17" t="n">
        <f aca="false">E134+$H$24-C134</f>
        <v>-6.8305083811282E-013</v>
      </c>
    </row>
    <row r="135" customFormat="false" ht="15" hidden="false" customHeight="true" outlineLevel="0" collapsed="false">
      <c r="A135" s="23" t="n">
        <f aca="false">Daily_Returns_Raw_Data!A112</f>
        <v>42531</v>
      </c>
      <c r="B135" s="17" t="n">
        <f aca="false">SUMPRODUCT(Daily_Returns_Raw_Data!B112:X112,$AB$3:$AX$3)</f>
        <v>-0.0166896542353192</v>
      </c>
      <c r="C135" s="17" t="n">
        <f aca="false">-B135</f>
        <v>0.0166896542353192</v>
      </c>
      <c r="D135" s="17" t="n">
        <f aca="false">MAX(C135-$H$15,0)</f>
        <v>0.00293844522906903</v>
      </c>
      <c r="E135" s="36" t="n">
        <v>0.002938445229</v>
      </c>
      <c r="F135" s="17" t="n">
        <f aca="false">E135+$H$24-C135</f>
        <v>-3.19216875155348E-013</v>
      </c>
    </row>
    <row r="136" customFormat="false" ht="15" hidden="false" customHeight="true" outlineLevel="0" collapsed="false">
      <c r="A136" s="23" t="n">
        <f aca="false">Daily_Returns_Raw_Data!A113</f>
        <v>42534</v>
      </c>
      <c r="B136" s="17" t="n">
        <f aca="false">SUMPRODUCT(Daily_Returns_Raw_Data!B113:X113,$AB$3:$AX$3)</f>
        <v>0.0086059501049709</v>
      </c>
      <c r="C136" s="17" t="n">
        <f aca="false">-B136</f>
        <v>-0.0086059501049709</v>
      </c>
      <c r="D136" s="17" t="n">
        <f aca="false">MAX(C136-$H$15,0)</f>
        <v>0</v>
      </c>
      <c r="E136" s="36" t="n">
        <v>0</v>
      </c>
      <c r="F136" s="17" t="n">
        <f aca="false">E136+$H$24-C136</f>
        <v>0.0223571591109709</v>
      </c>
    </row>
    <row r="137" customFormat="false" ht="15" hidden="false" customHeight="true" outlineLevel="0" collapsed="false">
      <c r="A137" s="23" t="n">
        <f aca="false">Daily_Returns_Raw_Data!A114</f>
        <v>42535</v>
      </c>
      <c r="B137" s="17" t="n">
        <f aca="false">SUMPRODUCT(Daily_Returns_Raw_Data!B114:X114,$AB$3:$AX$3)</f>
        <v>-0.00176830870412917</v>
      </c>
      <c r="C137" s="17" t="n">
        <f aca="false">-B137</f>
        <v>0.00176830870412917</v>
      </c>
      <c r="D137" s="17" t="n">
        <f aca="false">MAX(C137-$H$15,0)</f>
        <v>0</v>
      </c>
      <c r="E137" s="36" t="n">
        <v>0</v>
      </c>
      <c r="F137" s="17" t="n">
        <f aca="false">E137+$H$24-C137</f>
        <v>0.0119829003018708</v>
      </c>
    </row>
    <row r="138" customFormat="false" ht="15" hidden="false" customHeight="true" outlineLevel="0" collapsed="false">
      <c r="A138" s="23" t="n">
        <f aca="false">Daily_Returns_Raw_Data!A115</f>
        <v>42536</v>
      </c>
      <c r="B138" s="17" t="n">
        <f aca="false">SUMPRODUCT(Daily_Returns_Raw_Data!B115:X115,$AB$3:$AX$3)</f>
        <v>0.00446877569775991</v>
      </c>
      <c r="C138" s="17" t="n">
        <f aca="false">-B138</f>
        <v>-0.00446877569775991</v>
      </c>
      <c r="D138" s="17" t="n">
        <f aca="false">MAX(C138-$H$15,0)</f>
        <v>0</v>
      </c>
      <c r="E138" s="36" t="n">
        <v>0</v>
      </c>
      <c r="F138" s="17" t="n">
        <f aca="false">E138+$H$24-C138</f>
        <v>0.0182199847037599</v>
      </c>
    </row>
    <row r="139" customFormat="false" ht="15" hidden="false" customHeight="true" outlineLevel="0" collapsed="false">
      <c r="A139" s="23" t="n">
        <f aca="false">Daily_Returns_Raw_Data!A116</f>
        <v>42537</v>
      </c>
      <c r="B139" s="17" t="n">
        <f aca="false">SUMPRODUCT(Daily_Returns_Raw_Data!B116:X116,$AB$3:$AX$3)</f>
        <v>-0.00307507982777755</v>
      </c>
      <c r="C139" s="17" t="n">
        <f aca="false">-B139</f>
        <v>0.00307507982777755</v>
      </c>
      <c r="D139" s="17" t="n">
        <f aca="false">MAX(C139-$H$15,0)</f>
        <v>0</v>
      </c>
      <c r="E139" s="36" t="n">
        <v>0</v>
      </c>
      <c r="F139" s="17" t="n">
        <f aca="false">E139+$H$24-C139</f>
        <v>0.0106761291782224</v>
      </c>
    </row>
    <row r="140" customFormat="false" ht="15" hidden="false" customHeight="true" outlineLevel="0" collapsed="false">
      <c r="A140" s="23" t="n">
        <f aca="false">Daily_Returns_Raw_Data!A117</f>
        <v>42538</v>
      </c>
      <c r="B140" s="17" t="n">
        <f aca="false">SUMPRODUCT(Daily_Returns_Raw_Data!B117:X117,$AB$3:$AX$3)</f>
        <v>0.0020902191548495</v>
      </c>
      <c r="C140" s="17" t="n">
        <f aca="false">-B140</f>
        <v>-0.0020902191548495</v>
      </c>
      <c r="D140" s="17" t="n">
        <f aca="false">MAX(C140-$H$15,0)</f>
        <v>0</v>
      </c>
      <c r="E140" s="36" t="n">
        <v>0</v>
      </c>
      <c r="F140" s="17" t="n">
        <f aca="false">E140+$H$24-C140</f>
        <v>0.0158414281608495</v>
      </c>
    </row>
    <row r="141" customFormat="false" ht="15" hidden="false" customHeight="true" outlineLevel="0" collapsed="false">
      <c r="A141" s="23" t="n">
        <f aca="false">Daily_Returns_Raw_Data!A118</f>
        <v>42541</v>
      </c>
      <c r="B141" s="17" t="n">
        <f aca="false">SUMPRODUCT(Daily_Returns_Raw_Data!B118:X118,$AB$3:$AX$3)</f>
        <v>0.00933323709248671</v>
      </c>
      <c r="C141" s="17" t="n">
        <f aca="false">-B141</f>
        <v>-0.00933323709248671</v>
      </c>
      <c r="D141" s="17" t="n">
        <f aca="false">MAX(C141-$H$15,0)</f>
        <v>0</v>
      </c>
      <c r="E141" s="36" t="n">
        <v>0</v>
      </c>
      <c r="F141" s="17" t="n">
        <f aca="false">E141+$H$24-C141</f>
        <v>0.0230844460984867</v>
      </c>
    </row>
    <row r="142" customFormat="false" ht="15" hidden="false" customHeight="true" outlineLevel="0" collapsed="false">
      <c r="A142" s="23" t="n">
        <f aca="false">Daily_Returns_Raw_Data!A119</f>
        <v>42542</v>
      </c>
      <c r="B142" s="17" t="n">
        <f aca="false">SUMPRODUCT(Daily_Returns_Raw_Data!B119:X119,$AB$3:$AX$3)</f>
        <v>-0.00078745043383935</v>
      </c>
      <c r="C142" s="17" t="n">
        <f aca="false">-B142</f>
        <v>0.00078745043383935</v>
      </c>
      <c r="D142" s="17" t="n">
        <f aca="false">MAX(C142-$H$15,0)</f>
        <v>0</v>
      </c>
      <c r="E142" s="36" t="n">
        <v>0</v>
      </c>
      <c r="F142" s="17" t="n">
        <f aca="false">E142+$H$24-C142</f>
        <v>0.0129637585721607</v>
      </c>
    </row>
    <row r="143" customFormat="false" ht="15" hidden="false" customHeight="true" outlineLevel="0" collapsed="false">
      <c r="A143" s="23" t="n">
        <f aca="false">Daily_Returns_Raw_Data!A120</f>
        <v>42543</v>
      </c>
      <c r="B143" s="17" t="n">
        <f aca="false">SUMPRODUCT(Daily_Returns_Raw_Data!B120:X120,$AB$3:$AX$3)</f>
        <v>0.0110129221997944</v>
      </c>
      <c r="C143" s="17" t="n">
        <f aca="false">-B143</f>
        <v>-0.0110129221997944</v>
      </c>
      <c r="D143" s="17" t="n">
        <f aca="false">MAX(C143-$H$15,0)</f>
        <v>0</v>
      </c>
      <c r="E143" s="36" t="n">
        <v>0</v>
      </c>
      <c r="F143" s="17" t="n">
        <f aca="false">E143+$H$24-C143</f>
        <v>0.0247641312057944</v>
      </c>
    </row>
    <row r="144" customFormat="false" ht="15" hidden="false" customHeight="true" outlineLevel="0" collapsed="false">
      <c r="A144" s="23" t="n">
        <f aca="false">Daily_Returns_Raw_Data!A121</f>
        <v>42544</v>
      </c>
      <c r="B144" s="17" t="n">
        <f aca="false">SUMPRODUCT(Daily_Returns_Raw_Data!B121:X121,$AB$3:$AX$3)</f>
        <v>-0.0263744425388275</v>
      </c>
      <c r="C144" s="17" t="n">
        <f aca="false">-B144</f>
        <v>0.0263744425388275</v>
      </c>
      <c r="D144" s="17" t="n">
        <f aca="false">MAX(C144-$H$15,0)</f>
        <v>0.0126232335325773</v>
      </c>
      <c r="E144" s="36" t="n">
        <v>0.012623233533</v>
      </c>
      <c r="F144" s="17" t="n">
        <f aca="false">E144+$H$24-C144</f>
        <v>1.72525188579797E-013</v>
      </c>
    </row>
    <row r="145" customFormat="false" ht="15" hidden="false" customHeight="true" outlineLevel="0" collapsed="false">
      <c r="A145" s="23" t="n">
        <f aca="false">Daily_Returns_Raw_Data!A122</f>
        <v>42545</v>
      </c>
      <c r="B145" s="17" t="n">
        <f aca="false">SUMPRODUCT(Daily_Returns_Raw_Data!B122:X122,$AB$3:$AX$3)</f>
        <v>-0.0203271771289854</v>
      </c>
      <c r="C145" s="17" t="n">
        <f aca="false">-B145</f>
        <v>0.0203271771289854</v>
      </c>
      <c r="D145" s="17" t="n">
        <f aca="false">MAX(C145-$H$15,0)</f>
        <v>0.00657596812273519</v>
      </c>
      <c r="E145" s="36" t="n">
        <v>0.006575968123</v>
      </c>
      <c r="F145" s="17" t="n">
        <f aca="false">E145+$H$24-C145</f>
        <v>1.46202494555325E-014</v>
      </c>
    </row>
    <row r="146" customFormat="false" ht="15" hidden="false" customHeight="true" outlineLevel="0" collapsed="false">
      <c r="A146" s="23" t="n">
        <f aca="false">Daily_Returns_Raw_Data!A123</f>
        <v>42548</v>
      </c>
      <c r="B146" s="17" t="n">
        <f aca="false">SUMPRODUCT(Daily_Returns_Raw_Data!B123:X123,$AB$3:$AX$3)</f>
        <v>0.00986372521618964</v>
      </c>
      <c r="C146" s="17" t="n">
        <f aca="false">-B146</f>
        <v>-0.00986372521618964</v>
      </c>
      <c r="D146" s="17" t="n">
        <f aca="false">MAX(C146-$H$15,0)</f>
        <v>0</v>
      </c>
      <c r="E146" s="36" t="n">
        <v>0</v>
      </c>
      <c r="F146" s="17" t="n">
        <f aca="false">E146+$H$24-C146</f>
        <v>0.0236149342221896</v>
      </c>
    </row>
    <row r="147" customFormat="false" ht="15" hidden="false" customHeight="true" outlineLevel="0" collapsed="false">
      <c r="A147" s="23" t="n">
        <f aca="false">Daily_Returns_Raw_Data!A124</f>
        <v>42549</v>
      </c>
      <c r="B147" s="17" t="n">
        <f aca="false">SUMPRODUCT(Daily_Returns_Raw_Data!B124:X124,$AB$3:$AX$3)</f>
        <v>0.0141554660548431</v>
      </c>
      <c r="C147" s="17" t="n">
        <f aca="false">-B147</f>
        <v>-0.0141554660548431</v>
      </c>
      <c r="D147" s="17" t="n">
        <f aca="false">MAX(C147-$H$15,0)</f>
        <v>0</v>
      </c>
      <c r="E147" s="36" t="n">
        <v>0</v>
      </c>
      <c r="F147" s="17" t="n">
        <f aca="false">E147+$H$24-C147</f>
        <v>0.0279066750608431</v>
      </c>
    </row>
    <row r="148" customFormat="false" ht="15" hidden="false" customHeight="true" outlineLevel="0" collapsed="false">
      <c r="A148" s="23" t="n">
        <f aca="false">Daily_Returns_Raw_Data!A125</f>
        <v>42550</v>
      </c>
      <c r="B148" s="17" t="n">
        <f aca="false">SUMPRODUCT(Daily_Returns_Raw_Data!B125:X125,$AB$3:$AX$3)</f>
        <v>0.0167996749884126</v>
      </c>
      <c r="C148" s="17" t="n">
        <f aca="false">-B148</f>
        <v>-0.0167996749884126</v>
      </c>
      <c r="D148" s="17" t="n">
        <f aca="false">MAX(C148-$H$15,0)</f>
        <v>0</v>
      </c>
      <c r="E148" s="36" t="n">
        <v>0</v>
      </c>
      <c r="F148" s="17" t="n">
        <f aca="false">E148+$H$24-C148</f>
        <v>0.0305508839944126</v>
      </c>
    </row>
    <row r="149" customFormat="false" ht="15" hidden="false" customHeight="true" outlineLevel="0" collapsed="false">
      <c r="A149" s="23" t="n">
        <f aca="false">Daily_Returns_Raw_Data!A126</f>
        <v>42551</v>
      </c>
      <c r="B149" s="17" t="n">
        <f aca="false">SUMPRODUCT(Daily_Returns_Raw_Data!B126:X126,$AB$3:$AX$3)</f>
        <v>-0.0130719519511675</v>
      </c>
      <c r="C149" s="17" t="n">
        <f aca="false">-B149</f>
        <v>0.0130719519511675</v>
      </c>
      <c r="D149" s="17" t="n">
        <f aca="false">MAX(C149-$H$15,0)</f>
        <v>0</v>
      </c>
      <c r="E149" s="36" t="n">
        <v>0</v>
      </c>
      <c r="F149" s="17" t="n">
        <f aca="false">E149+$H$24-C149</f>
        <v>0.000679257054832537</v>
      </c>
    </row>
    <row r="150" customFormat="false" ht="15" hidden="false" customHeight="true" outlineLevel="0" collapsed="false">
      <c r="A150" s="23" t="n">
        <f aca="false">Daily_Returns_Raw_Data!A127</f>
        <v>42552</v>
      </c>
      <c r="B150" s="17" t="n">
        <f aca="false">SUMPRODUCT(Daily_Returns_Raw_Data!B127:X127,$AB$3:$AX$3)</f>
        <v>0.0109318221249838</v>
      </c>
      <c r="C150" s="17" t="n">
        <f aca="false">-B150</f>
        <v>-0.0109318221249838</v>
      </c>
      <c r="D150" s="17" t="n">
        <f aca="false">MAX(C150-$H$15,0)</f>
        <v>0</v>
      </c>
      <c r="E150" s="36" t="n">
        <v>0</v>
      </c>
      <c r="F150" s="17" t="n">
        <f aca="false">E150+$H$24-C150</f>
        <v>0.0246830311309838</v>
      </c>
    </row>
    <row r="151" customFormat="false" ht="15" hidden="false" customHeight="true" outlineLevel="0" collapsed="false">
      <c r="A151" s="23" t="n">
        <f aca="false">Daily_Returns_Raw_Data!A128</f>
        <v>42556</v>
      </c>
      <c r="B151" s="17" t="n">
        <f aca="false">SUMPRODUCT(Daily_Returns_Raw_Data!B128:X128,$AB$3:$AX$3)</f>
        <v>0.00398453558499587</v>
      </c>
      <c r="C151" s="17" t="n">
        <f aca="false">-B151</f>
        <v>-0.00398453558499587</v>
      </c>
      <c r="D151" s="17" t="n">
        <f aca="false">MAX(C151-$H$15,0)</f>
        <v>0</v>
      </c>
      <c r="E151" s="36" t="n">
        <v>0</v>
      </c>
      <c r="F151" s="17" t="n">
        <f aca="false">E151+$H$24-C151</f>
        <v>0.0177357445909959</v>
      </c>
    </row>
    <row r="152" customFormat="false" ht="15" hidden="false" customHeight="true" outlineLevel="0" collapsed="false">
      <c r="A152" s="23" t="n">
        <f aca="false">Daily_Returns_Raw_Data!A129</f>
        <v>42557</v>
      </c>
      <c r="B152" s="17" t="n">
        <f aca="false">SUMPRODUCT(Daily_Returns_Raw_Data!B129:X129,$AB$3:$AX$3)</f>
        <v>-0.00281476401193598</v>
      </c>
      <c r="C152" s="17" t="n">
        <f aca="false">-B152</f>
        <v>0.00281476401193598</v>
      </c>
      <c r="D152" s="17" t="n">
        <f aca="false">MAX(C152-$H$15,0)</f>
        <v>0</v>
      </c>
      <c r="E152" s="36" t="n">
        <v>0</v>
      </c>
      <c r="F152" s="17" t="n">
        <f aca="false">E152+$H$24-C152</f>
        <v>0.010936444994064</v>
      </c>
    </row>
    <row r="153" customFormat="false" ht="15" hidden="false" customHeight="true" outlineLevel="0" collapsed="false">
      <c r="A153" s="23" t="n">
        <f aca="false">Daily_Returns_Raw_Data!A130</f>
        <v>42558</v>
      </c>
      <c r="B153" s="17" t="n">
        <f aca="false">SUMPRODUCT(Daily_Returns_Raw_Data!B130:X130,$AB$3:$AX$3)</f>
        <v>0.00377830741796896</v>
      </c>
      <c r="C153" s="17" t="n">
        <f aca="false">-B153</f>
        <v>-0.00377830741796896</v>
      </c>
      <c r="D153" s="17" t="n">
        <f aca="false">MAX(C153-$H$15,0)</f>
        <v>0</v>
      </c>
      <c r="E153" s="36" t="n">
        <v>0</v>
      </c>
      <c r="F153" s="17" t="n">
        <f aca="false">E153+$H$24-C153</f>
        <v>0.017529516423969</v>
      </c>
    </row>
    <row r="154" customFormat="false" ht="15" hidden="false" customHeight="true" outlineLevel="0" collapsed="false">
      <c r="A154" s="23" t="n">
        <f aca="false">Daily_Returns_Raw_Data!A131</f>
        <v>42559</v>
      </c>
      <c r="B154" s="17" t="n">
        <f aca="false">SUMPRODUCT(Daily_Returns_Raw_Data!B131:X131,$AB$3:$AX$3)</f>
        <v>-0.00145715639421174</v>
      </c>
      <c r="C154" s="17" t="n">
        <f aca="false">-B154</f>
        <v>0.00145715639421174</v>
      </c>
      <c r="D154" s="17" t="n">
        <f aca="false">MAX(C154-$H$15,0)</f>
        <v>0</v>
      </c>
      <c r="E154" s="36" t="n">
        <v>0</v>
      </c>
      <c r="F154" s="17" t="n">
        <f aca="false">E154+$H$24-C154</f>
        <v>0.0122940526117883</v>
      </c>
    </row>
    <row r="155" customFormat="false" ht="15" hidden="false" customHeight="true" outlineLevel="0" collapsed="false">
      <c r="A155" s="23" t="n">
        <f aca="false">Daily_Returns_Raw_Data!A132</f>
        <v>42562</v>
      </c>
      <c r="B155" s="17" t="n">
        <f aca="false">SUMPRODUCT(Daily_Returns_Raw_Data!B132:X132,$AB$3:$AX$3)</f>
        <v>0.00828798992548066</v>
      </c>
      <c r="C155" s="17" t="n">
        <f aca="false">-B155</f>
        <v>-0.00828798992548066</v>
      </c>
      <c r="D155" s="17" t="n">
        <f aca="false">MAX(C155-$H$15,0)</f>
        <v>0</v>
      </c>
      <c r="E155" s="36" t="n">
        <v>0</v>
      </c>
      <c r="F155" s="17" t="n">
        <f aca="false">E155+$H$24-C155</f>
        <v>0.0220391989314807</v>
      </c>
    </row>
    <row r="156" customFormat="false" ht="15" hidden="false" customHeight="true" outlineLevel="0" collapsed="false">
      <c r="A156" s="23" t="n">
        <f aca="false">Daily_Returns_Raw_Data!A133</f>
        <v>42563</v>
      </c>
      <c r="B156" s="17" t="n">
        <f aca="false">SUMPRODUCT(Daily_Returns_Raw_Data!B133:X133,$AB$3:$AX$3)</f>
        <v>0.00084432205818964</v>
      </c>
      <c r="C156" s="17" t="n">
        <f aca="false">-B156</f>
        <v>-0.00084432205818964</v>
      </c>
      <c r="D156" s="17" t="n">
        <f aca="false">MAX(C156-$H$15,0)</f>
        <v>0</v>
      </c>
      <c r="E156" s="36" t="n">
        <v>0</v>
      </c>
      <c r="F156" s="17" t="n">
        <f aca="false">E156+$H$24-C156</f>
        <v>0.0145955310641896</v>
      </c>
    </row>
    <row r="157" customFormat="false" ht="15" hidden="false" customHeight="true" outlineLevel="0" collapsed="false">
      <c r="A157" s="23" t="n">
        <f aca="false">Daily_Returns_Raw_Data!A134</f>
        <v>42564</v>
      </c>
      <c r="B157" s="17" t="n">
        <f aca="false">SUMPRODUCT(Daily_Returns_Raw_Data!B134:X134,$AB$3:$AX$3)</f>
        <v>0.00588842910459285</v>
      </c>
      <c r="C157" s="17" t="n">
        <f aca="false">-B157</f>
        <v>-0.00588842910459285</v>
      </c>
      <c r="D157" s="17" t="n">
        <f aca="false">MAX(C157-$H$15,0)</f>
        <v>0</v>
      </c>
      <c r="E157" s="36" t="n">
        <v>0</v>
      </c>
      <c r="F157" s="17" t="n">
        <f aca="false">E157+$H$24-C157</f>
        <v>0.0196396381105929</v>
      </c>
    </row>
    <row r="158" customFormat="false" ht="15" hidden="false" customHeight="true" outlineLevel="0" collapsed="false">
      <c r="A158" s="23" t="n">
        <f aca="false">Daily_Returns_Raw_Data!A135</f>
        <v>42565</v>
      </c>
      <c r="B158" s="17" t="n">
        <f aca="false">SUMPRODUCT(Daily_Returns_Raw_Data!B135:X135,$AB$3:$AX$3)</f>
        <v>-0.00328086856355259</v>
      </c>
      <c r="C158" s="17" t="n">
        <f aca="false">-B158</f>
        <v>0.00328086856355259</v>
      </c>
      <c r="D158" s="17" t="n">
        <f aca="false">MAX(C158-$H$15,0)</f>
        <v>0</v>
      </c>
      <c r="E158" s="36" t="n">
        <v>0</v>
      </c>
      <c r="F158" s="17" t="n">
        <f aca="false">E158+$H$24-C158</f>
        <v>0.0104703404424474</v>
      </c>
    </row>
    <row r="159" customFormat="false" ht="15" hidden="false" customHeight="true" outlineLevel="0" collapsed="false">
      <c r="A159" s="23" t="n">
        <f aca="false">Daily_Returns_Raw_Data!A136</f>
        <v>42566</v>
      </c>
      <c r="B159" s="17" t="n">
        <f aca="false">SUMPRODUCT(Daily_Returns_Raw_Data!B136:X136,$AB$3:$AX$3)</f>
        <v>-0.00935248624068404</v>
      </c>
      <c r="C159" s="17" t="n">
        <f aca="false">-B159</f>
        <v>0.00935248624068404</v>
      </c>
      <c r="D159" s="17" t="n">
        <f aca="false">MAX(C159-$H$15,0)</f>
        <v>0</v>
      </c>
      <c r="E159" s="36" t="n">
        <v>0</v>
      </c>
      <c r="F159" s="17" t="n">
        <f aca="false">E159+$H$24-C159</f>
        <v>0.00439872276531596</v>
      </c>
    </row>
    <row r="160" customFormat="false" ht="15" hidden="false" customHeight="true" outlineLevel="0" collapsed="false">
      <c r="A160" s="23" t="n">
        <f aca="false">Daily_Returns_Raw_Data!A137</f>
        <v>42569</v>
      </c>
      <c r="B160" s="17" t="n">
        <f aca="false">SUMPRODUCT(Daily_Returns_Raw_Data!B137:X137,$AB$3:$AX$3)</f>
        <v>-0.00391460242255778</v>
      </c>
      <c r="C160" s="17" t="n">
        <f aca="false">-B160</f>
        <v>0.00391460242255778</v>
      </c>
      <c r="D160" s="17" t="n">
        <f aca="false">MAX(C160-$H$15,0)</f>
        <v>0</v>
      </c>
      <c r="E160" s="36" t="n">
        <v>0</v>
      </c>
      <c r="F160" s="17" t="n">
        <f aca="false">E160+$H$24-C160</f>
        <v>0.00983660658344222</v>
      </c>
    </row>
    <row r="161" customFormat="false" ht="15" hidden="false" customHeight="true" outlineLevel="0" collapsed="false">
      <c r="A161" s="23" t="n">
        <f aca="false">Daily_Returns_Raw_Data!A138</f>
        <v>42570</v>
      </c>
      <c r="B161" s="17" t="n">
        <f aca="false">SUMPRODUCT(Daily_Returns_Raw_Data!B138:X138,$AB$3:$AX$3)</f>
        <v>0.0273365526857557</v>
      </c>
      <c r="C161" s="17" t="n">
        <f aca="false">-B161</f>
        <v>-0.0273365526857557</v>
      </c>
      <c r="D161" s="17" t="n">
        <f aca="false">MAX(C161-$H$15,0)</f>
        <v>0</v>
      </c>
      <c r="E161" s="36" t="n">
        <v>0</v>
      </c>
      <c r="F161" s="17" t="n">
        <f aca="false">E161+$H$24-C161</f>
        <v>0.0410877616917557</v>
      </c>
    </row>
    <row r="162" customFormat="false" ht="15" hidden="false" customHeight="true" outlineLevel="0" collapsed="false">
      <c r="A162" s="23" t="n">
        <f aca="false">Daily_Returns_Raw_Data!A139</f>
        <v>42571</v>
      </c>
      <c r="B162" s="17" t="n">
        <f aca="false">SUMPRODUCT(Daily_Returns_Raw_Data!B139:X139,$AB$3:$AX$3)</f>
        <v>0.00118890644565491</v>
      </c>
      <c r="C162" s="17" t="n">
        <f aca="false">-B162</f>
        <v>-0.00118890644565491</v>
      </c>
      <c r="D162" s="17" t="n">
        <f aca="false">MAX(C162-$H$15,0)</f>
        <v>0</v>
      </c>
      <c r="E162" s="36" t="n">
        <v>0</v>
      </c>
      <c r="F162" s="17" t="n">
        <f aca="false">E162+$H$24-C162</f>
        <v>0.0149401154516549</v>
      </c>
    </row>
    <row r="163" customFormat="false" ht="15" hidden="false" customHeight="true" outlineLevel="0" collapsed="false">
      <c r="A163" s="23" t="n">
        <f aca="false">Daily_Returns_Raw_Data!A140</f>
        <v>42572</v>
      </c>
      <c r="B163" s="17" t="n">
        <f aca="false">SUMPRODUCT(Daily_Returns_Raw_Data!B140:X140,$AB$3:$AX$3)</f>
        <v>0.00891774797572994</v>
      </c>
      <c r="C163" s="17" t="n">
        <f aca="false">-B163</f>
        <v>-0.00891774797572994</v>
      </c>
      <c r="D163" s="17" t="n">
        <f aca="false">MAX(C163-$H$15,0)</f>
        <v>0</v>
      </c>
      <c r="E163" s="36" t="n">
        <v>0</v>
      </c>
      <c r="F163" s="17" t="n">
        <f aca="false">E163+$H$24-C163</f>
        <v>0.0226689569817299</v>
      </c>
    </row>
    <row r="164" customFormat="false" ht="15" hidden="false" customHeight="true" outlineLevel="0" collapsed="false">
      <c r="A164" s="23" t="n">
        <f aca="false">Daily_Returns_Raw_Data!A141</f>
        <v>42573</v>
      </c>
      <c r="B164" s="17" t="n">
        <f aca="false">SUMPRODUCT(Daily_Returns_Raw_Data!B141:X141,$AB$3:$AX$3)</f>
        <v>-0.00843482128285785</v>
      </c>
      <c r="C164" s="17" t="n">
        <f aca="false">-B164</f>
        <v>0.00843482128285785</v>
      </c>
      <c r="D164" s="17" t="n">
        <f aca="false">MAX(C164-$H$15,0)</f>
        <v>0</v>
      </c>
      <c r="E164" s="36" t="n">
        <v>0</v>
      </c>
      <c r="F164" s="17" t="n">
        <f aca="false">E164+$H$24-C164</f>
        <v>0.00531638772314215</v>
      </c>
    </row>
    <row r="165" customFormat="false" ht="15" hidden="false" customHeight="true" outlineLevel="0" collapsed="false">
      <c r="A165" s="23" t="n">
        <f aca="false">Daily_Returns_Raw_Data!A142</f>
        <v>42576</v>
      </c>
      <c r="B165" s="17" t="n">
        <f aca="false">SUMPRODUCT(Daily_Returns_Raw_Data!B142:X142,$AB$3:$AX$3)</f>
        <v>0.00289389786999813</v>
      </c>
      <c r="C165" s="17" t="n">
        <f aca="false">-B165</f>
        <v>-0.00289389786999813</v>
      </c>
      <c r="D165" s="17" t="n">
        <f aca="false">MAX(C165-$H$15,0)</f>
        <v>0</v>
      </c>
      <c r="E165" s="36" t="n">
        <v>0</v>
      </c>
      <c r="F165" s="17" t="n">
        <f aca="false">E165+$H$24-C165</f>
        <v>0.0166451068759981</v>
      </c>
    </row>
    <row r="166" customFormat="false" ht="15" hidden="false" customHeight="true" outlineLevel="0" collapsed="false">
      <c r="A166" s="23" t="n">
        <f aca="false">Daily_Returns_Raw_Data!A143</f>
        <v>42577</v>
      </c>
      <c r="B166" s="17" t="n">
        <f aca="false">SUMPRODUCT(Daily_Returns_Raw_Data!B143:X143,$AB$3:$AX$3)</f>
        <v>-0.0108541362359712</v>
      </c>
      <c r="C166" s="17" t="n">
        <f aca="false">-B166</f>
        <v>0.0108541362359712</v>
      </c>
      <c r="D166" s="17" t="n">
        <f aca="false">MAX(C166-$H$15,0)</f>
        <v>0</v>
      </c>
      <c r="E166" s="36" t="n">
        <v>0</v>
      </c>
      <c r="F166" s="17" t="n">
        <f aca="false">E166+$H$24-C166</f>
        <v>0.00289707277002884</v>
      </c>
    </row>
    <row r="167" customFormat="false" ht="15" hidden="false" customHeight="true" outlineLevel="0" collapsed="false">
      <c r="A167" s="23" t="n">
        <f aca="false">Daily_Returns_Raw_Data!A144</f>
        <v>42578</v>
      </c>
      <c r="B167" s="17" t="n">
        <f aca="false">SUMPRODUCT(Daily_Returns_Raw_Data!B144:X144,$AB$3:$AX$3)</f>
        <v>0.0117114859807619</v>
      </c>
      <c r="C167" s="17" t="n">
        <f aca="false">-B167</f>
        <v>-0.0117114859807619</v>
      </c>
      <c r="D167" s="17" t="n">
        <f aca="false">MAX(C167-$H$15,0)</f>
        <v>0</v>
      </c>
      <c r="E167" s="36" t="n">
        <v>0</v>
      </c>
      <c r="F167" s="17" t="n">
        <f aca="false">E167+$H$24-C167</f>
        <v>0.0254626949867619</v>
      </c>
    </row>
    <row r="168" customFormat="false" ht="15" hidden="false" customHeight="true" outlineLevel="0" collapsed="false">
      <c r="A168" s="23" t="n">
        <f aca="false">Daily_Returns_Raw_Data!A145</f>
        <v>42579</v>
      </c>
      <c r="B168" s="17" t="n">
        <f aca="false">SUMPRODUCT(Daily_Returns_Raw_Data!B145:X145,$AB$3:$AX$3)</f>
        <v>0.00535038862326898</v>
      </c>
      <c r="C168" s="17" t="n">
        <f aca="false">-B168</f>
        <v>-0.00535038862326898</v>
      </c>
      <c r="D168" s="17" t="n">
        <f aca="false">MAX(C168-$H$15,0)</f>
        <v>0</v>
      </c>
      <c r="E168" s="36" t="n">
        <v>0</v>
      </c>
      <c r="F168" s="17" t="n">
        <f aca="false">E168+$H$24-C168</f>
        <v>0.019101597629269</v>
      </c>
    </row>
    <row r="169" customFormat="false" ht="15" hidden="false" customHeight="true" outlineLevel="0" collapsed="false">
      <c r="A169" s="23" t="n">
        <f aca="false">Daily_Returns_Raw_Data!A146</f>
        <v>42580</v>
      </c>
      <c r="B169" s="17" t="n">
        <f aca="false">SUMPRODUCT(Daily_Returns_Raw_Data!B146:X146,$AB$3:$AX$3)</f>
        <v>-0.0031039180724816</v>
      </c>
      <c r="C169" s="17" t="n">
        <f aca="false">-B169</f>
        <v>0.0031039180724816</v>
      </c>
      <c r="D169" s="17" t="n">
        <f aca="false">MAX(C169-$H$15,0)</f>
        <v>0</v>
      </c>
      <c r="E169" s="36" t="n">
        <v>0</v>
      </c>
      <c r="F169" s="17" t="n">
        <f aca="false">E169+$H$24-C169</f>
        <v>0.0106472909335184</v>
      </c>
    </row>
    <row r="170" customFormat="false" ht="15" hidden="false" customHeight="true" outlineLevel="0" collapsed="false">
      <c r="A170" s="23" t="n">
        <f aca="false">Daily_Returns_Raw_Data!A147</f>
        <v>42583</v>
      </c>
      <c r="B170" s="17" t="n">
        <f aca="false">SUMPRODUCT(Daily_Returns_Raw_Data!B147:X147,$AB$3:$AX$3)</f>
        <v>-0.00945095105586073</v>
      </c>
      <c r="C170" s="17" t="n">
        <f aca="false">-B170</f>
        <v>0.00945095105586073</v>
      </c>
      <c r="D170" s="17" t="n">
        <f aca="false">MAX(C170-$H$15,0)</f>
        <v>0</v>
      </c>
      <c r="E170" s="36" t="n">
        <v>0</v>
      </c>
      <c r="F170" s="17" t="n">
        <f aca="false">E170+$H$24-C170</f>
        <v>0.00430025795013928</v>
      </c>
    </row>
    <row r="171" customFormat="false" ht="15" hidden="false" customHeight="true" outlineLevel="0" collapsed="false">
      <c r="A171" s="23" t="n">
        <f aca="false">Daily_Returns_Raw_Data!A148</f>
        <v>42584</v>
      </c>
      <c r="B171" s="17" t="n">
        <f aca="false">SUMPRODUCT(Daily_Returns_Raw_Data!B148:X148,$AB$3:$AX$3)</f>
        <v>0.0131814210031144</v>
      </c>
      <c r="C171" s="17" t="n">
        <f aca="false">-B171</f>
        <v>-0.0131814210031144</v>
      </c>
      <c r="D171" s="17" t="n">
        <f aca="false">MAX(C171-$H$15,0)</f>
        <v>0</v>
      </c>
      <c r="E171" s="36" t="n">
        <v>0</v>
      </c>
      <c r="F171" s="17" t="n">
        <f aca="false">E171+$H$24-C171</f>
        <v>0.0269326300091144</v>
      </c>
    </row>
    <row r="172" customFormat="false" ht="15" hidden="false" customHeight="true" outlineLevel="0" collapsed="false">
      <c r="A172" s="23" t="n">
        <f aca="false">Daily_Returns_Raw_Data!A149</f>
        <v>42585</v>
      </c>
      <c r="B172" s="17" t="n">
        <f aca="false">SUMPRODUCT(Daily_Returns_Raw_Data!B149:X149,$AB$3:$AX$3)</f>
        <v>0.041341660114035</v>
      </c>
      <c r="C172" s="17" t="n">
        <f aca="false">-B172</f>
        <v>-0.041341660114035</v>
      </c>
      <c r="D172" s="17" t="n">
        <f aca="false">MAX(C172-$H$15,0)</f>
        <v>0</v>
      </c>
      <c r="E172" s="36" t="n">
        <v>0</v>
      </c>
      <c r="F172" s="17" t="n">
        <f aca="false">E172+$H$24-C172</f>
        <v>0.055092869120035</v>
      </c>
    </row>
    <row r="173" customFormat="false" ht="15" hidden="false" customHeight="true" outlineLevel="0" collapsed="false">
      <c r="A173" s="23" t="n">
        <f aca="false">Daily_Returns_Raw_Data!A150</f>
        <v>42586</v>
      </c>
      <c r="B173" s="17" t="n">
        <f aca="false">SUMPRODUCT(Daily_Returns_Raw_Data!B150:X150,$AB$3:$AX$3)</f>
        <v>0.0307885019142899</v>
      </c>
      <c r="C173" s="17" t="n">
        <f aca="false">-B173</f>
        <v>-0.0307885019142899</v>
      </c>
      <c r="D173" s="17" t="n">
        <f aca="false">MAX(C173-$H$15,0)</f>
        <v>0</v>
      </c>
      <c r="E173" s="36" t="n">
        <v>0</v>
      </c>
      <c r="F173" s="17" t="n">
        <f aca="false">E173+$H$24-C173</f>
        <v>0.0445397109202899</v>
      </c>
    </row>
    <row r="174" customFormat="false" ht="15" hidden="false" customHeight="true" outlineLevel="0" collapsed="false">
      <c r="A174" s="23" t="n">
        <f aca="false">Daily_Returns_Raw_Data!A151</f>
        <v>42587</v>
      </c>
      <c r="B174" s="17" t="n">
        <f aca="false">SUMPRODUCT(Daily_Returns_Raw_Data!B151:X151,$AB$3:$AX$3)</f>
        <v>-0.0107213929355139</v>
      </c>
      <c r="C174" s="17" t="n">
        <f aca="false">-B174</f>
        <v>0.0107213929355139</v>
      </c>
      <c r="D174" s="17" t="n">
        <f aca="false">MAX(C174-$H$15,0)</f>
        <v>0</v>
      </c>
      <c r="E174" s="36" t="n">
        <v>0</v>
      </c>
      <c r="F174" s="17" t="n">
        <f aca="false">E174+$H$24-C174</f>
        <v>0.00302981607048611</v>
      </c>
    </row>
    <row r="175" customFormat="false" ht="15" hidden="false" customHeight="true" outlineLevel="0" collapsed="false">
      <c r="A175" s="23" t="n">
        <f aca="false">Daily_Returns_Raw_Data!A152</f>
        <v>42590</v>
      </c>
      <c r="B175" s="17" t="n">
        <f aca="false">SUMPRODUCT(Daily_Returns_Raw_Data!B152:X152,$AB$3:$AX$3)</f>
        <v>0.00950061367494209</v>
      </c>
      <c r="C175" s="17" t="n">
        <f aca="false">-B175</f>
        <v>-0.00950061367494209</v>
      </c>
      <c r="D175" s="17" t="n">
        <f aca="false">MAX(C175-$H$15,0)</f>
        <v>0</v>
      </c>
      <c r="E175" s="36" t="n">
        <v>0</v>
      </c>
      <c r="F175" s="17" t="n">
        <f aca="false">E175+$H$24-C175</f>
        <v>0.0232518226809421</v>
      </c>
    </row>
    <row r="176" customFormat="false" ht="15" hidden="false" customHeight="true" outlineLevel="0" collapsed="false">
      <c r="A176" s="23" t="n">
        <f aca="false">Daily_Returns_Raw_Data!A153</f>
        <v>42591</v>
      </c>
      <c r="B176" s="17" t="n">
        <f aca="false">SUMPRODUCT(Daily_Returns_Raw_Data!B153:X153,$AB$3:$AX$3)</f>
        <v>0.0113008066608143</v>
      </c>
      <c r="C176" s="17" t="n">
        <f aca="false">-B176</f>
        <v>-0.0113008066608143</v>
      </c>
      <c r="D176" s="17" t="n">
        <f aca="false">MAX(C176-$H$15,0)</f>
        <v>0</v>
      </c>
      <c r="E176" s="36" t="n">
        <v>0</v>
      </c>
      <c r="F176" s="17" t="n">
        <f aca="false">E176+$H$24-C176</f>
        <v>0.0250520156668143</v>
      </c>
    </row>
    <row r="177" customFormat="false" ht="15" hidden="false" customHeight="true" outlineLevel="0" collapsed="false">
      <c r="A177" s="23" t="n">
        <f aca="false">Daily_Returns_Raw_Data!A154</f>
        <v>42592</v>
      </c>
      <c r="B177" s="17" t="n">
        <f aca="false">SUMPRODUCT(Daily_Returns_Raw_Data!B154:X154,$AB$3:$AX$3)</f>
        <v>-0.000704760014858666</v>
      </c>
      <c r="C177" s="17" t="n">
        <f aca="false">-B177</f>
        <v>0.000704760014858666</v>
      </c>
      <c r="D177" s="17" t="n">
        <f aca="false">MAX(C177-$H$15,0)</f>
        <v>0</v>
      </c>
      <c r="E177" s="36" t="n">
        <v>0</v>
      </c>
      <c r="F177" s="17" t="n">
        <f aca="false">E177+$H$24-C177</f>
        <v>0.0130464489911413</v>
      </c>
    </row>
    <row r="178" customFormat="false" ht="15" hidden="false" customHeight="true" outlineLevel="0" collapsed="false">
      <c r="A178" s="23" t="n">
        <f aca="false">Daily_Returns_Raw_Data!A155</f>
        <v>42593</v>
      </c>
      <c r="B178" s="17" t="n">
        <f aca="false">SUMPRODUCT(Daily_Returns_Raw_Data!B155:X155,$AB$3:$AX$3)</f>
        <v>-0.0185933097224172</v>
      </c>
      <c r="C178" s="17" t="n">
        <f aca="false">-B178</f>
        <v>0.0185933097224172</v>
      </c>
      <c r="D178" s="17" t="n">
        <f aca="false">MAX(C178-$H$15,0)</f>
        <v>0.00484210071616706</v>
      </c>
      <c r="E178" s="36" t="n">
        <v>0.004842100716</v>
      </c>
      <c r="F178" s="17" t="n">
        <f aca="false">E178+$H$24-C178</f>
        <v>-4.17242629335846E-013</v>
      </c>
    </row>
    <row r="179" customFormat="false" ht="15" hidden="false" customHeight="true" outlineLevel="0" collapsed="false">
      <c r="A179" s="23" t="n">
        <f aca="false">Daily_Returns_Raw_Data!A156</f>
        <v>42594</v>
      </c>
      <c r="B179" s="17" t="n">
        <f aca="false">SUMPRODUCT(Daily_Returns_Raw_Data!B156:X156,$AB$3:$AX$3)</f>
        <v>0.0212767922466491</v>
      </c>
      <c r="C179" s="17" t="n">
        <f aca="false">-B179</f>
        <v>-0.0212767922466491</v>
      </c>
      <c r="D179" s="17" t="n">
        <f aca="false">MAX(C179-$H$15,0)</f>
        <v>0</v>
      </c>
      <c r="E179" s="36" t="n">
        <v>0</v>
      </c>
      <c r="F179" s="17" t="n">
        <f aca="false">E179+$H$24-C179</f>
        <v>0.0350280012526491</v>
      </c>
    </row>
    <row r="180" customFormat="false" ht="15" hidden="false" customHeight="true" outlineLevel="0" collapsed="false">
      <c r="A180" s="23" t="n">
        <f aca="false">Daily_Returns_Raw_Data!A157</f>
        <v>42597</v>
      </c>
      <c r="B180" s="17" t="n">
        <f aca="false">SUMPRODUCT(Daily_Returns_Raw_Data!B157:X157,$AB$3:$AX$3)</f>
        <v>0.000756530302815198</v>
      </c>
      <c r="C180" s="17" t="n">
        <f aca="false">-B180</f>
        <v>-0.000756530302815198</v>
      </c>
      <c r="D180" s="17" t="n">
        <f aca="false">MAX(C180-$H$15,0)</f>
        <v>0</v>
      </c>
      <c r="E180" s="36" t="n">
        <v>0</v>
      </c>
      <c r="F180" s="17" t="n">
        <f aca="false">E180+$H$24-C180</f>
        <v>0.0145077393088152</v>
      </c>
    </row>
    <row r="181" customFormat="false" ht="15" hidden="false" customHeight="true" outlineLevel="0" collapsed="false">
      <c r="A181" s="23" t="n">
        <f aca="false">Daily_Returns_Raw_Data!A158</f>
        <v>42598</v>
      </c>
      <c r="B181" s="17" t="n">
        <f aca="false">SUMPRODUCT(Daily_Returns_Raw_Data!B158:X158,$AB$3:$AX$3)</f>
        <v>-0.0102051079400297</v>
      </c>
      <c r="C181" s="17" t="n">
        <f aca="false">-B181</f>
        <v>0.0102051079400297</v>
      </c>
      <c r="D181" s="17" t="n">
        <f aca="false">MAX(C181-$H$15,0)</f>
        <v>0</v>
      </c>
      <c r="E181" s="36" t="n">
        <v>0</v>
      </c>
      <c r="F181" s="17" t="n">
        <f aca="false">E181+$H$24-C181</f>
        <v>0.00354610106597028</v>
      </c>
    </row>
    <row r="182" customFormat="false" ht="15" hidden="false" customHeight="true" outlineLevel="0" collapsed="false">
      <c r="A182" s="23" t="n">
        <f aca="false">Daily_Returns_Raw_Data!A159</f>
        <v>42599</v>
      </c>
      <c r="B182" s="17" t="n">
        <f aca="false">SUMPRODUCT(Daily_Returns_Raw_Data!B159:X159,$AB$3:$AX$3)</f>
        <v>0.00385683347834404</v>
      </c>
      <c r="C182" s="17" t="n">
        <f aca="false">-B182</f>
        <v>-0.00385683347834404</v>
      </c>
      <c r="D182" s="17" t="n">
        <f aca="false">MAX(C182-$H$15,0)</f>
        <v>0</v>
      </c>
      <c r="E182" s="36" t="n">
        <v>0</v>
      </c>
      <c r="F182" s="17" t="n">
        <f aca="false">E182+$H$24-C182</f>
        <v>0.017608042484344</v>
      </c>
    </row>
    <row r="183" customFormat="false" ht="15" hidden="false" customHeight="true" outlineLevel="0" collapsed="false">
      <c r="A183" s="23" t="n">
        <f aca="false">Daily_Returns_Raw_Data!A160</f>
        <v>42600</v>
      </c>
      <c r="B183" s="17" t="n">
        <f aca="false">SUMPRODUCT(Daily_Returns_Raw_Data!B160:X160,$AB$3:$AX$3)</f>
        <v>0.00532880626100395</v>
      </c>
      <c r="C183" s="17" t="n">
        <f aca="false">-B183</f>
        <v>-0.00532880626100395</v>
      </c>
      <c r="D183" s="17" t="n">
        <f aca="false">MAX(C183-$H$15,0)</f>
        <v>0</v>
      </c>
      <c r="E183" s="36" t="n">
        <v>0</v>
      </c>
      <c r="F183" s="17" t="n">
        <f aca="false">E183+$H$24-C183</f>
        <v>0.019080015267004</v>
      </c>
    </row>
    <row r="184" customFormat="false" ht="15" hidden="false" customHeight="true" outlineLevel="0" collapsed="false">
      <c r="A184" s="23" t="n">
        <f aca="false">Daily_Returns_Raw_Data!A161</f>
        <v>42601</v>
      </c>
      <c r="B184" s="17" t="n">
        <f aca="false">SUMPRODUCT(Daily_Returns_Raw_Data!B161:X161,$AB$3:$AX$3)</f>
        <v>-0.00551326933635216</v>
      </c>
      <c r="C184" s="17" t="n">
        <f aca="false">-B184</f>
        <v>0.00551326933635216</v>
      </c>
      <c r="D184" s="17" t="n">
        <f aca="false">MAX(C184-$H$15,0)</f>
        <v>0</v>
      </c>
      <c r="E184" s="36" t="n">
        <v>0</v>
      </c>
      <c r="F184" s="17" t="n">
        <f aca="false">E184+$H$24-C184</f>
        <v>0.00823793966964784</v>
      </c>
    </row>
    <row r="185" customFormat="false" ht="15" hidden="false" customHeight="true" outlineLevel="0" collapsed="false">
      <c r="A185" s="23" t="n">
        <f aca="false">Daily_Returns_Raw_Data!A162</f>
        <v>42604</v>
      </c>
      <c r="B185" s="17" t="n">
        <f aca="false">SUMPRODUCT(Daily_Returns_Raw_Data!B162:X162,$AB$3:$AX$3)</f>
        <v>0.0109177170760627</v>
      </c>
      <c r="C185" s="17" t="n">
        <f aca="false">-B185</f>
        <v>-0.0109177170760627</v>
      </c>
      <c r="D185" s="17" t="n">
        <f aca="false">MAX(C185-$H$15,0)</f>
        <v>0</v>
      </c>
      <c r="E185" s="36" t="n">
        <v>0</v>
      </c>
      <c r="F185" s="17" t="n">
        <f aca="false">E185+$H$24-C185</f>
        <v>0.0246689260820627</v>
      </c>
    </row>
    <row r="186" customFormat="false" ht="15" hidden="false" customHeight="true" outlineLevel="0" collapsed="false">
      <c r="A186" s="23" t="n">
        <f aca="false">Daily_Returns_Raw_Data!A163</f>
        <v>42605</v>
      </c>
      <c r="B186" s="17" t="n">
        <f aca="false">SUMPRODUCT(Daily_Returns_Raw_Data!B163:X163,$AB$3:$AX$3)</f>
        <v>0.00124307121404587</v>
      </c>
      <c r="C186" s="17" t="n">
        <f aca="false">-B186</f>
        <v>-0.00124307121404587</v>
      </c>
      <c r="D186" s="17" t="n">
        <f aca="false">MAX(C186-$H$15,0)</f>
        <v>0</v>
      </c>
      <c r="E186" s="36" t="n">
        <v>0</v>
      </c>
      <c r="F186" s="17" t="n">
        <f aca="false">E186+$H$24-C186</f>
        <v>0.0149942802200459</v>
      </c>
    </row>
    <row r="187" customFormat="false" ht="15" hidden="false" customHeight="true" outlineLevel="0" collapsed="false">
      <c r="A187" s="23" t="n">
        <f aca="false">Daily_Returns_Raw_Data!A164</f>
        <v>42606</v>
      </c>
      <c r="B187" s="17" t="n">
        <f aca="false">SUMPRODUCT(Daily_Returns_Raw_Data!B164:X164,$AB$3:$AX$3)</f>
        <v>0.0102131983954615</v>
      </c>
      <c r="C187" s="17" t="n">
        <f aca="false">-B187</f>
        <v>-0.0102131983954615</v>
      </c>
      <c r="D187" s="17" t="n">
        <f aca="false">MAX(C187-$H$15,0)</f>
        <v>0</v>
      </c>
      <c r="E187" s="36" t="n">
        <v>0</v>
      </c>
      <c r="F187" s="17" t="n">
        <f aca="false">E187+$H$24-C187</f>
        <v>0.0239644074014615</v>
      </c>
    </row>
    <row r="188" customFormat="false" ht="15" hidden="false" customHeight="true" outlineLevel="0" collapsed="false">
      <c r="A188" s="23" t="n">
        <f aca="false">Daily_Returns_Raw_Data!A165</f>
        <v>42607</v>
      </c>
      <c r="B188" s="17" t="n">
        <f aca="false">SUMPRODUCT(Daily_Returns_Raw_Data!B165:X165,$AB$3:$AX$3)</f>
        <v>0.0249786971516648</v>
      </c>
      <c r="C188" s="17" t="n">
        <f aca="false">-B188</f>
        <v>-0.0249786971516648</v>
      </c>
      <c r="D188" s="17" t="n">
        <f aca="false">MAX(C188-$H$15,0)</f>
        <v>0</v>
      </c>
      <c r="E188" s="36" t="n">
        <v>0</v>
      </c>
      <c r="F188" s="17" t="n">
        <f aca="false">E188+$H$24-C188</f>
        <v>0.0387299061576648</v>
      </c>
    </row>
    <row r="189" customFormat="false" ht="15" hidden="false" customHeight="true" outlineLevel="0" collapsed="false">
      <c r="A189" s="23" t="n">
        <f aca="false">Daily_Returns_Raw_Data!A166</f>
        <v>42608</v>
      </c>
      <c r="B189" s="17" t="n">
        <f aca="false">SUMPRODUCT(Daily_Returns_Raw_Data!B166:X166,$AB$3:$AX$3)</f>
        <v>0.0505398507843854</v>
      </c>
      <c r="C189" s="17" t="n">
        <f aca="false">-B189</f>
        <v>-0.0505398507843854</v>
      </c>
      <c r="D189" s="17" t="n">
        <f aca="false">MAX(C189-$H$15,0)</f>
        <v>0</v>
      </c>
      <c r="E189" s="36" t="n">
        <v>0</v>
      </c>
      <c r="F189" s="17" t="n">
        <f aca="false">E189+$H$24-C189</f>
        <v>0.0642910597903854</v>
      </c>
    </row>
    <row r="190" customFormat="false" ht="15" hidden="false" customHeight="true" outlineLevel="0" collapsed="false">
      <c r="A190" s="23" t="n">
        <f aca="false">Daily_Returns_Raw_Data!A167</f>
        <v>42611</v>
      </c>
      <c r="B190" s="17" t="n">
        <f aca="false">SUMPRODUCT(Daily_Returns_Raw_Data!B167:X167,$AB$3:$AX$3)</f>
        <v>-0.0346646060708659</v>
      </c>
      <c r="C190" s="17" t="n">
        <f aca="false">-B190</f>
        <v>0.0346646060708659</v>
      </c>
      <c r="D190" s="17" t="n">
        <f aca="false">MAX(C190-$H$15,0)</f>
        <v>0.0209133970646157</v>
      </c>
      <c r="E190" s="36" t="n">
        <v>0.020913397065</v>
      </c>
      <c r="F190" s="17" t="n">
        <f aca="false">E190+$H$24-C190</f>
        <v>1.34108002480815E-013</v>
      </c>
    </row>
    <row r="191" customFormat="false" ht="15" hidden="false" customHeight="true" outlineLevel="0" collapsed="false">
      <c r="A191" s="23" t="n">
        <f aca="false">Daily_Returns_Raw_Data!A168</f>
        <v>42612</v>
      </c>
      <c r="B191" s="17" t="n">
        <f aca="false">SUMPRODUCT(Daily_Returns_Raw_Data!B168:X168,$AB$3:$AX$3)</f>
        <v>-0.0204081937094721</v>
      </c>
      <c r="C191" s="17" t="n">
        <f aca="false">-B191</f>
        <v>0.0204081937094721</v>
      </c>
      <c r="D191" s="17" t="n">
        <f aca="false">MAX(C191-$H$15,0)</f>
        <v>0.0066569847032219</v>
      </c>
      <c r="E191" s="36" t="n">
        <v>0.006656984703</v>
      </c>
      <c r="F191" s="17" t="n">
        <f aca="false">E191+$H$24-C191</f>
        <v>-4.7209111619928E-013</v>
      </c>
    </row>
    <row r="192" customFormat="false" ht="15" hidden="false" customHeight="true" outlineLevel="0" collapsed="false">
      <c r="A192" s="23" t="n">
        <f aca="false">Daily_Returns_Raw_Data!A169</f>
        <v>42613</v>
      </c>
      <c r="B192" s="17" t="n">
        <f aca="false">SUMPRODUCT(Daily_Returns_Raw_Data!B169:X169,$AB$3:$AX$3)</f>
        <v>0.0234091128956293</v>
      </c>
      <c r="C192" s="17" t="n">
        <f aca="false">-B192</f>
        <v>-0.0234091128956293</v>
      </c>
      <c r="D192" s="17" t="n">
        <f aca="false">MAX(C192-$H$15,0)</f>
        <v>0</v>
      </c>
      <c r="E192" s="36" t="n">
        <v>0</v>
      </c>
      <c r="F192" s="17" t="n">
        <f aca="false">E192+$H$24-C192</f>
        <v>0.0371603219016293</v>
      </c>
    </row>
    <row r="193" customFormat="false" ht="15" hidden="false" customHeight="true" outlineLevel="0" collapsed="false">
      <c r="A193" s="23" t="n">
        <f aca="false">Daily_Returns_Raw_Data!A170</f>
        <v>42614</v>
      </c>
      <c r="B193" s="17" t="n">
        <f aca="false">SUMPRODUCT(Daily_Returns_Raw_Data!B170:X170,$AB$3:$AX$3)</f>
        <v>0.0260804959625591</v>
      </c>
      <c r="C193" s="17" t="n">
        <f aca="false">-B193</f>
        <v>-0.0260804959625591</v>
      </c>
      <c r="D193" s="17" t="n">
        <f aca="false">MAX(C193-$H$15,0)</f>
        <v>0</v>
      </c>
      <c r="E193" s="36" t="n">
        <v>0</v>
      </c>
      <c r="F193" s="17" t="n">
        <f aca="false">E193+$H$24-C193</f>
        <v>0.0398317049685591</v>
      </c>
    </row>
    <row r="194" customFormat="false" ht="15" hidden="false" customHeight="true" outlineLevel="0" collapsed="false">
      <c r="A194" s="23" t="n">
        <f aca="false">Daily_Returns_Raw_Data!A171</f>
        <v>42615</v>
      </c>
      <c r="B194" s="17" t="n">
        <f aca="false">SUMPRODUCT(Daily_Returns_Raw_Data!B171:X171,$AB$3:$AX$3)</f>
        <v>0.0134361775264967</v>
      </c>
      <c r="C194" s="17" t="n">
        <f aca="false">-B194</f>
        <v>-0.0134361775264967</v>
      </c>
      <c r="D194" s="17" t="n">
        <f aca="false">MAX(C194-$H$15,0)</f>
        <v>0</v>
      </c>
      <c r="E194" s="36" t="n">
        <v>0</v>
      </c>
      <c r="F194" s="17" t="n">
        <f aca="false">E194+$H$24-C194</f>
        <v>0.0271873865324967</v>
      </c>
    </row>
    <row r="195" customFormat="false" ht="15" hidden="false" customHeight="true" outlineLevel="0" collapsed="false">
      <c r="A195" s="23" t="n">
        <f aca="false">Daily_Returns_Raw_Data!A172</f>
        <v>42619</v>
      </c>
      <c r="B195" s="17" t="n">
        <f aca="false">SUMPRODUCT(Daily_Returns_Raw_Data!B172:X172,$AB$3:$AX$3)</f>
        <v>0.00617864472978213</v>
      </c>
      <c r="C195" s="17" t="n">
        <f aca="false">-B195</f>
        <v>-0.00617864472978213</v>
      </c>
      <c r="D195" s="17" t="n">
        <f aca="false">MAX(C195-$H$15,0)</f>
        <v>0</v>
      </c>
      <c r="E195" s="36" t="n">
        <v>0</v>
      </c>
      <c r="F195" s="17" t="n">
        <f aca="false">E195+$H$24-C195</f>
        <v>0.0199298537357821</v>
      </c>
    </row>
    <row r="196" customFormat="false" ht="15" hidden="false" customHeight="true" outlineLevel="0" collapsed="false">
      <c r="A196" s="23" t="n">
        <f aca="false">Daily_Returns_Raw_Data!A173</f>
        <v>42620</v>
      </c>
      <c r="B196" s="17" t="n">
        <f aca="false">SUMPRODUCT(Daily_Returns_Raw_Data!B173:X173,$AB$3:$AX$3)</f>
        <v>-0.00151347407087483</v>
      </c>
      <c r="C196" s="17" t="n">
        <f aca="false">-B196</f>
        <v>0.00151347407087483</v>
      </c>
      <c r="D196" s="17" t="n">
        <f aca="false">MAX(C196-$H$15,0)</f>
        <v>0</v>
      </c>
      <c r="E196" s="36" t="n">
        <v>0</v>
      </c>
      <c r="F196" s="17" t="n">
        <f aca="false">E196+$H$24-C196</f>
        <v>0.0122377349351252</v>
      </c>
    </row>
    <row r="197" customFormat="false" ht="15" hidden="false" customHeight="true" outlineLevel="0" collapsed="false">
      <c r="A197" s="23" t="n">
        <f aca="false">Daily_Returns_Raw_Data!A174</f>
        <v>42621</v>
      </c>
      <c r="B197" s="17" t="n">
        <f aca="false">SUMPRODUCT(Daily_Returns_Raw_Data!B174:X174,$AB$3:$AX$3)</f>
        <v>-0.0301407381083311</v>
      </c>
      <c r="C197" s="17" t="n">
        <f aca="false">-B197</f>
        <v>0.0301407381083311</v>
      </c>
      <c r="D197" s="17" t="n">
        <f aca="false">MAX(C197-$H$15,0)</f>
        <v>0.0163895291020809</v>
      </c>
      <c r="E197" s="36" t="n">
        <v>0.016389529102</v>
      </c>
      <c r="F197" s="17" t="n">
        <f aca="false">E197+$H$24-C197</f>
        <v>-3.3108238373103E-013</v>
      </c>
    </row>
    <row r="198" customFormat="false" ht="15" hidden="false" customHeight="true" outlineLevel="0" collapsed="false">
      <c r="A198" s="23" t="n">
        <f aca="false">Daily_Returns_Raw_Data!A175</f>
        <v>42622</v>
      </c>
      <c r="B198" s="17" t="n">
        <f aca="false">SUMPRODUCT(Daily_Returns_Raw_Data!B175:X175,$AB$3:$AX$3)</f>
        <v>0.0218302045179941</v>
      </c>
      <c r="C198" s="17" t="n">
        <f aca="false">-B198</f>
        <v>-0.0218302045179941</v>
      </c>
      <c r="D198" s="17" t="n">
        <f aca="false">MAX(C198-$H$15,0)</f>
        <v>0</v>
      </c>
      <c r="E198" s="36" t="n">
        <v>0</v>
      </c>
      <c r="F198" s="17" t="n">
        <f aca="false">E198+$H$24-C198</f>
        <v>0.0355814135239941</v>
      </c>
    </row>
    <row r="199" customFormat="false" ht="15" hidden="false" customHeight="true" outlineLevel="0" collapsed="false">
      <c r="A199" s="23" t="n">
        <f aca="false">Daily_Returns_Raw_Data!A176</f>
        <v>42625</v>
      </c>
      <c r="B199" s="17" t="n">
        <f aca="false">SUMPRODUCT(Daily_Returns_Raw_Data!B176:X176,$AB$3:$AX$3)</f>
        <v>-0.0215565006865107</v>
      </c>
      <c r="C199" s="17" t="n">
        <f aca="false">-B199</f>
        <v>0.0215565006865107</v>
      </c>
      <c r="D199" s="17" t="n">
        <f aca="false">MAX(C199-$H$15,0)</f>
        <v>0.00780529168026046</v>
      </c>
      <c r="E199" s="36" t="n">
        <v>0.00780529168</v>
      </c>
      <c r="F199" s="17" t="n">
        <f aca="false">E199+$H$24-C199</f>
        <v>-5.10650549623293E-013</v>
      </c>
    </row>
    <row r="200" customFormat="false" ht="15" hidden="false" customHeight="true" outlineLevel="0" collapsed="false">
      <c r="A200" s="23" t="n">
        <f aca="false">Daily_Returns_Raw_Data!A177</f>
        <v>42626</v>
      </c>
      <c r="B200" s="17" t="n">
        <f aca="false">SUMPRODUCT(Daily_Returns_Raw_Data!B177:X177,$AB$3:$AX$3)</f>
        <v>-0.000648783073753707</v>
      </c>
      <c r="C200" s="17" t="n">
        <f aca="false">-B200</f>
        <v>0.000648783073753707</v>
      </c>
      <c r="D200" s="17" t="n">
        <f aca="false">MAX(C200-$H$15,0)</f>
        <v>0</v>
      </c>
      <c r="E200" s="36" t="n">
        <v>0</v>
      </c>
      <c r="F200" s="17" t="n">
        <f aca="false">E200+$H$24-C200</f>
        <v>0.0131024259322463</v>
      </c>
    </row>
    <row r="201" customFormat="false" ht="15" hidden="false" customHeight="true" outlineLevel="0" collapsed="false">
      <c r="A201" s="23" t="n">
        <f aca="false">Daily_Returns_Raw_Data!A178</f>
        <v>42627</v>
      </c>
      <c r="B201" s="17" t="n">
        <f aca="false">SUMPRODUCT(Daily_Returns_Raw_Data!B178:X178,$AB$3:$AX$3)</f>
        <v>0.0222094256340302</v>
      </c>
      <c r="C201" s="17" t="n">
        <f aca="false">-B201</f>
        <v>-0.0222094256340302</v>
      </c>
      <c r="D201" s="17" t="n">
        <f aca="false">MAX(C201-$H$15,0)</f>
        <v>0</v>
      </c>
      <c r="E201" s="36" t="n">
        <v>0</v>
      </c>
      <c r="F201" s="17" t="n">
        <f aca="false">E201+$H$24-C201</f>
        <v>0.0359606346400302</v>
      </c>
    </row>
    <row r="202" customFormat="false" ht="15" hidden="false" customHeight="true" outlineLevel="0" collapsed="false">
      <c r="A202" s="23" t="n">
        <f aca="false">Daily_Returns_Raw_Data!A179</f>
        <v>42628</v>
      </c>
      <c r="B202" s="17" t="n">
        <f aca="false">SUMPRODUCT(Daily_Returns_Raw_Data!B179:X179,$AB$3:$AX$3)</f>
        <v>0.00310246753570437</v>
      </c>
      <c r="C202" s="17" t="n">
        <f aca="false">-B202</f>
        <v>-0.00310246753570437</v>
      </c>
      <c r="D202" s="17" t="n">
        <f aca="false">MAX(C202-$H$15,0)</f>
        <v>0</v>
      </c>
      <c r="E202" s="36" t="n">
        <v>0</v>
      </c>
      <c r="F202" s="17" t="n">
        <f aca="false">E202+$H$24-C202</f>
        <v>0.0168536765417044</v>
      </c>
    </row>
    <row r="203" customFormat="false" ht="15" hidden="false" customHeight="true" outlineLevel="0" collapsed="false">
      <c r="A203" s="23" t="n">
        <f aca="false">Daily_Returns_Raw_Data!A180</f>
        <v>42629</v>
      </c>
      <c r="B203" s="17" t="n">
        <f aca="false">SUMPRODUCT(Daily_Returns_Raw_Data!B180:X180,$AB$3:$AX$3)</f>
        <v>0.0130464364223376</v>
      </c>
      <c r="C203" s="17" t="n">
        <f aca="false">-B203</f>
        <v>-0.0130464364223376</v>
      </c>
      <c r="D203" s="17" t="n">
        <f aca="false">MAX(C203-$H$15,0)</f>
        <v>0</v>
      </c>
      <c r="E203" s="36" t="n">
        <v>0</v>
      </c>
      <c r="F203" s="17" t="n">
        <f aca="false">E203+$H$24-C203</f>
        <v>0.0267976454283376</v>
      </c>
    </row>
    <row r="204" customFormat="false" ht="15" hidden="false" customHeight="true" outlineLevel="0" collapsed="false">
      <c r="A204" s="23" t="n">
        <f aca="false">Daily_Returns_Raw_Data!A181</f>
        <v>42632</v>
      </c>
      <c r="B204" s="17" t="n">
        <f aca="false">SUMPRODUCT(Daily_Returns_Raw_Data!B181:X181,$AB$3:$AX$3)</f>
        <v>0.0109662656440945</v>
      </c>
      <c r="C204" s="17" t="n">
        <f aca="false">-B204</f>
        <v>-0.0109662656440945</v>
      </c>
      <c r="D204" s="17" t="n">
        <f aca="false">MAX(C204-$H$15,0)</f>
        <v>0</v>
      </c>
      <c r="E204" s="36" t="n">
        <v>0</v>
      </c>
      <c r="F204" s="17" t="n">
        <f aca="false">E204+$H$24-C204</f>
        <v>0.0247174746500945</v>
      </c>
    </row>
    <row r="205" customFormat="false" ht="15" hidden="false" customHeight="true" outlineLevel="0" collapsed="false">
      <c r="A205" s="23" t="n">
        <f aca="false">Daily_Returns_Raw_Data!A182</f>
        <v>42633</v>
      </c>
      <c r="B205" s="17" t="n">
        <f aca="false">SUMPRODUCT(Daily_Returns_Raw_Data!B182:X182,$AB$3:$AX$3)</f>
        <v>0.0319368852175444</v>
      </c>
      <c r="C205" s="17" t="n">
        <f aca="false">-B205</f>
        <v>-0.0319368852175444</v>
      </c>
      <c r="D205" s="17" t="n">
        <f aca="false">MAX(C205-$H$15,0)</f>
        <v>0</v>
      </c>
      <c r="E205" s="36" t="n">
        <v>0</v>
      </c>
      <c r="F205" s="17" t="n">
        <f aca="false">E205+$H$24-C205</f>
        <v>0.0456880942235444</v>
      </c>
    </row>
    <row r="206" customFormat="false" ht="15" hidden="false" customHeight="true" outlineLevel="0" collapsed="false">
      <c r="A206" s="23" t="n">
        <f aca="false">Daily_Returns_Raw_Data!A183</f>
        <v>42634</v>
      </c>
      <c r="B206" s="17" t="n">
        <f aca="false">SUMPRODUCT(Daily_Returns_Raw_Data!B183:X183,$AB$3:$AX$3)</f>
        <v>-0.0114560207837738</v>
      </c>
      <c r="C206" s="17" t="n">
        <f aca="false">-B206</f>
        <v>0.0114560207837738</v>
      </c>
      <c r="D206" s="17" t="n">
        <f aca="false">MAX(C206-$H$15,0)</f>
        <v>0</v>
      </c>
      <c r="E206" s="36" t="n">
        <v>0</v>
      </c>
      <c r="F206" s="17" t="n">
        <f aca="false">E206+$H$24-C206</f>
        <v>0.00229518822222623</v>
      </c>
    </row>
    <row r="207" customFormat="false" ht="15" hidden="false" customHeight="true" outlineLevel="0" collapsed="false">
      <c r="A207" s="23" t="n">
        <f aca="false">Daily_Returns_Raw_Data!A184</f>
        <v>42635</v>
      </c>
      <c r="B207" s="17" t="n">
        <f aca="false">SUMPRODUCT(Daily_Returns_Raw_Data!B184:X184,$AB$3:$AX$3)</f>
        <v>-0.00125687918657612</v>
      </c>
      <c r="C207" s="17" t="n">
        <f aca="false">-B207</f>
        <v>0.00125687918657612</v>
      </c>
      <c r="D207" s="17" t="n">
        <f aca="false">MAX(C207-$H$15,0)</f>
        <v>0</v>
      </c>
      <c r="E207" s="36" t="n">
        <v>0</v>
      </c>
      <c r="F207" s="17" t="n">
        <f aca="false">E207+$H$24-C207</f>
        <v>0.0124943298194239</v>
      </c>
    </row>
    <row r="208" customFormat="false" ht="15" hidden="false" customHeight="true" outlineLevel="0" collapsed="false">
      <c r="A208" s="23" t="n">
        <f aca="false">Daily_Returns_Raw_Data!A185</f>
        <v>42636</v>
      </c>
      <c r="B208" s="17" t="n">
        <f aca="false">SUMPRODUCT(Daily_Returns_Raw_Data!B185:X185,$AB$3:$AX$3)</f>
        <v>-0.00689325955181163</v>
      </c>
      <c r="C208" s="17" t="n">
        <f aca="false">-B208</f>
        <v>0.00689325955181163</v>
      </c>
      <c r="D208" s="17" t="n">
        <f aca="false">MAX(C208-$H$15,0)</f>
        <v>0</v>
      </c>
      <c r="E208" s="36" t="n">
        <v>0</v>
      </c>
      <c r="F208" s="17" t="n">
        <f aca="false">E208+$H$24-C208</f>
        <v>0.00685794945418837</v>
      </c>
    </row>
    <row r="209" customFormat="false" ht="15" hidden="false" customHeight="true" outlineLevel="0" collapsed="false">
      <c r="A209" s="23" t="n">
        <f aca="false">Daily_Returns_Raw_Data!A186</f>
        <v>42639</v>
      </c>
      <c r="B209" s="17" t="n">
        <f aca="false">SUMPRODUCT(Daily_Returns_Raw_Data!B186:X186,$AB$3:$AX$3)</f>
        <v>0.00824639486617733</v>
      </c>
      <c r="C209" s="17" t="n">
        <f aca="false">-B209</f>
        <v>-0.00824639486617733</v>
      </c>
      <c r="D209" s="17" t="n">
        <f aca="false">MAX(C209-$H$15,0)</f>
        <v>0</v>
      </c>
      <c r="E209" s="36" t="n">
        <v>0</v>
      </c>
      <c r="F209" s="17" t="n">
        <f aca="false">E209+$H$24-C209</f>
        <v>0.0219976038721773</v>
      </c>
    </row>
    <row r="210" customFormat="false" ht="15" hidden="false" customHeight="true" outlineLevel="0" collapsed="false">
      <c r="A210" s="23" t="n">
        <f aca="false">Daily_Returns_Raw_Data!A187</f>
        <v>42640</v>
      </c>
      <c r="B210" s="17" t="n">
        <f aca="false">SUMPRODUCT(Daily_Returns_Raw_Data!B187:X187,$AB$3:$AX$3)</f>
        <v>0.00766924133499763</v>
      </c>
      <c r="C210" s="17" t="n">
        <f aca="false">-B210</f>
        <v>-0.00766924133499763</v>
      </c>
      <c r="D210" s="17" t="n">
        <f aca="false">MAX(C210-$H$15,0)</f>
        <v>0</v>
      </c>
      <c r="E210" s="36" t="n">
        <v>0</v>
      </c>
      <c r="F210" s="17" t="n">
        <f aca="false">E210+$H$24-C210</f>
        <v>0.0214204503409976</v>
      </c>
    </row>
    <row r="211" customFormat="false" ht="15" hidden="false" customHeight="true" outlineLevel="0" collapsed="false">
      <c r="A211" s="23" t="n">
        <f aca="false">Daily_Returns_Raw_Data!A188</f>
        <v>42641</v>
      </c>
      <c r="B211" s="17" t="n">
        <f aca="false">SUMPRODUCT(Daily_Returns_Raw_Data!B188:X188,$AB$3:$AX$3)</f>
        <v>-0.00619554329041645</v>
      </c>
      <c r="C211" s="17" t="n">
        <f aca="false">-B211</f>
        <v>0.00619554329041645</v>
      </c>
      <c r="D211" s="17" t="n">
        <f aca="false">MAX(C211-$H$15,0)</f>
        <v>0</v>
      </c>
      <c r="E211" s="36" t="n">
        <v>0</v>
      </c>
      <c r="F211" s="17" t="n">
        <f aca="false">E211+$H$24-C211</f>
        <v>0.00755566571558356</v>
      </c>
    </row>
    <row r="212" customFormat="false" ht="15" hidden="false" customHeight="true" outlineLevel="0" collapsed="false">
      <c r="A212" s="23" t="n">
        <f aca="false">Daily_Returns_Raw_Data!A189</f>
        <v>42642</v>
      </c>
      <c r="B212" s="17" t="n">
        <f aca="false">SUMPRODUCT(Daily_Returns_Raw_Data!B189:X189,$AB$3:$AX$3)</f>
        <v>0.00766164552396867</v>
      </c>
      <c r="C212" s="17" t="n">
        <f aca="false">-B212</f>
        <v>-0.00766164552396867</v>
      </c>
      <c r="D212" s="17" t="n">
        <f aca="false">MAX(C212-$H$15,0)</f>
        <v>0</v>
      </c>
      <c r="E212" s="36" t="n">
        <v>0</v>
      </c>
      <c r="F212" s="17" t="n">
        <f aca="false">E212+$H$24-C212</f>
        <v>0.0214128545299687</v>
      </c>
    </row>
    <row r="213" customFormat="false" ht="15" hidden="false" customHeight="true" outlineLevel="0" collapsed="false">
      <c r="A213" s="23" t="n">
        <f aca="false">Daily_Returns_Raw_Data!A190</f>
        <v>42643</v>
      </c>
      <c r="B213" s="17" t="n">
        <f aca="false">SUMPRODUCT(Daily_Returns_Raw_Data!B190:X190,$AB$3:$AX$3)</f>
        <v>0.00537339313411109</v>
      </c>
      <c r="C213" s="17" t="n">
        <f aca="false">-B213</f>
        <v>-0.00537339313411109</v>
      </c>
      <c r="D213" s="17" t="n">
        <f aca="false">MAX(C213-$H$15,0)</f>
        <v>0</v>
      </c>
      <c r="E213" s="36" t="n">
        <v>0</v>
      </c>
      <c r="F213" s="17" t="n">
        <f aca="false">E213+$H$24-C213</f>
        <v>0.0191246021401111</v>
      </c>
    </row>
    <row r="214" customFormat="false" ht="15" hidden="false" customHeight="true" outlineLevel="0" collapsed="false">
      <c r="A214" s="23" t="n">
        <f aca="false">Daily_Returns_Raw_Data!A191</f>
        <v>42646</v>
      </c>
      <c r="B214" s="17" t="n">
        <f aca="false">SUMPRODUCT(Daily_Returns_Raw_Data!B191:X191,$AB$3:$AX$3)</f>
        <v>-0.00679255579288483</v>
      </c>
      <c r="C214" s="17" t="n">
        <f aca="false">-B214</f>
        <v>0.00679255579288483</v>
      </c>
      <c r="D214" s="17" t="n">
        <f aca="false">MAX(C214-$H$15,0)</f>
        <v>0</v>
      </c>
      <c r="E214" s="36" t="n">
        <v>0</v>
      </c>
      <c r="F214" s="17" t="n">
        <f aca="false">E214+$H$24-C214</f>
        <v>0.00695865321311517</v>
      </c>
    </row>
    <row r="215" customFormat="false" ht="15" hidden="false" customHeight="true" outlineLevel="0" collapsed="false">
      <c r="A215" s="23" t="n">
        <f aca="false">Daily_Returns_Raw_Data!A192</f>
        <v>42647</v>
      </c>
      <c r="B215" s="17" t="n">
        <f aca="false">SUMPRODUCT(Daily_Returns_Raw_Data!B192:X192,$AB$3:$AX$3)</f>
        <v>0.0360682839390345</v>
      </c>
      <c r="C215" s="17" t="n">
        <f aca="false">-B215</f>
        <v>-0.0360682839390345</v>
      </c>
      <c r="D215" s="17" t="n">
        <f aca="false">MAX(C215-$H$15,0)</f>
        <v>0</v>
      </c>
      <c r="E215" s="36" t="n">
        <v>0</v>
      </c>
      <c r="F215" s="17" t="n">
        <f aca="false">E215+$H$24-C215</f>
        <v>0.0498194929450345</v>
      </c>
    </row>
    <row r="216" customFormat="false" ht="15" hidden="false" customHeight="true" outlineLevel="0" collapsed="false">
      <c r="A216" s="23" t="n">
        <f aca="false">Daily_Returns_Raw_Data!A193</f>
        <v>42648</v>
      </c>
      <c r="B216" s="17" t="n">
        <f aca="false">SUMPRODUCT(Daily_Returns_Raw_Data!B193:X193,$AB$3:$AX$3)</f>
        <v>0.0244603224740699</v>
      </c>
      <c r="C216" s="17" t="n">
        <f aca="false">-B216</f>
        <v>-0.0244603224740699</v>
      </c>
      <c r="D216" s="17" t="n">
        <f aca="false">MAX(C216-$H$15,0)</f>
        <v>0</v>
      </c>
      <c r="E216" s="36" t="n">
        <v>0</v>
      </c>
      <c r="F216" s="17" t="n">
        <f aca="false">E216+$H$24-C216</f>
        <v>0.0382115314800699</v>
      </c>
    </row>
    <row r="217" customFormat="false" ht="15" hidden="false" customHeight="true" outlineLevel="0" collapsed="false">
      <c r="A217" s="23" t="n">
        <f aca="false">Daily_Returns_Raw_Data!A194</f>
        <v>42649</v>
      </c>
      <c r="B217" s="17" t="n">
        <f aca="false">SUMPRODUCT(Daily_Returns_Raw_Data!B194:X194,$AB$3:$AX$3)</f>
        <v>0.0219064431526109</v>
      </c>
      <c r="C217" s="17" t="n">
        <f aca="false">-B217</f>
        <v>-0.0219064431526109</v>
      </c>
      <c r="D217" s="17" t="n">
        <f aca="false">MAX(C217-$H$15,0)</f>
        <v>0</v>
      </c>
      <c r="E217" s="36" t="n">
        <v>0</v>
      </c>
      <c r="F217" s="17" t="n">
        <f aca="false">E217+$H$24-C217</f>
        <v>0.0356576521586109</v>
      </c>
    </row>
    <row r="218" customFormat="false" ht="15" hidden="false" customHeight="true" outlineLevel="0" collapsed="false">
      <c r="A218" s="23" t="n">
        <f aca="false">Daily_Returns_Raw_Data!A195</f>
        <v>42650</v>
      </c>
      <c r="B218" s="17" t="n">
        <f aca="false">SUMPRODUCT(Daily_Returns_Raw_Data!B195:X195,$AB$3:$AX$3)</f>
        <v>0.0154407237094169</v>
      </c>
      <c r="C218" s="17" t="n">
        <f aca="false">-B218</f>
        <v>-0.0154407237094169</v>
      </c>
      <c r="D218" s="17" t="n">
        <f aca="false">MAX(C218-$H$15,0)</f>
        <v>0</v>
      </c>
      <c r="E218" s="36" t="n">
        <v>0</v>
      </c>
      <c r="F218" s="17" t="n">
        <f aca="false">E218+$H$24-C218</f>
        <v>0.0291919327154169</v>
      </c>
    </row>
    <row r="219" customFormat="false" ht="15" hidden="false" customHeight="true" outlineLevel="0" collapsed="false">
      <c r="A219" s="23" t="n">
        <f aca="false">Daily_Returns_Raw_Data!A196</f>
        <v>42653</v>
      </c>
      <c r="B219" s="17" t="n">
        <f aca="false">SUMPRODUCT(Daily_Returns_Raw_Data!B196:X196,$AB$3:$AX$3)</f>
        <v>-0.00689380121328444</v>
      </c>
      <c r="C219" s="17" t="n">
        <f aca="false">-B219</f>
        <v>0.00689380121328444</v>
      </c>
      <c r="D219" s="17" t="n">
        <f aca="false">MAX(C219-$H$15,0)</f>
        <v>0</v>
      </c>
      <c r="E219" s="36" t="n">
        <v>0</v>
      </c>
      <c r="F219" s="17" t="n">
        <f aca="false">E219+$H$24-C219</f>
        <v>0.00685740779271556</v>
      </c>
    </row>
    <row r="220" customFormat="false" ht="15" hidden="false" customHeight="true" outlineLevel="0" collapsed="false">
      <c r="A220" s="23" t="n">
        <f aca="false">Daily_Returns_Raw_Data!A197</f>
        <v>42654</v>
      </c>
      <c r="B220" s="17" t="n">
        <f aca="false">SUMPRODUCT(Daily_Returns_Raw_Data!B197:X197,$AB$3:$AX$3)</f>
        <v>-0.0137512090062262</v>
      </c>
      <c r="C220" s="17" t="n">
        <f aca="false">-B220</f>
        <v>0.0137512090062262</v>
      </c>
      <c r="D220" s="17" t="n">
        <f aca="false">MAX(C220-$H$15,0)</f>
        <v>0</v>
      </c>
      <c r="E220" s="36" t="n">
        <v>0</v>
      </c>
      <c r="F220" s="17" t="n">
        <f aca="false">E220+$H$24-C220</f>
        <v>-2.2618885930914E-013</v>
      </c>
    </row>
    <row r="221" customFormat="false" ht="15" hidden="false" customHeight="true" outlineLevel="0" collapsed="false">
      <c r="A221" s="23" t="n">
        <f aca="false">Daily_Returns_Raw_Data!A198</f>
        <v>42655</v>
      </c>
      <c r="B221" s="17" t="n">
        <f aca="false">SUMPRODUCT(Daily_Returns_Raw_Data!B198:X198,$AB$3:$AX$3)</f>
        <v>-0.0137512090062502</v>
      </c>
      <c r="C221" s="17" t="n">
        <f aca="false">-B221</f>
        <v>0.0137512090062502</v>
      </c>
      <c r="D221" s="17" t="n">
        <f aca="false">MAX(C221-$H$15,0)</f>
        <v>0</v>
      </c>
      <c r="E221" s="36" t="n">
        <v>0</v>
      </c>
      <c r="F221" s="17" t="n">
        <f aca="false">E221+$H$24-C221</f>
        <v>-2.50187023875803E-013</v>
      </c>
    </row>
    <row r="222" customFormat="false" ht="15" hidden="false" customHeight="true" outlineLevel="0" collapsed="false">
      <c r="A222" s="23" t="n">
        <f aca="false">Daily_Returns_Raw_Data!A199</f>
        <v>42656</v>
      </c>
      <c r="B222" s="17" t="n">
        <f aca="false">SUMPRODUCT(Daily_Returns_Raw_Data!B199:X199,$AB$3:$AX$3)</f>
        <v>0.00525757112175095</v>
      </c>
      <c r="C222" s="17" t="n">
        <f aca="false">-B222</f>
        <v>-0.00525757112175095</v>
      </c>
      <c r="D222" s="17" t="n">
        <f aca="false">MAX(C222-$H$15,0)</f>
        <v>0</v>
      </c>
      <c r="E222" s="36" t="n">
        <v>0</v>
      </c>
      <c r="F222" s="17" t="n">
        <f aca="false">E222+$H$24-C222</f>
        <v>0.0190087801277509</v>
      </c>
    </row>
    <row r="223" customFormat="false" ht="15" hidden="false" customHeight="true" outlineLevel="0" collapsed="false">
      <c r="A223" s="23" t="n">
        <f aca="false">Daily_Returns_Raw_Data!A200</f>
        <v>42657</v>
      </c>
      <c r="B223" s="17" t="n">
        <f aca="false">SUMPRODUCT(Daily_Returns_Raw_Data!B200:X200,$AB$3:$AX$3)</f>
        <v>0.00717262910997279</v>
      </c>
      <c r="C223" s="17" t="n">
        <f aca="false">-B223</f>
        <v>-0.00717262910997279</v>
      </c>
      <c r="D223" s="17" t="n">
        <f aca="false">MAX(C223-$H$15,0)</f>
        <v>0</v>
      </c>
      <c r="E223" s="36" t="n">
        <v>0</v>
      </c>
      <c r="F223" s="17" t="n">
        <f aca="false">E223+$H$24-C223</f>
        <v>0.0209238381159728</v>
      </c>
    </row>
    <row r="224" customFormat="false" ht="15" hidden="false" customHeight="true" outlineLevel="0" collapsed="false">
      <c r="A224" s="23" t="n">
        <f aca="false">Daily_Returns_Raw_Data!A201</f>
        <v>42660</v>
      </c>
      <c r="B224" s="17" t="n">
        <f aca="false">SUMPRODUCT(Daily_Returns_Raw_Data!B201:X201,$AB$3:$AX$3)</f>
        <v>0.0195031062135675</v>
      </c>
      <c r="C224" s="17" t="n">
        <f aca="false">-B224</f>
        <v>-0.0195031062135675</v>
      </c>
      <c r="D224" s="17" t="n">
        <f aca="false">MAX(C224-$H$15,0)</f>
        <v>0</v>
      </c>
      <c r="E224" s="36" t="n">
        <v>0</v>
      </c>
      <c r="F224" s="17" t="n">
        <f aca="false">E224+$H$24-C224</f>
        <v>0.0332543152195675</v>
      </c>
    </row>
    <row r="225" customFormat="false" ht="15" hidden="false" customHeight="true" outlineLevel="0" collapsed="false">
      <c r="A225" s="23" t="n">
        <f aca="false">Daily_Returns_Raw_Data!A202</f>
        <v>42661</v>
      </c>
      <c r="B225" s="17" t="n">
        <f aca="false">SUMPRODUCT(Daily_Returns_Raw_Data!B202:X202,$AB$3:$AX$3)</f>
        <v>-0.00791130906008838</v>
      </c>
      <c r="C225" s="17" t="n">
        <f aca="false">-B225</f>
        <v>0.00791130906008838</v>
      </c>
      <c r="D225" s="17" t="n">
        <f aca="false">MAX(C225-$H$15,0)</f>
        <v>0</v>
      </c>
      <c r="E225" s="36" t="n">
        <v>0</v>
      </c>
      <c r="F225" s="17" t="n">
        <f aca="false">E225+$H$24-C225</f>
        <v>0.00583989994591162</v>
      </c>
    </row>
    <row r="226" customFormat="false" ht="15" hidden="false" customHeight="true" outlineLevel="0" collapsed="false">
      <c r="A226" s="23" t="n">
        <f aca="false">Daily_Returns_Raw_Data!A203</f>
        <v>42662</v>
      </c>
      <c r="B226" s="17" t="n">
        <f aca="false">SUMPRODUCT(Daily_Returns_Raw_Data!B203:X203,$AB$3:$AX$3)</f>
        <v>0.00866058394308955</v>
      </c>
      <c r="C226" s="17" t="n">
        <f aca="false">-B226</f>
        <v>-0.00866058394308955</v>
      </c>
      <c r="D226" s="17" t="n">
        <f aca="false">MAX(C226-$H$15,0)</f>
        <v>0</v>
      </c>
      <c r="E226" s="36" t="n">
        <v>0</v>
      </c>
      <c r="F226" s="17" t="n">
        <f aca="false">E226+$H$24-C226</f>
        <v>0.0224117929490896</v>
      </c>
    </row>
    <row r="227" customFormat="false" ht="15" hidden="false" customHeight="true" outlineLevel="0" collapsed="false">
      <c r="A227" s="23" t="n">
        <f aca="false">Daily_Returns_Raw_Data!A204</f>
        <v>42663</v>
      </c>
      <c r="B227" s="17" t="n">
        <f aca="false">SUMPRODUCT(Daily_Returns_Raw_Data!B204:X204,$AB$3:$AX$3)</f>
        <v>-0.00162586312408202</v>
      </c>
      <c r="C227" s="17" t="n">
        <f aca="false">-B227</f>
        <v>0.00162586312408202</v>
      </c>
      <c r="D227" s="17" t="n">
        <f aca="false">MAX(C227-$H$15,0)</f>
        <v>0</v>
      </c>
      <c r="E227" s="36" t="n">
        <v>0</v>
      </c>
      <c r="F227" s="17" t="n">
        <f aca="false">E227+$H$24-C227</f>
        <v>0.012125345881918</v>
      </c>
    </row>
    <row r="228" customFormat="false" ht="15" hidden="false" customHeight="true" outlineLevel="0" collapsed="false">
      <c r="A228" s="23" t="n">
        <f aca="false">Daily_Returns_Raw_Data!A205</f>
        <v>42664</v>
      </c>
      <c r="B228" s="17" t="n">
        <f aca="false">SUMPRODUCT(Daily_Returns_Raw_Data!B205:X205,$AB$3:$AX$3)</f>
        <v>0.0145124005780839</v>
      </c>
      <c r="C228" s="17" t="n">
        <f aca="false">-B228</f>
        <v>-0.0145124005780839</v>
      </c>
      <c r="D228" s="17" t="n">
        <f aca="false">MAX(C228-$H$15,0)</f>
        <v>0</v>
      </c>
      <c r="E228" s="36" t="n">
        <v>0</v>
      </c>
      <c r="F228" s="17" t="n">
        <f aca="false">E228+$H$24-C228</f>
        <v>0.0282636095840839</v>
      </c>
    </row>
    <row r="229" customFormat="false" ht="15" hidden="false" customHeight="true" outlineLevel="0" collapsed="false">
      <c r="A229" s="23" t="n">
        <f aca="false">Daily_Returns_Raw_Data!A206</f>
        <v>42667</v>
      </c>
      <c r="B229" s="17" t="n">
        <f aca="false">SUMPRODUCT(Daily_Returns_Raw_Data!B206:X206,$AB$3:$AX$3)</f>
        <v>-0.00571506673492897</v>
      </c>
      <c r="C229" s="17" t="n">
        <f aca="false">-B229</f>
        <v>0.00571506673492897</v>
      </c>
      <c r="D229" s="17" t="n">
        <f aca="false">MAX(C229-$H$15,0)</f>
        <v>0</v>
      </c>
      <c r="E229" s="36" t="n">
        <v>0</v>
      </c>
      <c r="F229" s="17" t="n">
        <f aca="false">E229+$H$24-C229</f>
        <v>0.00803614227107103</v>
      </c>
    </row>
    <row r="230" customFormat="false" ht="15" hidden="false" customHeight="true" outlineLevel="0" collapsed="false">
      <c r="A230" s="23" t="n">
        <f aca="false">Daily_Returns_Raw_Data!A207</f>
        <v>42668</v>
      </c>
      <c r="B230" s="17" t="n">
        <f aca="false">SUMPRODUCT(Daily_Returns_Raw_Data!B207:X207,$AB$3:$AX$3)</f>
        <v>-0.00166119015569512</v>
      </c>
      <c r="C230" s="17" t="n">
        <f aca="false">-B230</f>
        <v>0.00166119015569512</v>
      </c>
      <c r="D230" s="17" t="n">
        <f aca="false">MAX(C230-$H$15,0)</f>
        <v>0</v>
      </c>
      <c r="E230" s="36" t="n">
        <v>0</v>
      </c>
      <c r="F230" s="17" t="n">
        <f aca="false">E230+$H$24-C230</f>
        <v>0.0120900188503049</v>
      </c>
    </row>
    <row r="231" customFormat="false" ht="15" hidden="false" customHeight="true" outlineLevel="0" collapsed="false">
      <c r="A231" s="23" t="n">
        <f aca="false">Daily_Returns_Raw_Data!A208</f>
        <v>42669</v>
      </c>
      <c r="B231" s="17" t="n">
        <f aca="false">SUMPRODUCT(Daily_Returns_Raw_Data!B208:X208,$AB$3:$AX$3)</f>
        <v>0.00114560706384874</v>
      </c>
      <c r="C231" s="17" t="n">
        <f aca="false">-B231</f>
        <v>-0.00114560706384874</v>
      </c>
      <c r="D231" s="17" t="n">
        <f aca="false">MAX(C231-$H$15,0)</f>
        <v>0</v>
      </c>
      <c r="E231" s="36" t="n">
        <v>0</v>
      </c>
      <c r="F231" s="17" t="n">
        <f aca="false">E231+$H$24-C231</f>
        <v>0.0148968160698487</v>
      </c>
    </row>
    <row r="232" customFormat="false" ht="15" hidden="false" customHeight="true" outlineLevel="0" collapsed="false">
      <c r="A232" s="23" t="n">
        <f aca="false">Daily_Returns_Raw_Data!A209</f>
        <v>42670</v>
      </c>
      <c r="B232" s="17" t="n">
        <f aca="false">SUMPRODUCT(Daily_Returns_Raw_Data!B209:X209,$AB$3:$AX$3)</f>
        <v>-0.000691778542672718</v>
      </c>
      <c r="C232" s="17" t="n">
        <f aca="false">-B232</f>
        <v>0.000691778542672718</v>
      </c>
      <c r="D232" s="17" t="n">
        <f aca="false">MAX(C232-$H$15,0)</f>
        <v>0</v>
      </c>
      <c r="E232" s="36" t="n">
        <v>0</v>
      </c>
      <c r="F232" s="17" t="n">
        <f aca="false">E232+$H$24-C232</f>
        <v>0.0130594304633273</v>
      </c>
    </row>
    <row r="233" customFormat="false" ht="15" hidden="false" customHeight="true" outlineLevel="0" collapsed="false">
      <c r="A233" s="23" t="n">
        <f aca="false">Daily_Returns_Raw_Data!A210</f>
        <v>42671</v>
      </c>
      <c r="B233" s="17" t="n">
        <f aca="false">SUMPRODUCT(Daily_Returns_Raw_Data!B210:X210,$AB$3:$AX$3)</f>
        <v>-0.000660052179782912</v>
      </c>
      <c r="C233" s="17" t="n">
        <f aca="false">-B233</f>
        <v>0.000660052179782912</v>
      </c>
      <c r="D233" s="17" t="n">
        <f aca="false">MAX(C233-$H$15,0)</f>
        <v>0</v>
      </c>
      <c r="E233" s="36" t="n">
        <v>0</v>
      </c>
      <c r="F233" s="17" t="n">
        <f aca="false">E233+$H$24-C233</f>
        <v>0.0130911568262171</v>
      </c>
    </row>
    <row r="234" customFormat="false" ht="15" hidden="false" customHeight="true" outlineLevel="0" collapsed="false">
      <c r="A234" s="23" t="n">
        <f aca="false">Daily_Returns_Raw_Data!A211</f>
        <v>42674</v>
      </c>
      <c r="B234" s="17" t="n">
        <f aca="false">SUMPRODUCT(Daily_Returns_Raw_Data!B211:X211,$AB$3:$AX$3)</f>
        <v>-0.00949872375507108</v>
      </c>
      <c r="C234" s="17" t="n">
        <f aca="false">-B234</f>
        <v>0.00949872375507108</v>
      </c>
      <c r="D234" s="17" t="n">
        <f aca="false">MAX(C234-$H$15,0)</f>
        <v>0</v>
      </c>
      <c r="E234" s="36" t="n">
        <v>0</v>
      </c>
      <c r="F234" s="17" t="n">
        <f aca="false">E234+$H$24-C234</f>
        <v>0.00425248525092892</v>
      </c>
    </row>
    <row r="235" customFormat="false" ht="15" hidden="false" customHeight="true" outlineLevel="0" collapsed="false">
      <c r="A235" s="23" t="n">
        <f aca="false">Daily_Returns_Raw_Data!A212</f>
        <v>42675</v>
      </c>
      <c r="B235" s="17" t="n">
        <f aca="false">SUMPRODUCT(Daily_Returns_Raw_Data!B212:X212,$AB$3:$AX$3)</f>
        <v>-0.0113067727817121</v>
      </c>
      <c r="C235" s="17" t="n">
        <f aca="false">-B235</f>
        <v>0.0113067727817121</v>
      </c>
      <c r="D235" s="17" t="n">
        <f aca="false">MAX(C235-$H$15,0)</f>
        <v>0</v>
      </c>
      <c r="E235" s="36" t="n">
        <v>0</v>
      </c>
      <c r="F235" s="17" t="n">
        <f aca="false">E235+$H$24-C235</f>
        <v>0.00244443622428786</v>
      </c>
    </row>
    <row r="236" customFormat="false" ht="15" hidden="false" customHeight="true" outlineLevel="0" collapsed="false">
      <c r="A236" s="23" t="n">
        <f aca="false">Daily_Returns_Raw_Data!A213</f>
        <v>42676</v>
      </c>
      <c r="B236" s="17" t="n">
        <f aca="false">SUMPRODUCT(Daily_Returns_Raw_Data!B213:X213,$AB$3:$AX$3)</f>
        <v>-0.0292979020841614</v>
      </c>
      <c r="C236" s="17" t="n">
        <f aca="false">-B236</f>
        <v>0.0292979020841614</v>
      </c>
      <c r="D236" s="17" t="n">
        <f aca="false">MAX(C236-$H$15,0)</f>
        <v>0.0155466930779112</v>
      </c>
      <c r="E236" s="36" t="n">
        <v>0.015546693078</v>
      </c>
      <c r="F236" s="17" t="n">
        <f aca="false">E236+$H$24-C236</f>
        <v>-1.6141254999269E-013</v>
      </c>
    </row>
    <row r="237" customFormat="false" ht="15" hidden="false" customHeight="true" outlineLevel="0" collapsed="false">
      <c r="A237" s="23" t="n">
        <f aca="false">Daily_Returns_Raw_Data!A214</f>
        <v>42677</v>
      </c>
      <c r="B237" s="17" t="n">
        <f aca="false">SUMPRODUCT(Daily_Returns_Raw_Data!B214:X214,$AB$3:$AX$3)</f>
        <v>0.0061865275234359</v>
      </c>
      <c r="C237" s="17" t="n">
        <f aca="false">-B237</f>
        <v>-0.0061865275234359</v>
      </c>
      <c r="D237" s="17" t="n">
        <f aca="false">MAX(C237-$H$15,0)</f>
        <v>0</v>
      </c>
      <c r="E237" s="36" t="n">
        <v>0</v>
      </c>
      <c r="F237" s="17" t="n">
        <f aca="false">E237+$H$24-C237</f>
        <v>0.0199377365294359</v>
      </c>
    </row>
    <row r="238" customFormat="false" ht="15" hidden="false" customHeight="true" outlineLevel="0" collapsed="false">
      <c r="A238" s="23" t="n">
        <f aca="false">Daily_Returns_Raw_Data!A215</f>
        <v>42678</v>
      </c>
      <c r="B238" s="17" t="n">
        <f aca="false">SUMPRODUCT(Daily_Returns_Raw_Data!B215:X215,$AB$3:$AX$3)</f>
        <v>0.0365881955987675</v>
      </c>
      <c r="C238" s="17" t="n">
        <f aca="false">-B238</f>
        <v>-0.0365881955987675</v>
      </c>
      <c r="D238" s="17" t="n">
        <f aca="false">MAX(C238-$H$15,0)</f>
        <v>0</v>
      </c>
      <c r="E238" s="36" t="n">
        <v>0</v>
      </c>
      <c r="F238" s="17" t="n">
        <f aca="false">E238+$H$24-C238</f>
        <v>0.0503394046047675</v>
      </c>
    </row>
    <row r="239" customFormat="false" ht="15" hidden="false" customHeight="true" outlineLevel="0" collapsed="false">
      <c r="A239" s="23" t="n">
        <f aca="false">Daily_Returns_Raw_Data!A216</f>
        <v>42681</v>
      </c>
      <c r="B239" s="17" t="n">
        <f aca="false">SUMPRODUCT(Daily_Returns_Raw_Data!B216:X216,$AB$3:$AX$3)</f>
        <v>-0.00422790913848406</v>
      </c>
      <c r="C239" s="17" t="n">
        <f aca="false">-B239</f>
        <v>0.00422790913848406</v>
      </c>
      <c r="D239" s="17" t="n">
        <f aca="false">MAX(C239-$H$15,0)</f>
        <v>0</v>
      </c>
      <c r="E239" s="36" t="n">
        <v>0</v>
      </c>
      <c r="F239" s="17" t="n">
        <f aca="false">E239+$H$24-C239</f>
        <v>0.00952329986751594</v>
      </c>
    </row>
    <row r="240" customFormat="false" ht="15" hidden="false" customHeight="true" outlineLevel="0" collapsed="false">
      <c r="A240" s="23" t="n">
        <f aca="false">Daily_Returns_Raw_Data!A217</f>
        <v>42682</v>
      </c>
      <c r="B240" s="17" t="n">
        <f aca="false">SUMPRODUCT(Daily_Returns_Raw_Data!B217:X217,$AB$3:$AX$3)</f>
        <v>-0.0105655032010834</v>
      </c>
      <c r="C240" s="17" t="n">
        <f aca="false">-B240</f>
        <v>0.0105655032010834</v>
      </c>
      <c r="D240" s="17" t="n">
        <f aca="false">MAX(C240-$H$15,0)</f>
        <v>0</v>
      </c>
      <c r="E240" s="36" t="n">
        <v>0</v>
      </c>
      <c r="F240" s="17" t="n">
        <f aca="false">E240+$H$24-C240</f>
        <v>0.00318570580491665</v>
      </c>
    </row>
    <row r="241" customFormat="false" ht="15" hidden="false" customHeight="true" outlineLevel="0" collapsed="false">
      <c r="A241" s="23" t="n">
        <f aca="false">Daily_Returns_Raw_Data!A218</f>
        <v>42683</v>
      </c>
      <c r="B241" s="17" t="n">
        <f aca="false">SUMPRODUCT(Daily_Returns_Raw_Data!B218:X218,$AB$3:$AX$3)</f>
        <v>-0.012318166379824</v>
      </c>
      <c r="C241" s="17" t="n">
        <f aca="false">-B241</f>
        <v>0.012318166379824</v>
      </c>
      <c r="D241" s="17" t="n">
        <f aca="false">MAX(C241-$H$15,0)</f>
        <v>0</v>
      </c>
      <c r="E241" s="36" t="n">
        <v>0</v>
      </c>
      <c r="F241" s="17" t="n">
        <f aca="false">E241+$H$24-C241</f>
        <v>0.00143304262617601</v>
      </c>
    </row>
    <row r="242" customFormat="false" ht="15" hidden="false" customHeight="true" outlineLevel="0" collapsed="false">
      <c r="A242" s="23" t="n">
        <f aca="false">Daily_Returns_Raw_Data!A219</f>
        <v>42684</v>
      </c>
      <c r="B242" s="17" t="n">
        <f aca="false">SUMPRODUCT(Daily_Returns_Raw_Data!B219:X219,$AB$3:$AX$3)</f>
        <v>0.000542098426634326</v>
      </c>
      <c r="C242" s="17" t="n">
        <f aca="false">-B242</f>
        <v>-0.000542098426634326</v>
      </c>
      <c r="D242" s="17" t="n">
        <f aca="false">MAX(C242-$H$15,0)</f>
        <v>0</v>
      </c>
      <c r="E242" s="36" t="n">
        <v>0</v>
      </c>
      <c r="F242" s="17" t="n">
        <f aca="false">E242+$H$24-C242</f>
        <v>0.0142933074326343</v>
      </c>
    </row>
    <row r="243" customFormat="false" ht="15" hidden="false" customHeight="true" outlineLevel="0" collapsed="false">
      <c r="A243" s="23" t="n">
        <f aca="false">Daily_Returns_Raw_Data!A220</f>
        <v>42685</v>
      </c>
      <c r="B243" s="17" t="n">
        <f aca="false">SUMPRODUCT(Daily_Returns_Raw_Data!B220:X220,$AB$3:$AX$3)</f>
        <v>0.00878155177169645</v>
      </c>
      <c r="C243" s="17" t="n">
        <f aca="false">-B243</f>
        <v>-0.00878155177169645</v>
      </c>
      <c r="D243" s="17" t="n">
        <f aca="false">MAX(C243-$H$15,0)</f>
        <v>0</v>
      </c>
      <c r="E243" s="36" t="n">
        <v>0</v>
      </c>
      <c r="F243" s="17" t="n">
        <f aca="false">E243+$H$24-C243</f>
        <v>0.0225327607776965</v>
      </c>
    </row>
    <row r="244" customFormat="false" ht="15" hidden="false" customHeight="true" outlineLevel="0" collapsed="false">
      <c r="A244" s="23" t="n">
        <f aca="false">Daily_Returns_Raw_Data!A221</f>
        <v>42688</v>
      </c>
      <c r="B244" s="17" t="n">
        <f aca="false">SUMPRODUCT(Daily_Returns_Raw_Data!B221:X221,$AB$3:$AX$3)</f>
        <v>0.0574812237988169</v>
      </c>
      <c r="C244" s="17" t="n">
        <f aca="false">-B244</f>
        <v>-0.0574812237988169</v>
      </c>
      <c r="D244" s="17" t="n">
        <f aca="false">MAX(C244-$H$15,0)</f>
        <v>0</v>
      </c>
      <c r="E244" s="36" t="n">
        <v>0</v>
      </c>
      <c r="F244" s="17" t="n">
        <f aca="false">E244+$H$24-C244</f>
        <v>0.0712324328048169</v>
      </c>
    </row>
    <row r="245" customFormat="false" ht="15" hidden="false" customHeight="true" outlineLevel="0" collapsed="false">
      <c r="A245" s="23" t="n">
        <f aca="false">Daily_Returns_Raw_Data!A222</f>
        <v>42689</v>
      </c>
      <c r="B245" s="17" t="n">
        <f aca="false">SUMPRODUCT(Daily_Returns_Raw_Data!B222:X222,$AB$3:$AX$3)</f>
        <v>0.0240143045743763</v>
      </c>
      <c r="C245" s="17" t="n">
        <f aca="false">-B245</f>
        <v>-0.0240143045743763</v>
      </c>
      <c r="D245" s="17" t="n">
        <f aca="false">MAX(C245-$H$15,0)</f>
        <v>0</v>
      </c>
      <c r="E245" s="36" t="n">
        <v>0</v>
      </c>
      <c r="F245" s="17" t="n">
        <f aca="false">E245+$H$24-C245</f>
        <v>0.0377655135803763</v>
      </c>
    </row>
    <row r="246" customFormat="false" ht="15" hidden="false" customHeight="true" outlineLevel="0" collapsed="false">
      <c r="A246" s="23" t="n">
        <f aca="false">Daily_Returns_Raw_Data!A223</f>
        <v>42690</v>
      </c>
      <c r="B246" s="17" t="n">
        <f aca="false">SUMPRODUCT(Daily_Returns_Raw_Data!B223:X223,$AB$3:$AX$3)</f>
        <v>0.015983895535895</v>
      </c>
      <c r="C246" s="17" t="n">
        <f aca="false">-B246</f>
        <v>-0.015983895535895</v>
      </c>
      <c r="D246" s="17" t="n">
        <f aca="false">MAX(C246-$H$15,0)</f>
        <v>0</v>
      </c>
      <c r="E246" s="36" t="n">
        <v>0</v>
      </c>
      <c r="F246" s="17" t="n">
        <f aca="false">E246+$H$24-C246</f>
        <v>0.029735104541895</v>
      </c>
    </row>
    <row r="247" customFormat="false" ht="15" hidden="false" customHeight="true" outlineLevel="0" collapsed="false">
      <c r="A247" s="23" t="n">
        <f aca="false">Daily_Returns_Raw_Data!A224</f>
        <v>42691</v>
      </c>
      <c r="B247" s="17" t="n">
        <f aca="false">SUMPRODUCT(Daily_Returns_Raw_Data!B224:X224,$AB$3:$AX$3)</f>
        <v>0.0225294053739138</v>
      </c>
      <c r="C247" s="17" t="n">
        <f aca="false">-B247</f>
        <v>-0.0225294053739138</v>
      </c>
      <c r="D247" s="17" t="n">
        <f aca="false">MAX(C247-$H$15,0)</f>
        <v>0</v>
      </c>
      <c r="E247" s="36" t="n">
        <v>0</v>
      </c>
      <c r="F247" s="17" t="n">
        <f aca="false">E247+$H$24-C247</f>
        <v>0.0362806143799138</v>
      </c>
    </row>
    <row r="248" customFormat="false" ht="15" hidden="false" customHeight="true" outlineLevel="0" collapsed="false">
      <c r="A248" s="23" t="n">
        <f aca="false">Daily_Returns_Raw_Data!A225</f>
        <v>42692</v>
      </c>
      <c r="B248" s="17" t="n">
        <f aca="false">SUMPRODUCT(Daily_Returns_Raw_Data!B225:X225,$AB$3:$AX$3)</f>
        <v>-0.0207258809172219</v>
      </c>
      <c r="C248" s="17" t="n">
        <f aca="false">-B248</f>
        <v>0.0207258809172219</v>
      </c>
      <c r="D248" s="17" t="n">
        <f aca="false">MAX(C248-$H$15,0)</f>
        <v>0.00697467191097169</v>
      </c>
      <c r="E248" s="36" t="n">
        <v>0.006974671911</v>
      </c>
      <c r="F248" s="17" t="n">
        <f aca="false">E248+$H$24-C248</f>
        <v>-2.21878071471338E-013</v>
      </c>
    </row>
    <row r="249" customFormat="false" ht="15" hidden="false" customHeight="true" outlineLevel="0" collapsed="false">
      <c r="A249" s="23" t="n">
        <f aca="false">Daily_Returns_Raw_Data!A226</f>
        <v>42695</v>
      </c>
      <c r="B249" s="17" t="n">
        <f aca="false">SUMPRODUCT(Daily_Returns_Raw_Data!B226:X226,$AB$3:$AX$3)</f>
        <v>-0.0224273391537278</v>
      </c>
      <c r="C249" s="17" t="n">
        <f aca="false">-B249</f>
        <v>0.0224273391537278</v>
      </c>
      <c r="D249" s="17" t="n">
        <f aca="false">MAX(C249-$H$15,0)</f>
        <v>0.00867613014747763</v>
      </c>
      <c r="E249" s="36" t="n">
        <v>0.008676130148</v>
      </c>
      <c r="F249" s="17" t="n">
        <f aca="false">E249+$H$24-C249</f>
        <v>2.72181582827713E-013</v>
      </c>
    </row>
    <row r="250" customFormat="false" ht="15" hidden="false" customHeight="true" outlineLevel="0" collapsed="false">
      <c r="A250" s="23" t="n">
        <f aca="false">Daily_Returns_Raw_Data!A227</f>
        <v>42696</v>
      </c>
      <c r="B250" s="17" t="n">
        <f aca="false">SUMPRODUCT(Daily_Returns_Raw_Data!B227:X227,$AB$3:$AX$3)</f>
        <v>0.0256374980377805</v>
      </c>
      <c r="C250" s="17" t="n">
        <f aca="false">-B250</f>
        <v>-0.0256374980377805</v>
      </c>
      <c r="D250" s="17" t="n">
        <f aca="false">MAX(C250-$H$15,0)</f>
        <v>0</v>
      </c>
      <c r="E250" s="36" t="n">
        <v>0</v>
      </c>
      <c r="F250" s="17" t="n">
        <f aca="false">E250+$H$24-C250</f>
        <v>0.0393887070437805</v>
      </c>
    </row>
    <row r="251" customFormat="false" ht="15" hidden="false" customHeight="true" outlineLevel="0" collapsed="false">
      <c r="A251" s="23" t="n">
        <f aca="false">Daily_Returns_Raw_Data!A228</f>
        <v>42697</v>
      </c>
      <c r="B251" s="17" t="n">
        <f aca="false">SUMPRODUCT(Daily_Returns_Raw_Data!B228:X228,$AB$3:$AX$3)</f>
        <v>-0.00454622933972776</v>
      </c>
      <c r="C251" s="17" t="n">
        <f aca="false">-B251</f>
        <v>0.00454622933972776</v>
      </c>
      <c r="D251" s="17" t="n">
        <f aca="false">MAX(C251-$H$15,0)</f>
        <v>0</v>
      </c>
      <c r="E251" s="36" t="n">
        <v>0</v>
      </c>
      <c r="F251" s="17" t="n">
        <f aca="false">E251+$H$24-C251</f>
        <v>0.00920497966627224</v>
      </c>
    </row>
    <row r="252" customFormat="false" ht="15" hidden="false" customHeight="true" outlineLevel="0" collapsed="false">
      <c r="A252" s="23" t="n">
        <f aca="false">Daily_Returns_Raw_Data!A229</f>
        <v>42699</v>
      </c>
      <c r="B252" s="17" t="n">
        <f aca="false">SUMPRODUCT(Daily_Returns_Raw_Data!B229:X229,$AB$3:$AX$3)</f>
        <v>0.00430469834338126</v>
      </c>
      <c r="C252" s="17" t="n">
        <f aca="false">-B252</f>
        <v>-0.00430469834338126</v>
      </c>
      <c r="D252" s="17" t="n">
        <f aca="false">MAX(C252-$H$15,0)</f>
        <v>0</v>
      </c>
      <c r="E252" s="36" t="n">
        <v>0</v>
      </c>
      <c r="F252" s="17" t="n">
        <f aca="false">E252+$H$24-C252</f>
        <v>0.0180559073493813</v>
      </c>
    </row>
    <row r="253" customFormat="false" ht="15" hidden="false" customHeight="true" outlineLevel="0" collapsed="false">
      <c r="A253" s="23" t="n">
        <f aca="false">Daily_Returns_Raw_Data!A230</f>
        <v>42702</v>
      </c>
      <c r="B253" s="17" t="n">
        <f aca="false">SUMPRODUCT(Daily_Returns_Raw_Data!B230:X230,$AB$3:$AX$3)</f>
        <v>-0.00992135974364983</v>
      </c>
      <c r="C253" s="17" t="n">
        <f aca="false">-B253</f>
        <v>0.00992135974364983</v>
      </c>
      <c r="D253" s="17" t="n">
        <f aca="false">MAX(C253-$H$15,0)</f>
        <v>0</v>
      </c>
      <c r="E253" s="36" t="n">
        <v>0</v>
      </c>
      <c r="F253" s="17" t="n">
        <f aca="false">E253+$H$24-C253</f>
        <v>0.00382984926235017</v>
      </c>
    </row>
    <row r="254" customFormat="false" ht="15" hidden="false" customHeight="true" outlineLevel="0" collapsed="false">
      <c r="A254" s="23" t="n">
        <f aca="false">Daily_Returns_Raw_Data!A231</f>
        <v>42703</v>
      </c>
      <c r="B254" s="17" t="n">
        <f aca="false">SUMPRODUCT(Daily_Returns_Raw_Data!B231:X231,$AB$3:$AX$3)</f>
        <v>-0.00195116250297353</v>
      </c>
      <c r="C254" s="17" t="n">
        <f aca="false">-B254</f>
        <v>0.00195116250297353</v>
      </c>
      <c r="D254" s="17" t="n">
        <f aca="false">MAX(C254-$H$15,0)</f>
        <v>0</v>
      </c>
      <c r="E254" s="36" t="n">
        <v>0</v>
      </c>
      <c r="F254" s="17" t="n">
        <f aca="false">E254+$H$24-C254</f>
        <v>0.0118000465030265</v>
      </c>
    </row>
    <row r="255" customFormat="false" ht="15" hidden="false" customHeight="true" outlineLevel="0" collapsed="false">
      <c r="A255" s="23" t="n">
        <f aca="false">Daily_Returns_Raw_Data!A232</f>
        <v>42704</v>
      </c>
      <c r="B255" s="17" t="n">
        <f aca="false">SUMPRODUCT(Daily_Returns_Raw_Data!B232:X232,$AB$3:$AX$3)</f>
        <v>-0.0175866031741025</v>
      </c>
      <c r="C255" s="17" t="n">
        <f aca="false">-B255</f>
        <v>0.0175866031741025</v>
      </c>
      <c r="D255" s="17" t="n">
        <f aca="false">MAX(C255-$H$15,0)</f>
        <v>0.00383539416785234</v>
      </c>
      <c r="E255" s="36" t="n">
        <v>0.003835394168</v>
      </c>
      <c r="F255" s="17" t="n">
        <f aca="false">E255+$H$24-C255</f>
        <v>-1.02525626877181E-013</v>
      </c>
    </row>
    <row r="256" customFormat="false" ht="15" hidden="false" customHeight="true" outlineLevel="0" collapsed="false">
      <c r="A256" s="23" t="n">
        <f aca="false">Daily_Returns_Raw_Data!A233</f>
        <v>42705</v>
      </c>
      <c r="B256" s="17" t="n">
        <f aca="false">SUMPRODUCT(Daily_Returns_Raw_Data!B233:X233,$AB$3:$AX$3)</f>
        <v>-0.00810245005929754</v>
      </c>
      <c r="C256" s="17" t="n">
        <f aca="false">-B256</f>
        <v>0.00810245005929754</v>
      </c>
      <c r="D256" s="17" t="n">
        <f aca="false">MAX(C256-$H$15,0)</f>
        <v>0</v>
      </c>
      <c r="E256" s="36" t="n">
        <v>0</v>
      </c>
      <c r="F256" s="17" t="n">
        <f aca="false">E256+$H$24-C256</f>
        <v>0.00564875894670246</v>
      </c>
    </row>
    <row r="257" customFormat="false" ht="15" hidden="false" customHeight="true" outlineLevel="0" collapsed="false">
      <c r="A257" s="23" t="n">
        <f aca="false">Daily_Returns_Raw_Data!A234</f>
        <v>42706</v>
      </c>
      <c r="B257" s="17" t="n">
        <f aca="false">SUMPRODUCT(Daily_Returns_Raw_Data!B234:X234,$AB$3:$AX$3)</f>
        <v>-0.0182213973999964</v>
      </c>
      <c r="C257" s="17" t="n">
        <f aca="false">-B257</f>
        <v>0.0182213973999964</v>
      </c>
      <c r="D257" s="17" t="n">
        <f aca="false">MAX(C257-$H$15,0)</f>
        <v>0.00447018839374624</v>
      </c>
      <c r="E257" s="36" t="n">
        <v>0.004470188394</v>
      </c>
      <c r="F257" s="17" t="n">
        <f aca="false">E257+$H$24-C257</f>
        <v>3.57353036051222E-015</v>
      </c>
    </row>
    <row r="258" customFormat="false" ht="15" hidden="false" customHeight="true" outlineLevel="0" collapsed="false">
      <c r="A258" s="23" t="n">
        <f aca="false">Daily_Returns_Raw_Data!A235</f>
        <v>42709</v>
      </c>
      <c r="B258" s="17" t="n">
        <f aca="false">SUMPRODUCT(Daily_Returns_Raw_Data!B235:X235,$AB$3:$AX$3)</f>
        <v>-0.00485131860937197</v>
      </c>
      <c r="C258" s="17" t="n">
        <f aca="false">-B258</f>
        <v>0.00485131860937197</v>
      </c>
      <c r="D258" s="17" t="n">
        <f aca="false">MAX(C258-$H$15,0)</f>
        <v>0</v>
      </c>
      <c r="E258" s="36" t="n">
        <v>0</v>
      </c>
      <c r="F258" s="17" t="n">
        <f aca="false">E258+$H$24-C258</f>
        <v>0.00889989039662803</v>
      </c>
    </row>
    <row r="259" customFormat="false" ht="15" hidden="false" customHeight="true" outlineLevel="0" collapsed="false">
      <c r="A259" s="23" t="n">
        <f aca="false">Daily_Returns_Raw_Data!A236</f>
        <v>42710</v>
      </c>
      <c r="B259" s="17" t="n">
        <f aca="false">SUMPRODUCT(Daily_Returns_Raw_Data!B236:X236,$AB$3:$AX$3)</f>
        <v>0.0245344475091868</v>
      </c>
      <c r="C259" s="17" t="n">
        <f aca="false">-B259</f>
        <v>-0.0245344475091868</v>
      </c>
      <c r="D259" s="17" t="n">
        <f aca="false">MAX(C259-$H$15,0)</f>
        <v>0</v>
      </c>
      <c r="E259" s="36" t="n">
        <v>0</v>
      </c>
      <c r="F259" s="17" t="n">
        <f aca="false">E259+$H$24-C259</f>
        <v>0.0382856565151868</v>
      </c>
    </row>
    <row r="260" customFormat="false" ht="15" hidden="false" customHeight="true" outlineLevel="0" collapsed="false">
      <c r="A260" s="23" t="n">
        <f aca="false">Daily_Returns_Raw_Data!A237</f>
        <v>42711</v>
      </c>
      <c r="B260" s="17" t="n">
        <f aca="false">SUMPRODUCT(Daily_Returns_Raw_Data!B237:X237,$AB$3:$AX$3)</f>
        <v>-0.0160599639958329</v>
      </c>
      <c r="C260" s="17" t="n">
        <f aca="false">-B260</f>
        <v>0.0160599639958329</v>
      </c>
      <c r="D260" s="17" t="n">
        <f aca="false">MAX(C260-$H$15,0)</f>
        <v>0.00230875498958272</v>
      </c>
      <c r="E260" s="36" t="n">
        <v>0.00230875499</v>
      </c>
      <c r="F260" s="17" t="n">
        <f aca="false">E260+$H$24-C260</f>
        <v>1.6709550409999E-013</v>
      </c>
    </row>
    <row r="261" customFormat="false" ht="15" hidden="false" customHeight="true" outlineLevel="0" collapsed="false">
      <c r="A261" s="23" t="n">
        <f aca="false">Daily_Returns_Raw_Data!A238</f>
        <v>42712</v>
      </c>
      <c r="B261" s="17" t="n">
        <f aca="false">SUMPRODUCT(Daily_Returns_Raw_Data!B238:X238,$AB$3:$AX$3)</f>
        <v>0.00619830002326006</v>
      </c>
      <c r="C261" s="17" t="n">
        <f aca="false">-B261</f>
        <v>-0.00619830002326006</v>
      </c>
      <c r="D261" s="17" t="n">
        <f aca="false">MAX(C261-$H$15,0)</f>
        <v>0</v>
      </c>
      <c r="E261" s="36" t="n">
        <v>0</v>
      </c>
      <c r="F261" s="17" t="n">
        <f aca="false">E261+$H$24-C261</f>
        <v>0.0199495090292601</v>
      </c>
    </row>
    <row r="262" customFormat="false" ht="15" hidden="false" customHeight="true" outlineLevel="0" collapsed="false">
      <c r="A262" s="23" t="n">
        <f aca="false">Daily_Returns_Raw_Data!A239</f>
        <v>42713</v>
      </c>
      <c r="B262" s="17" t="n">
        <f aca="false">SUMPRODUCT(Daily_Returns_Raw_Data!B239:X239,$AB$3:$AX$3)</f>
        <v>0.0222314568869506</v>
      </c>
      <c r="C262" s="17" t="n">
        <f aca="false">-B262</f>
        <v>-0.0222314568869506</v>
      </c>
      <c r="D262" s="17" t="n">
        <f aca="false">MAX(C262-$H$15,0)</f>
        <v>0</v>
      </c>
      <c r="E262" s="36" t="n">
        <v>0</v>
      </c>
      <c r="F262" s="17" t="n">
        <f aca="false">E262+$H$24-C262</f>
        <v>0.0359826658929506</v>
      </c>
    </row>
    <row r="263" customFormat="false" ht="15" hidden="false" customHeight="true" outlineLevel="0" collapsed="false">
      <c r="A263" s="23" t="n">
        <f aca="false">Daily_Returns_Raw_Data!A240</f>
        <v>42716</v>
      </c>
      <c r="B263" s="17" t="n">
        <f aca="false">SUMPRODUCT(Daily_Returns_Raw_Data!B240:X240,$AB$3:$AX$3)</f>
        <v>0.0157115151847937</v>
      </c>
      <c r="C263" s="17" t="n">
        <f aca="false">-B263</f>
        <v>-0.0157115151847937</v>
      </c>
      <c r="D263" s="17" t="n">
        <f aca="false">MAX(C263-$H$15,0)</f>
        <v>0</v>
      </c>
      <c r="E263" s="36" t="n">
        <v>0</v>
      </c>
      <c r="F263" s="17" t="n">
        <f aca="false">E263+$H$24-C263</f>
        <v>0.0294627241907937</v>
      </c>
    </row>
    <row r="264" customFormat="false" ht="15" hidden="false" customHeight="true" outlineLevel="0" collapsed="false">
      <c r="A264" s="23" t="n">
        <f aca="false">Daily_Returns_Raw_Data!A241</f>
        <v>42717</v>
      </c>
      <c r="B264" s="17" t="n">
        <f aca="false">SUMPRODUCT(Daily_Returns_Raw_Data!B241:X241,$AB$3:$AX$3)</f>
        <v>-0.0225062392154516</v>
      </c>
      <c r="C264" s="17" t="n">
        <f aca="false">-B264</f>
        <v>0.0225062392154516</v>
      </c>
      <c r="D264" s="17" t="n">
        <f aca="false">MAX(C264-$H$15,0)</f>
        <v>0.00875503020920144</v>
      </c>
      <c r="E264" s="36" t="n">
        <v>0.008755030209</v>
      </c>
      <c r="F264" s="17" t="n">
        <f aca="false">E264+$H$24-C264</f>
        <v>-4.51624848629706E-013</v>
      </c>
    </row>
    <row r="265" customFormat="false" ht="15" hidden="false" customHeight="true" outlineLevel="0" collapsed="false">
      <c r="A265" s="23" t="n">
        <f aca="false">Daily_Returns_Raw_Data!A242</f>
        <v>42718</v>
      </c>
      <c r="B265" s="17" t="n">
        <f aca="false">SUMPRODUCT(Daily_Returns_Raw_Data!B242:X242,$AB$3:$AX$3)</f>
        <v>0.00899566396566773</v>
      </c>
      <c r="C265" s="17" t="n">
        <f aca="false">-B265</f>
        <v>-0.00899566396566773</v>
      </c>
      <c r="D265" s="17" t="n">
        <f aca="false">MAX(C265-$H$15,0)</f>
        <v>0</v>
      </c>
      <c r="E265" s="36" t="n">
        <v>0</v>
      </c>
      <c r="F265" s="17" t="n">
        <f aca="false">E265+$H$24-C265</f>
        <v>0.0227468729716677</v>
      </c>
    </row>
    <row r="266" customFormat="false" ht="15" hidden="false" customHeight="true" outlineLevel="0" collapsed="false">
      <c r="A266" s="23" t="n">
        <f aca="false">Daily_Returns_Raw_Data!A243</f>
        <v>42719</v>
      </c>
      <c r="B266" s="17" t="n">
        <f aca="false">SUMPRODUCT(Daily_Returns_Raw_Data!B243:X243,$AB$3:$AX$3)</f>
        <v>-0.00103029133541998</v>
      </c>
      <c r="C266" s="17" t="n">
        <f aca="false">-B266</f>
        <v>0.00103029133541998</v>
      </c>
      <c r="D266" s="17" t="n">
        <f aca="false">MAX(C266-$H$15,0)</f>
        <v>0</v>
      </c>
      <c r="E266" s="36" t="n">
        <v>0</v>
      </c>
      <c r="F266" s="17" t="n">
        <f aca="false">E266+$H$24-C266</f>
        <v>0.01272091767058</v>
      </c>
    </row>
    <row r="267" customFormat="false" ht="15" hidden="false" customHeight="true" outlineLevel="0" collapsed="false">
      <c r="A267" s="23" t="n">
        <f aca="false">Daily_Returns_Raw_Data!A244</f>
        <v>42720</v>
      </c>
      <c r="B267" s="17" t="n">
        <f aca="false">SUMPRODUCT(Daily_Returns_Raw_Data!B244:X244,$AB$3:$AX$3)</f>
        <v>-0.0215319082932371</v>
      </c>
      <c r="C267" s="17" t="n">
        <f aca="false">-B267</f>
        <v>0.0215319082932371</v>
      </c>
      <c r="D267" s="17" t="n">
        <f aca="false">MAX(C267-$H$15,0)</f>
        <v>0.00778069928698695</v>
      </c>
      <c r="E267" s="36" t="n">
        <v>0.007780699287</v>
      </c>
      <c r="F267" s="17" t="n">
        <f aca="false">E267+$H$24-C267</f>
        <v>-2.3713669916603E-013</v>
      </c>
    </row>
    <row r="268" customFormat="false" ht="15" hidden="false" customHeight="true" outlineLevel="0" collapsed="false">
      <c r="A268" s="23" t="n">
        <f aca="false">Daily_Returns_Raw_Data!A245</f>
        <v>42723</v>
      </c>
      <c r="B268" s="17" t="n">
        <f aca="false">SUMPRODUCT(Daily_Returns_Raw_Data!B245:X245,$AB$3:$AX$3)</f>
        <v>-0.000166632557241957</v>
      </c>
      <c r="C268" s="17" t="n">
        <f aca="false">-B268</f>
        <v>0.000166632557241957</v>
      </c>
      <c r="D268" s="17" t="n">
        <f aca="false">MAX(C268-$H$15,0)</f>
        <v>0</v>
      </c>
      <c r="E268" s="36" t="n">
        <v>0</v>
      </c>
      <c r="F268" s="17" t="n">
        <f aca="false">E268+$H$24-C268</f>
        <v>0.013584576448758</v>
      </c>
    </row>
    <row r="269" customFormat="false" ht="15" hidden="false" customHeight="true" outlineLevel="0" collapsed="false">
      <c r="A269" s="23" t="n">
        <f aca="false">Daily_Returns_Raw_Data!A246</f>
        <v>42724</v>
      </c>
      <c r="B269" s="17" t="n">
        <f aca="false">SUMPRODUCT(Daily_Returns_Raw_Data!B246:X246,$AB$3:$AX$3)</f>
        <v>-0.00173087418785057</v>
      </c>
      <c r="C269" s="17" t="n">
        <f aca="false">-B269</f>
        <v>0.00173087418785057</v>
      </c>
      <c r="D269" s="17" t="n">
        <f aca="false">MAX(C269-$H$15,0)</f>
        <v>0</v>
      </c>
      <c r="E269" s="36" t="n">
        <v>0</v>
      </c>
      <c r="F269" s="17" t="n">
        <f aca="false">E269+$H$24-C269</f>
        <v>0.0120203348181494</v>
      </c>
    </row>
    <row r="270" customFormat="false" ht="15" hidden="false" customHeight="true" outlineLevel="0" collapsed="false">
      <c r="A270" s="23" t="n">
        <f aca="false">Daily_Returns_Raw_Data!A247</f>
        <v>42725</v>
      </c>
      <c r="B270" s="17" t="n">
        <f aca="false">SUMPRODUCT(Daily_Returns_Raw_Data!B247:X247,$AB$3:$AX$3)</f>
        <v>0.012610032873353</v>
      </c>
      <c r="C270" s="17" t="n">
        <f aca="false">-B270</f>
        <v>-0.012610032873353</v>
      </c>
      <c r="D270" s="17" t="n">
        <f aca="false">MAX(C270-$H$15,0)</f>
        <v>0</v>
      </c>
      <c r="E270" s="36" t="n">
        <v>0</v>
      </c>
      <c r="F270" s="17" t="n">
        <f aca="false">E270+$H$24-C270</f>
        <v>0.026361241879353</v>
      </c>
    </row>
    <row r="271" customFormat="false" ht="15" hidden="false" customHeight="true" outlineLevel="0" collapsed="false">
      <c r="A271" s="23" t="n">
        <f aca="false">Daily_Returns_Raw_Data!A248</f>
        <v>42726</v>
      </c>
      <c r="B271" s="17" t="n">
        <f aca="false">SUMPRODUCT(Daily_Returns_Raw_Data!B248:X248,$AB$3:$AX$3)</f>
        <v>0.00439622269029113</v>
      </c>
      <c r="C271" s="17" t="n">
        <f aca="false">-B271</f>
        <v>-0.00439622269029113</v>
      </c>
      <c r="D271" s="17" t="n">
        <f aca="false">MAX(C271-$H$15,0)</f>
        <v>0</v>
      </c>
      <c r="E271" s="36" t="n">
        <v>0</v>
      </c>
      <c r="F271" s="17" t="n">
        <f aca="false">E271+$H$24-C271</f>
        <v>0.0181474316962911</v>
      </c>
    </row>
    <row r="272" customFormat="false" ht="15" hidden="false" customHeight="true" outlineLevel="0" collapsed="false">
      <c r="A272" s="23" t="n">
        <f aca="false">Daily_Returns_Raw_Data!A249</f>
        <v>42727</v>
      </c>
      <c r="B272" s="17" t="n">
        <f aca="false">SUMPRODUCT(Daily_Returns_Raw_Data!B249:X249,$AB$3:$AX$3)</f>
        <v>0.0101793519707709</v>
      </c>
      <c r="C272" s="17" t="n">
        <f aca="false">-B272</f>
        <v>-0.0101793519707709</v>
      </c>
      <c r="D272" s="17" t="n">
        <f aca="false">MAX(C272-$H$15,0)</f>
        <v>0</v>
      </c>
      <c r="E272" s="36" t="n">
        <v>0</v>
      </c>
      <c r="F272" s="17" t="n">
        <f aca="false">E272+$H$24-C272</f>
        <v>0.0239305609767709</v>
      </c>
    </row>
    <row r="273" customFormat="false" ht="15" hidden="false" customHeight="true" outlineLevel="0" collapsed="false">
      <c r="A273" s="23" t="n">
        <f aca="false">Daily_Returns_Raw_Data!A250</f>
        <v>42731</v>
      </c>
      <c r="B273" s="17" t="n">
        <f aca="false">SUMPRODUCT(Daily_Returns_Raw_Data!B250:X250,$AB$3:$AX$3)</f>
        <v>-0.0053529930244726</v>
      </c>
      <c r="C273" s="17" t="n">
        <f aca="false">-B273</f>
        <v>0.0053529930244726</v>
      </c>
      <c r="D273" s="17" t="n">
        <f aca="false">MAX(C273-$H$15,0)</f>
        <v>0</v>
      </c>
      <c r="E273" s="36" t="n">
        <v>0</v>
      </c>
      <c r="F273" s="17" t="n">
        <f aca="false">E273+$H$24-C273</f>
        <v>0.0083982159815274</v>
      </c>
    </row>
    <row r="274" customFormat="false" ht="15" hidden="false" customHeight="true" outlineLevel="0" collapsed="false">
      <c r="A274" s="23" t="n">
        <f aca="false">Daily_Returns_Raw_Data!A251</f>
        <v>42732</v>
      </c>
      <c r="B274" s="17" t="n">
        <f aca="false">SUMPRODUCT(Daily_Returns_Raw_Data!B251:X251,$AB$3:$AX$3)</f>
        <v>0.00482882245612988</v>
      </c>
      <c r="C274" s="17" t="n">
        <f aca="false">-B274</f>
        <v>-0.00482882245612988</v>
      </c>
      <c r="D274" s="17" t="n">
        <f aca="false">MAX(C274-$H$15,0)</f>
        <v>0</v>
      </c>
      <c r="E274" s="36" t="n">
        <v>0</v>
      </c>
      <c r="F274" s="17" t="n">
        <f aca="false">E274+$H$24-C274</f>
        <v>0.0185800314621299</v>
      </c>
    </row>
    <row r="275" customFormat="false" ht="15" hidden="false" customHeight="true" outlineLevel="0" collapsed="false">
      <c r="A275" s="23" t="n">
        <f aca="false">Daily_Returns_Raw_Data!A252</f>
        <v>42733</v>
      </c>
      <c r="B275" s="17" t="n">
        <f aca="false">SUMPRODUCT(Daily_Returns_Raw_Data!B252:X252,$AB$3:$AX$3)</f>
        <v>-0.00518367860513455</v>
      </c>
      <c r="C275" s="17" t="n">
        <f aca="false">-B275</f>
        <v>0.00518367860513455</v>
      </c>
      <c r="D275" s="17" t="n">
        <f aca="false">MAX(C275-$H$15,0)</f>
        <v>0</v>
      </c>
      <c r="E275" s="36" t="n">
        <v>0</v>
      </c>
      <c r="F275" s="17" t="n">
        <f aca="false">E275+$H$24-C275</f>
        <v>0.00856753040086545</v>
      </c>
    </row>
    <row r="276" customFormat="false" ht="15" hidden="false" customHeight="true" outlineLevel="0" collapsed="false">
      <c r="A276" s="23" t="n">
        <f aca="false">Daily_Returns_Raw_Data!A253</f>
        <v>42734</v>
      </c>
      <c r="B276" s="17" t="n">
        <f aca="false">SUMPRODUCT(Daily_Returns_Raw_Data!B253:X253,$AB$3:$AX$3)</f>
        <v>0.0190978772538914</v>
      </c>
      <c r="C276" s="17" t="n">
        <f aca="false">-B276</f>
        <v>-0.0190978772538914</v>
      </c>
      <c r="D276" s="17" t="n">
        <f aca="false">MAX(C276-$H$15,0)</f>
        <v>0</v>
      </c>
      <c r="E276" s="36" t="n">
        <v>0</v>
      </c>
      <c r="F276" s="17" t="n">
        <f aca="false">E276+$H$24-C276</f>
        <v>0.0328490862598914</v>
      </c>
    </row>
    <row r="277" customFormat="false" ht="15" hidden="false" customHeight="true" outlineLevel="0" collapsed="false">
      <c r="A277" s="23" t="n">
        <f aca="false">Daily_Returns_Raw_Data!A254</f>
        <v>42738</v>
      </c>
      <c r="B277" s="17" t="n">
        <f aca="false">SUMPRODUCT(Daily_Returns_Raw_Data!B254:X254,$AB$3:$AX$3)</f>
        <v>0.0109552083854755</v>
      </c>
      <c r="C277" s="17" t="n">
        <f aca="false">-B277</f>
        <v>-0.0109552083854755</v>
      </c>
      <c r="D277" s="17" t="n">
        <f aca="false">MAX(C277-$H$15,0)</f>
        <v>0</v>
      </c>
      <c r="E277" s="36" t="n">
        <v>0</v>
      </c>
      <c r="F277" s="17" t="n">
        <f aca="false">E277+$H$24-C277</f>
        <v>0.0247064173914755</v>
      </c>
    </row>
    <row r="278" customFormat="false" ht="15" hidden="false" customHeight="true" outlineLevel="0" collapsed="false">
      <c r="A278" s="23" t="n">
        <f aca="false">Daily_Returns_Raw_Data!A255</f>
        <v>42739</v>
      </c>
      <c r="B278" s="17" t="n">
        <f aca="false">SUMPRODUCT(Daily_Returns_Raw_Data!B255:X255,$AB$3:$AX$3)</f>
        <v>0.00646013117565193</v>
      </c>
      <c r="C278" s="17" t="n">
        <f aca="false">-B278</f>
        <v>-0.00646013117565193</v>
      </c>
      <c r="D278" s="17" t="n">
        <f aca="false">MAX(C278-$H$15,0)</f>
        <v>0</v>
      </c>
      <c r="E278" s="36" t="n">
        <v>0</v>
      </c>
      <c r="F278" s="17" t="n">
        <f aca="false">E278+$H$24-C278</f>
        <v>0.0202113401816519</v>
      </c>
    </row>
    <row r="279" customFormat="false" ht="15" hidden="false" customHeight="true" outlineLevel="0" collapsed="false">
      <c r="A279" s="23" t="n">
        <f aca="false">Daily_Returns_Raw_Data!A256</f>
        <v>42740</v>
      </c>
      <c r="B279" s="17" t="n">
        <f aca="false">SUMPRODUCT(Daily_Returns_Raw_Data!B256:X256,$AB$3:$AX$3)</f>
        <v>-0.00352330037730541</v>
      </c>
      <c r="C279" s="17" t="n">
        <f aca="false">-B279</f>
        <v>0.00352330037730541</v>
      </c>
      <c r="D279" s="17" t="n">
        <f aca="false">MAX(C279-$H$15,0)</f>
        <v>0</v>
      </c>
      <c r="E279" s="36" t="n">
        <v>0</v>
      </c>
      <c r="F279" s="17" t="n">
        <f aca="false">E279+$H$24-C279</f>
        <v>0.0102279086286946</v>
      </c>
    </row>
    <row r="280" customFormat="false" ht="15" hidden="false" customHeight="true" outlineLevel="0" collapsed="false">
      <c r="A280" s="23" t="n">
        <f aca="false">Daily_Returns_Raw_Data!A257</f>
        <v>42741</v>
      </c>
      <c r="B280" s="17" t="n">
        <f aca="false">SUMPRODUCT(Daily_Returns_Raw_Data!B257:X257,$AB$3:$AX$3)</f>
        <v>0.0112988217289752</v>
      </c>
      <c r="C280" s="17" t="n">
        <f aca="false">-B280</f>
        <v>-0.0112988217289752</v>
      </c>
      <c r="D280" s="17" t="n">
        <f aca="false">MAX(C280-$H$15,0)</f>
        <v>0</v>
      </c>
      <c r="E280" s="36" t="n">
        <v>0</v>
      </c>
      <c r="F280" s="17" t="n">
        <f aca="false">E280+$H$24-C280</f>
        <v>0.0250500307349752</v>
      </c>
    </row>
    <row r="281" customFormat="false" ht="15" hidden="false" customHeight="true" outlineLevel="0" collapsed="false">
      <c r="A281" s="23" t="n">
        <f aca="false">Daily_Returns_Raw_Data!A258</f>
        <v>42744</v>
      </c>
      <c r="B281" s="17" t="n">
        <f aca="false">SUMPRODUCT(Daily_Returns_Raw_Data!B258:X258,$AB$3:$AX$3)</f>
        <v>0.00235852166453261</v>
      </c>
      <c r="C281" s="17" t="n">
        <f aca="false">-B281</f>
        <v>-0.00235852166453261</v>
      </c>
      <c r="D281" s="17" t="n">
        <f aca="false">MAX(C281-$H$15,0)</f>
        <v>0</v>
      </c>
      <c r="E281" s="36" t="n">
        <v>0</v>
      </c>
      <c r="F281" s="17" t="n">
        <f aca="false">E281+$H$24-C281</f>
        <v>0.0161097306705326</v>
      </c>
    </row>
    <row r="282" customFormat="false" ht="15" hidden="false" customHeight="true" outlineLevel="0" collapsed="false">
      <c r="A282" s="23" t="n">
        <f aca="false">Daily_Returns_Raw_Data!A259</f>
        <v>42745</v>
      </c>
      <c r="B282" s="17" t="n">
        <f aca="false">SUMPRODUCT(Daily_Returns_Raw_Data!B259:X259,$AB$3:$AX$3)</f>
        <v>-0.00301060370864812</v>
      </c>
      <c r="C282" s="17" t="n">
        <f aca="false">-B282</f>
        <v>0.00301060370864812</v>
      </c>
      <c r="D282" s="17" t="n">
        <f aca="false">MAX(C282-$H$15,0)</f>
        <v>0</v>
      </c>
      <c r="E282" s="36" t="n">
        <v>0</v>
      </c>
      <c r="F282" s="17" t="n">
        <f aca="false">E282+$H$24-C282</f>
        <v>0.0107406052973519</v>
      </c>
    </row>
    <row r="283" customFormat="false" ht="15" hidden="false" customHeight="true" outlineLevel="0" collapsed="false">
      <c r="A283" s="23" t="n">
        <f aca="false">Daily_Returns_Raw_Data!A260</f>
        <v>42746</v>
      </c>
      <c r="B283" s="17" t="n">
        <f aca="false">SUMPRODUCT(Daily_Returns_Raw_Data!B260:X260,$AB$3:$AX$3)</f>
        <v>-0.000928580996265369</v>
      </c>
      <c r="C283" s="17" t="n">
        <f aca="false">-B283</f>
        <v>0.000928580996265369</v>
      </c>
      <c r="D283" s="17" t="n">
        <f aca="false">MAX(C283-$H$15,0)</f>
        <v>0</v>
      </c>
      <c r="E283" s="36" t="n">
        <v>0</v>
      </c>
      <c r="F283" s="17" t="n">
        <f aca="false">E283+$H$24-C283</f>
        <v>0.0128226280097346</v>
      </c>
    </row>
    <row r="284" customFormat="false" ht="15" hidden="false" customHeight="true" outlineLevel="0" collapsed="false">
      <c r="A284" s="23" t="n">
        <f aca="false">Daily_Returns_Raw_Data!A261</f>
        <v>42747</v>
      </c>
      <c r="B284" s="17" t="n">
        <f aca="false">SUMPRODUCT(Daily_Returns_Raw_Data!B261:X261,$AB$3:$AX$3)</f>
        <v>0.00275070516165836</v>
      </c>
      <c r="C284" s="17" t="n">
        <f aca="false">-B284</f>
        <v>-0.00275070516165836</v>
      </c>
      <c r="D284" s="17" t="n">
        <f aca="false">MAX(C284-$H$15,0)</f>
        <v>0</v>
      </c>
      <c r="E284" s="36" t="n">
        <v>0</v>
      </c>
      <c r="F284" s="17" t="n">
        <f aca="false">E284+$H$24-C284</f>
        <v>0.0165019141676584</v>
      </c>
    </row>
    <row r="285" customFormat="false" ht="15" hidden="false" customHeight="true" outlineLevel="0" collapsed="false">
      <c r="A285" s="23" t="n">
        <f aca="false">Daily_Returns_Raw_Data!A262</f>
        <v>42748</v>
      </c>
      <c r="B285" s="17" t="n">
        <f aca="false">SUMPRODUCT(Daily_Returns_Raw_Data!B262:X262,$AB$3:$AX$3)</f>
        <v>0.00930284601432612</v>
      </c>
      <c r="C285" s="17" t="n">
        <f aca="false">-B285</f>
        <v>-0.00930284601432612</v>
      </c>
      <c r="D285" s="17" t="n">
        <f aca="false">MAX(C285-$H$15,0)</f>
        <v>0</v>
      </c>
      <c r="E285" s="36" t="n">
        <v>0</v>
      </c>
      <c r="F285" s="17" t="n">
        <f aca="false">E285+$H$24-C285</f>
        <v>0.0230540550203261</v>
      </c>
    </row>
    <row r="286" customFormat="false" ht="15" hidden="false" customHeight="true" outlineLevel="0" collapsed="false">
      <c r="A286" s="23" t="n">
        <f aca="false">Daily_Returns_Raw_Data!A263</f>
        <v>42752</v>
      </c>
      <c r="B286" s="17" t="n">
        <f aca="false">SUMPRODUCT(Daily_Returns_Raw_Data!B263:X263,$AB$3:$AX$3)</f>
        <v>-0.00290335431923582</v>
      </c>
      <c r="C286" s="17" t="n">
        <f aca="false">-B286</f>
        <v>0.00290335431923582</v>
      </c>
      <c r="D286" s="17" t="n">
        <f aca="false">MAX(C286-$H$15,0)</f>
        <v>0</v>
      </c>
      <c r="E286" s="36" t="n">
        <v>0</v>
      </c>
      <c r="F286" s="17" t="n">
        <f aca="false">E286+$H$24-C286</f>
        <v>0.0108478546867642</v>
      </c>
    </row>
    <row r="287" customFormat="false" ht="15" hidden="false" customHeight="true" outlineLevel="0" collapsed="false">
      <c r="A287" s="23" t="n">
        <f aca="false">Daily_Returns_Raw_Data!A264</f>
        <v>42753</v>
      </c>
      <c r="B287" s="17" t="n">
        <f aca="false">SUMPRODUCT(Daily_Returns_Raw_Data!B264:X264,$AB$3:$AX$3)</f>
        <v>-0.00182907328003108</v>
      </c>
      <c r="C287" s="17" t="n">
        <f aca="false">-B287</f>
        <v>0.00182907328003108</v>
      </c>
      <c r="D287" s="17" t="n">
        <f aca="false">MAX(C287-$H$15,0)</f>
        <v>0</v>
      </c>
      <c r="E287" s="36" t="n">
        <v>0</v>
      </c>
      <c r="F287" s="17" t="n">
        <f aca="false">E287+$H$24-C287</f>
        <v>0.0119221357259689</v>
      </c>
    </row>
    <row r="288" customFormat="false" ht="15" hidden="false" customHeight="true" outlineLevel="0" collapsed="false">
      <c r="A288" s="23" t="n">
        <f aca="false">Daily_Returns_Raw_Data!A265</f>
        <v>42754</v>
      </c>
      <c r="B288" s="17" t="n">
        <f aca="false">SUMPRODUCT(Daily_Returns_Raw_Data!B265:X265,$AB$3:$AX$3)</f>
        <v>0.00724827438984754</v>
      </c>
      <c r="C288" s="17" t="n">
        <f aca="false">-B288</f>
        <v>-0.00724827438984754</v>
      </c>
      <c r="D288" s="17" t="n">
        <f aca="false">MAX(C288-$H$15,0)</f>
        <v>0</v>
      </c>
      <c r="E288" s="36" t="n">
        <v>0</v>
      </c>
      <c r="F288" s="17" t="n">
        <f aca="false">E288+$H$24-C288</f>
        <v>0.0209994833958475</v>
      </c>
    </row>
    <row r="289" customFormat="false" ht="15" hidden="false" customHeight="true" outlineLevel="0" collapsed="false">
      <c r="A289" s="23" t="n">
        <f aca="false">Daily_Returns_Raw_Data!A266</f>
        <v>42755</v>
      </c>
      <c r="B289" s="17" t="n">
        <f aca="false">SUMPRODUCT(Daily_Returns_Raw_Data!B266:X266,$AB$3:$AX$3)</f>
        <v>0.0140108557423976</v>
      </c>
      <c r="C289" s="17" t="n">
        <f aca="false">-B289</f>
        <v>-0.0140108557423976</v>
      </c>
      <c r="D289" s="17" t="n">
        <f aca="false">MAX(C289-$H$15,0)</f>
        <v>0</v>
      </c>
      <c r="E289" s="36" t="n">
        <v>0</v>
      </c>
      <c r="F289" s="17" t="n">
        <f aca="false">E289+$H$24-C289</f>
        <v>0.0277620647483976</v>
      </c>
    </row>
    <row r="290" customFormat="false" ht="15" hidden="false" customHeight="true" outlineLevel="0" collapsed="false">
      <c r="A290" s="23" t="n">
        <f aca="false">Daily_Returns_Raw_Data!A267</f>
        <v>42758</v>
      </c>
      <c r="B290" s="17" t="n">
        <f aca="false">SUMPRODUCT(Daily_Returns_Raw_Data!B267:X267,$AB$3:$AX$3)</f>
        <v>0.00465711712439783</v>
      </c>
      <c r="C290" s="17" t="n">
        <f aca="false">-B290</f>
        <v>-0.00465711712439783</v>
      </c>
      <c r="D290" s="17" t="n">
        <f aca="false">MAX(C290-$H$15,0)</f>
        <v>0</v>
      </c>
      <c r="E290" s="36" t="n">
        <v>0</v>
      </c>
      <c r="F290" s="17" t="n">
        <f aca="false">E290+$H$24-C290</f>
        <v>0.0184083261303978</v>
      </c>
    </row>
    <row r="291" customFormat="false" ht="15" hidden="false" customHeight="true" outlineLevel="0" collapsed="false">
      <c r="A291" s="23" t="n">
        <f aca="false">Daily_Returns_Raw_Data!A268</f>
        <v>42759</v>
      </c>
      <c r="B291" s="17" t="n">
        <f aca="false">SUMPRODUCT(Daily_Returns_Raw_Data!B268:X268,$AB$3:$AX$3)</f>
        <v>0.000870564460442657</v>
      </c>
      <c r="C291" s="17" t="n">
        <f aca="false">-B291</f>
        <v>-0.000870564460442657</v>
      </c>
      <c r="D291" s="17" t="n">
        <f aca="false">MAX(C291-$H$15,0)</f>
        <v>0</v>
      </c>
      <c r="E291" s="36" t="n">
        <v>0</v>
      </c>
      <c r="F291" s="17" t="n">
        <f aca="false">E291+$H$24-C291</f>
        <v>0.0146217734664427</v>
      </c>
    </row>
    <row r="292" customFormat="false" ht="15" hidden="false" customHeight="true" outlineLevel="0" collapsed="false">
      <c r="A292" s="23" t="n">
        <f aca="false">Daily_Returns_Raw_Data!A269</f>
        <v>42760</v>
      </c>
      <c r="B292" s="17" t="n">
        <f aca="false">SUMPRODUCT(Daily_Returns_Raw_Data!B269:X269,$AB$3:$AX$3)</f>
        <v>-0.00751189376042537</v>
      </c>
      <c r="C292" s="17" t="n">
        <f aca="false">-B292</f>
        <v>0.00751189376042537</v>
      </c>
      <c r="D292" s="17" t="n">
        <f aca="false">MAX(C292-$H$15,0)</f>
        <v>0</v>
      </c>
      <c r="E292" s="36" t="n">
        <v>0</v>
      </c>
      <c r="F292" s="17" t="n">
        <f aca="false">E292+$H$24-C292</f>
        <v>0.00623931524557463</v>
      </c>
    </row>
    <row r="293" customFormat="false" ht="15" hidden="false" customHeight="true" outlineLevel="0" collapsed="false">
      <c r="A293" s="23" t="n">
        <f aca="false">Daily_Returns_Raw_Data!A270</f>
        <v>42761</v>
      </c>
      <c r="B293" s="17" t="n">
        <f aca="false">SUMPRODUCT(Daily_Returns_Raw_Data!B270:X270,$AB$3:$AX$3)</f>
        <v>0.00070548022701662</v>
      </c>
      <c r="C293" s="17" t="n">
        <f aca="false">-B293</f>
        <v>-0.00070548022701662</v>
      </c>
      <c r="D293" s="17" t="n">
        <f aca="false">MAX(C293-$H$15,0)</f>
        <v>0</v>
      </c>
      <c r="E293" s="36" t="n">
        <v>0</v>
      </c>
      <c r="F293" s="17" t="n">
        <f aca="false">E293+$H$24-C293</f>
        <v>0.0144566892330166</v>
      </c>
    </row>
    <row r="294" customFormat="false" ht="15" hidden="false" customHeight="true" outlineLevel="0" collapsed="false">
      <c r="A294" s="23" t="n">
        <f aca="false">Daily_Returns_Raw_Data!A271</f>
        <v>42762</v>
      </c>
      <c r="B294" s="17" t="n">
        <f aca="false">SUMPRODUCT(Daily_Returns_Raw_Data!B271:X271,$AB$3:$AX$3)</f>
        <v>-0.0133682247742686</v>
      </c>
      <c r="C294" s="17" t="n">
        <f aca="false">-B294</f>
        <v>0.0133682247742686</v>
      </c>
      <c r="D294" s="17" t="n">
        <f aca="false">MAX(C294-$H$15,0)</f>
        <v>0</v>
      </c>
      <c r="E294" s="36" t="n">
        <v>0</v>
      </c>
      <c r="F294" s="17" t="n">
        <f aca="false">E294+$H$24-C294</f>
        <v>0.000382984231731396</v>
      </c>
    </row>
    <row r="295" customFormat="false" ht="15" hidden="false" customHeight="true" outlineLevel="0" collapsed="false">
      <c r="A295" s="23" t="n">
        <f aca="false">Daily_Returns_Raw_Data!A272</f>
        <v>42765</v>
      </c>
      <c r="B295" s="17" t="n">
        <f aca="false">SUMPRODUCT(Daily_Returns_Raw_Data!B272:X272,$AB$3:$AX$3)</f>
        <v>0.00126024093093861</v>
      </c>
      <c r="C295" s="17" t="n">
        <f aca="false">-B295</f>
        <v>-0.00126024093093861</v>
      </c>
      <c r="D295" s="17" t="n">
        <f aca="false">MAX(C295-$H$15,0)</f>
        <v>0</v>
      </c>
      <c r="E295" s="36" t="n">
        <v>0</v>
      </c>
      <c r="F295" s="17" t="n">
        <f aca="false">E295+$H$24-C295</f>
        <v>0.0150114499369386</v>
      </c>
    </row>
    <row r="296" customFormat="false" ht="15" hidden="false" customHeight="true" outlineLevel="0" collapsed="false">
      <c r="A296" s="23" t="n">
        <f aca="false">Daily_Returns_Raw_Data!A273</f>
        <v>42766</v>
      </c>
      <c r="B296" s="17" t="n">
        <f aca="false">SUMPRODUCT(Daily_Returns_Raw_Data!B273:X273,$AB$3:$AX$3)</f>
        <v>0.010426751872026</v>
      </c>
      <c r="C296" s="17" t="n">
        <f aca="false">-B296</f>
        <v>-0.010426751872026</v>
      </c>
      <c r="D296" s="17" t="n">
        <f aca="false">MAX(C296-$H$15,0)</f>
        <v>0</v>
      </c>
      <c r="E296" s="36" t="n">
        <v>0</v>
      </c>
      <c r="F296" s="17" t="n">
        <f aca="false">E296+$H$24-C296</f>
        <v>0.024177960878026</v>
      </c>
    </row>
    <row r="297" customFormat="false" ht="15" hidden="false" customHeight="true" outlineLevel="0" collapsed="false">
      <c r="A297" s="23" t="n">
        <f aca="false">Daily_Returns_Raw_Data!A274</f>
        <v>42767</v>
      </c>
      <c r="B297" s="17" t="n">
        <f aca="false">SUMPRODUCT(Daily_Returns_Raw_Data!B274:X274,$AB$3:$AX$3)</f>
        <v>0.000206029910087453</v>
      </c>
      <c r="C297" s="17" t="n">
        <f aca="false">-B297</f>
        <v>-0.000206029910087453</v>
      </c>
      <c r="D297" s="17" t="n">
        <f aca="false">MAX(C297-$H$15,0)</f>
        <v>0</v>
      </c>
      <c r="E297" s="36" t="n">
        <v>0</v>
      </c>
      <c r="F297" s="17" t="n">
        <f aca="false">E297+$H$24-C297</f>
        <v>0.0139572389160875</v>
      </c>
    </row>
    <row r="298" customFormat="false" ht="15" hidden="false" customHeight="true" outlineLevel="0" collapsed="false">
      <c r="A298" s="23" t="n">
        <f aca="false">Daily_Returns_Raw_Data!A275</f>
        <v>42768</v>
      </c>
      <c r="B298" s="17" t="n">
        <f aca="false">SUMPRODUCT(Daily_Returns_Raw_Data!B275:X275,$AB$3:$AX$3)</f>
        <v>0.00423867277455421</v>
      </c>
      <c r="C298" s="17" t="n">
        <f aca="false">-B298</f>
        <v>-0.00423867277455421</v>
      </c>
      <c r="D298" s="17" t="n">
        <f aca="false">MAX(C298-$H$15,0)</f>
        <v>0</v>
      </c>
      <c r="E298" s="36" t="n">
        <v>0</v>
      </c>
      <c r="F298" s="17" t="n">
        <f aca="false">E298+$H$24-C298</f>
        <v>0.0179898817805542</v>
      </c>
    </row>
    <row r="299" customFormat="false" ht="15" hidden="false" customHeight="true" outlineLevel="0" collapsed="false">
      <c r="A299" s="23" t="n">
        <f aca="false">Daily_Returns_Raw_Data!A276</f>
        <v>42769</v>
      </c>
      <c r="B299" s="17" t="n">
        <f aca="false">SUMPRODUCT(Daily_Returns_Raw_Data!B276:X276,$AB$3:$AX$3)</f>
        <v>0.00253578882024539</v>
      </c>
      <c r="C299" s="17" t="n">
        <f aca="false">-B299</f>
        <v>-0.00253578882024539</v>
      </c>
      <c r="D299" s="17" t="n">
        <f aca="false">MAX(C299-$H$15,0)</f>
        <v>0</v>
      </c>
      <c r="E299" s="36" t="n">
        <v>0</v>
      </c>
      <c r="F299" s="17" t="n">
        <f aca="false">E299+$H$24-C299</f>
        <v>0.0162869978262454</v>
      </c>
    </row>
    <row r="300" customFormat="false" ht="15" hidden="false" customHeight="true" outlineLevel="0" collapsed="false">
      <c r="A300" s="23" t="n">
        <f aca="false">Daily_Returns_Raw_Data!A277</f>
        <v>42772</v>
      </c>
      <c r="B300" s="17" t="n">
        <f aca="false">SUMPRODUCT(Daily_Returns_Raw_Data!B277:X277,$AB$3:$AX$3)</f>
        <v>0.0103745013904289</v>
      </c>
      <c r="C300" s="17" t="n">
        <f aca="false">-B300</f>
        <v>-0.0103745013904289</v>
      </c>
      <c r="D300" s="17" t="n">
        <f aca="false">MAX(C300-$H$15,0)</f>
        <v>0</v>
      </c>
      <c r="E300" s="36" t="n">
        <v>0</v>
      </c>
      <c r="F300" s="17" t="n">
        <f aca="false">E300+$H$24-C300</f>
        <v>0.0241257103964289</v>
      </c>
    </row>
    <row r="301" customFormat="false" ht="15" hidden="false" customHeight="true" outlineLevel="0" collapsed="false">
      <c r="A301" s="23" t="n">
        <f aca="false">Daily_Returns_Raw_Data!A278</f>
        <v>42773</v>
      </c>
      <c r="B301" s="17" t="n">
        <f aca="false">SUMPRODUCT(Daily_Returns_Raw_Data!B278:X278,$AB$3:$AX$3)</f>
        <v>0.00986473542916552</v>
      </c>
      <c r="C301" s="17" t="n">
        <f aca="false">-B301</f>
        <v>-0.00986473542916552</v>
      </c>
      <c r="D301" s="17" t="n">
        <f aca="false">MAX(C301-$H$15,0)</f>
        <v>0</v>
      </c>
      <c r="E301" s="36" t="n">
        <v>0</v>
      </c>
      <c r="F301" s="17" t="n">
        <f aca="false">E301+$H$24-C301</f>
        <v>0.0236159444351655</v>
      </c>
    </row>
    <row r="302" customFormat="false" ht="15" hidden="false" customHeight="true" outlineLevel="0" collapsed="false">
      <c r="A302" s="23" t="n">
        <f aca="false">Daily_Returns_Raw_Data!A279</f>
        <v>42774</v>
      </c>
      <c r="B302" s="17" t="n">
        <f aca="false">SUMPRODUCT(Daily_Returns_Raw_Data!B279:X279,$AB$3:$AX$3)</f>
        <v>0.0057452987574141</v>
      </c>
      <c r="C302" s="17" t="n">
        <f aca="false">-B302</f>
        <v>-0.0057452987574141</v>
      </c>
      <c r="D302" s="17" t="n">
        <f aca="false">MAX(C302-$H$15,0)</f>
        <v>0</v>
      </c>
      <c r="E302" s="36" t="n">
        <v>0</v>
      </c>
      <c r="F302" s="17" t="n">
        <f aca="false">E302+$H$24-C302</f>
        <v>0.0194965077634141</v>
      </c>
    </row>
    <row r="303" customFormat="false" ht="15" hidden="false" customHeight="true" outlineLevel="0" collapsed="false">
      <c r="A303" s="23" t="n">
        <f aca="false">Daily_Returns_Raw_Data!A280</f>
        <v>42775</v>
      </c>
      <c r="B303" s="17" t="n">
        <f aca="false">SUMPRODUCT(Daily_Returns_Raw_Data!B280:X280,$AB$3:$AX$3)</f>
        <v>1.88276092173506E-005</v>
      </c>
      <c r="C303" s="17" t="n">
        <f aca="false">-B303</f>
        <v>-1.88276092173506E-005</v>
      </c>
      <c r="D303" s="17" t="n">
        <f aca="false">MAX(C303-$H$15,0)</f>
        <v>0</v>
      </c>
      <c r="E303" s="36" t="n">
        <v>0</v>
      </c>
      <c r="F303" s="17" t="n">
        <f aca="false">E303+$H$24-C303</f>
        <v>0.0137700366152174</v>
      </c>
    </row>
    <row r="304" customFormat="false" ht="15" hidden="false" customHeight="true" outlineLevel="0" collapsed="false">
      <c r="A304" s="23" t="n">
        <f aca="false">Daily_Returns_Raw_Data!A281</f>
        <v>42776</v>
      </c>
      <c r="B304" s="17" t="n">
        <f aca="false">SUMPRODUCT(Daily_Returns_Raw_Data!B281:X281,$AB$3:$AX$3)</f>
        <v>0.00444983484758515</v>
      </c>
      <c r="C304" s="17" t="n">
        <f aca="false">-B304</f>
        <v>-0.00444983484758515</v>
      </c>
      <c r="D304" s="17" t="n">
        <f aca="false">MAX(C304-$H$15,0)</f>
        <v>0</v>
      </c>
      <c r="E304" s="36" t="n">
        <v>0</v>
      </c>
      <c r="F304" s="17" t="n">
        <f aca="false">E304+$H$24-C304</f>
        <v>0.0182010438535851</v>
      </c>
    </row>
    <row r="305" customFormat="false" ht="15" hidden="false" customHeight="true" outlineLevel="0" collapsed="false">
      <c r="A305" s="23" t="n">
        <f aca="false">Daily_Returns_Raw_Data!A282</f>
        <v>42779</v>
      </c>
      <c r="B305" s="17" t="n">
        <f aca="false">SUMPRODUCT(Daily_Returns_Raw_Data!B282:X282,$AB$3:$AX$3)</f>
        <v>-0.00151262020704665</v>
      </c>
      <c r="C305" s="17" t="n">
        <f aca="false">-B305</f>
        <v>0.00151262020704665</v>
      </c>
      <c r="D305" s="17" t="n">
        <f aca="false">MAX(C305-$H$15,0)</f>
        <v>0</v>
      </c>
      <c r="E305" s="36" t="n">
        <v>0</v>
      </c>
      <c r="F305" s="17" t="n">
        <f aca="false">E305+$H$24-C305</f>
        <v>0.0122385887989533</v>
      </c>
    </row>
    <row r="306" customFormat="false" ht="15" hidden="false" customHeight="true" outlineLevel="0" collapsed="false">
      <c r="A306" s="23" t="n">
        <f aca="false">Daily_Returns_Raw_Data!A283</f>
        <v>42780</v>
      </c>
      <c r="B306" s="17" t="n">
        <f aca="false">SUMPRODUCT(Daily_Returns_Raw_Data!B283:X283,$AB$3:$AX$3)</f>
        <v>0.00965535179405485</v>
      </c>
      <c r="C306" s="17" t="n">
        <f aca="false">-B306</f>
        <v>-0.00965535179405485</v>
      </c>
      <c r="D306" s="17" t="n">
        <f aca="false">MAX(C306-$H$15,0)</f>
        <v>0</v>
      </c>
      <c r="E306" s="36" t="n">
        <v>0</v>
      </c>
      <c r="F306" s="17" t="n">
        <f aca="false">E306+$H$24-C306</f>
        <v>0.0234065608000549</v>
      </c>
    </row>
    <row r="307" customFormat="false" ht="15" hidden="false" customHeight="true" outlineLevel="0" collapsed="false">
      <c r="A307" s="23" t="n">
        <f aca="false">Daily_Returns_Raw_Data!A284</f>
        <v>42781</v>
      </c>
      <c r="B307" s="17" t="n">
        <f aca="false">SUMPRODUCT(Daily_Returns_Raw_Data!B284:X284,$AB$3:$AX$3)</f>
        <v>0.00646720657444754</v>
      </c>
      <c r="C307" s="17" t="n">
        <f aca="false">-B307</f>
        <v>-0.00646720657444754</v>
      </c>
      <c r="D307" s="17" t="n">
        <f aca="false">MAX(C307-$H$15,0)</f>
        <v>0</v>
      </c>
      <c r="E307" s="36" t="n">
        <v>0</v>
      </c>
      <c r="F307" s="17" t="n">
        <f aca="false">E307+$H$24-C307</f>
        <v>0.0202184155804475</v>
      </c>
    </row>
    <row r="308" customFormat="false" ht="15" hidden="false" customHeight="true" outlineLevel="0" collapsed="false">
      <c r="A308" s="23" t="n">
        <f aca="false">Daily_Returns_Raw_Data!A285</f>
        <v>42782</v>
      </c>
      <c r="B308" s="17" t="n">
        <f aca="false">SUMPRODUCT(Daily_Returns_Raw_Data!B285:X285,$AB$3:$AX$3)</f>
        <v>0.00321219532708169</v>
      </c>
      <c r="C308" s="17" t="n">
        <f aca="false">-B308</f>
        <v>-0.00321219532708169</v>
      </c>
      <c r="D308" s="17" t="n">
        <f aca="false">MAX(C308-$H$15,0)</f>
        <v>0</v>
      </c>
      <c r="E308" s="36" t="n">
        <v>0</v>
      </c>
      <c r="F308" s="17" t="n">
        <f aca="false">E308+$H$24-C308</f>
        <v>0.0169634043330817</v>
      </c>
    </row>
    <row r="309" customFormat="false" ht="15" hidden="false" customHeight="true" outlineLevel="0" collapsed="false">
      <c r="A309" s="23" t="n">
        <f aca="false">Daily_Returns_Raw_Data!A286</f>
        <v>42783</v>
      </c>
      <c r="B309" s="17" t="n">
        <f aca="false">SUMPRODUCT(Daily_Returns_Raw_Data!B286:X286,$AB$3:$AX$3)</f>
        <v>0.0179408104177289</v>
      </c>
      <c r="C309" s="17" t="n">
        <f aca="false">-B309</f>
        <v>-0.0179408104177289</v>
      </c>
      <c r="D309" s="17" t="n">
        <f aca="false">MAX(C309-$H$15,0)</f>
        <v>0</v>
      </c>
      <c r="E309" s="36" t="n">
        <v>0</v>
      </c>
      <c r="F309" s="17" t="n">
        <f aca="false">E309+$H$24-C309</f>
        <v>0.0316920194237289</v>
      </c>
    </row>
    <row r="310" customFormat="false" ht="15" hidden="false" customHeight="true" outlineLevel="0" collapsed="false">
      <c r="A310" s="23" t="n">
        <f aca="false">Daily_Returns_Raw_Data!A287</f>
        <v>42787</v>
      </c>
      <c r="B310" s="17" t="n">
        <f aca="false">SUMPRODUCT(Daily_Returns_Raw_Data!B287:X287,$AB$3:$AX$3)</f>
        <v>0.00129861111210419</v>
      </c>
      <c r="C310" s="17" t="n">
        <f aca="false">-B310</f>
        <v>-0.00129861111210419</v>
      </c>
      <c r="D310" s="17" t="n">
        <f aca="false">MAX(C310-$H$15,0)</f>
        <v>0</v>
      </c>
      <c r="E310" s="36" t="n">
        <v>0</v>
      </c>
      <c r="F310" s="17" t="n">
        <f aca="false">E310+$H$24-C310</f>
        <v>0.0150498201181042</v>
      </c>
    </row>
    <row r="311" customFormat="false" ht="15" hidden="false" customHeight="true" outlineLevel="0" collapsed="false">
      <c r="A311" s="23" t="n">
        <f aca="false">Daily_Returns_Raw_Data!A288</f>
        <v>42788</v>
      </c>
      <c r="B311" s="17" t="n">
        <f aca="false">SUMPRODUCT(Daily_Returns_Raw_Data!B288:X288,$AB$3:$AX$3)</f>
        <v>-0.00952457442380504</v>
      </c>
      <c r="C311" s="17" t="n">
        <f aca="false">-B311</f>
        <v>0.00952457442380504</v>
      </c>
      <c r="D311" s="17" t="n">
        <f aca="false">MAX(C311-$H$15,0)</f>
        <v>0</v>
      </c>
      <c r="E311" s="36" t="n">
        <v>0</v>
      </c>
      <c r="F311" s="17" t="n">
        <f aca="false">E311+$H$24-C311</f>
        <v>0.00422663458219496</v>
      </c>
    </row>
    <row r="312" customFormat="false" ht="15" hidden="false" customHeight="true" outlineLevel="0" collapsed="false">
      <c r="A312" s="23" t="n">
        <f aca="false">Daily_Returns_Raw_Data!A289</f>
        <v>42789</v>
      </c>
      <c r="B312" s="17" t="n">
        <f aca="false">SUMPRODUCT(Daily_Returns_Raw_Data!B289:X289,$AB$3:$AX$3)</f>
        <v>-0.00923417013127005</v>
      </c>
      <c r="C312" s="17" t="n">
        <f aca="false">-B312</f>
        <v>0.00923417013127005</v>
      </c>
      <c r="D312" s="17" t="n">
        <f aca="false">MAX(C312-$H$15,0)</f>
        <v>0</v>
      </c>
      <c r="E312" s="36" t="n">
        <v>0</v>
      </c>
      <c r="F312" s="17" t="n">
        <f aca="false">E312+$H$24-C312</f>
        <v>0.00451703887472995</v>
      </c>
    </row>
    <row r="313" customFormat="false" ht="15" hidden="false" customHeight="true" outlineLevel="0" collapsed="false">
      <c r="A313" s="23" t="n">
        <f aca="false">Daily_Returns_Raw_Data!A290</f>
        <v>42790</v>
      </c>
      <c r="B313" s="17" t="n">
        <f aca="false">SUMPRODUCT(Daily_Returns_Raw_Data!B290:X290,$AB$3:$AX$3)</f>
        <v>-6.20551942656489E-005</v>
      </c>
      <c r="C313" s="17" t="n">
        <f aca="false">-B313</f>
        <v>6.20551942656489E-005</v>
      </c>
      <c r="D313" s="17" t="n">
        <f aca="false">MAX(C313-$H$15,0)</f>
        <v>0</v>
      </c>
      <c r="E313" s="36" t="n">
        <v>0</v>
      </c>
      <c r="F313" s="17" t="n">
        <f aca="false">E313+$H$24-C313</f>
        <v>0.0136891538117344</v>
      </c>
    </row>
    <row r="314" customFormat="false" ht="15" hidden="false" customHeight="true" outlineLevel="0" collapsed="false">
      <c r="A314" s="23" t="n">
        <f aca="false">Daily_Returns_Raw_Data!A291</f>
        <v>42793</v>
      </c>
      <c r="B314" s="17" t="n">
        <f aca="false">SUMPRODUCT(Daily_Returns_Raw_Data!B291:X291,$AB$3:$AX$3)</f>
        <v>-0.0149488560455557</v>
      </c>
      <c r="C314" s="17" t="n">
        <f aca="false">-B314</f>
        <v>0.0149488560455557</v>
      </c>
      <c r="D314" s="17" t="n">
        <f aca="false">MAX(C314-$H$15,0)</f>
        <v>0.00119764703930548</v>
      </c>
      <c r="E314" s="36" t="n">
        <v>0.001197647039</v>
      </c>
      <c r="F314" s="17" t="n">
        <f aca="false">E314+$H$24-C314</f>
        <v>-5.55666623824891E-013</v>
      </c>
    </row>
    <row r="315" customFormat="false" ht="15" hidden="false" customHeight="true" outlineLevel="0" collapsed="false">
      <c r="A315" s="23" t="n">
        <f aca="false">Daily_Returns_Raw_Data!A292</f>
        <v>42794</v>
      </c>
      <c r="B315" s="17" t="n">
        <f aca="false">SUMPRODUCT(Daily_Returns_Raw_Data!B292:X292,$AB$3:$AX$3)</f>
        <v>0.0115479622288978</v>
      </c>
      <c r="C315" s="17" t="n">
        <f aca="false">-B315</f>
        <v>-0.0115479622288978</v>
      </c>
      <c r="D315" s="17" t="n">
        <f aca="false">MAX(C315-$H$15,0)</f>
        <v>0</v>
      </c>
      <c r="E315" s="36" t="n">
        <v>0</v>
      </c>
      <c r="F315" s="17" t="n">
        <f aca="false">E315+$H$24-C315</f>
        <v>0.0252991712348978</v>
      </c>
    </row>
    <row r="316" customFormat="false" ht="15" hidden="false" customHeight="true" outlineLevel="0" collapsed="false">
      <c r="A316" s="23" t="n">
        <f aca="false">Daily_Returns_Raw_Data!A293</f>
        <v>42795</v>
      </c>
      <c r="B316" s="17" t="n">
        <f aca="false">SUMPRODUCT(Daily_Returns_Raw_Data!B293:X293,$AB$3:$AX$3)</f>
        <v>-0.0137512090062509</v>
      </c>
      <c r="C316" s="17" t="n">
        <f aca="false">-B316</f>
        <v>0.0137512090062509</v>
      </c>
      <c r="D316" s="17" t="n">
        <f aca="false">MAX(C316-$H$15,0)</f>
        <v>7.61543605953818E-016</v>
      </c>
      <c r="E316" s="36" t="n">
        <v>0</v>
      </c>
      <c r="F316" s="17" t="n">
        <f aca="false">E316+$H$24-C316</f>
        <v>-2.50948567481757E-013</v>
      </c>
    </row>
    <row r="317" customFormat="false" ht="15" hidden="false" customHeight="true" outlineLevel="0" collapsed="false">
      <c r="A317" s="23" t="n">
        <f aca="false">Daily_Returns_Raw_Data!A294</f>
        <v>42796</v>
      </c>
      <c r="B317" s="17" t="n">
        <f aca="false">SUMPRODUCT(Daily_Returns_Raw_Data!B294:X294,$AB$3:$AX$3)</f>
        <v>0.0095899253888571</v>
      </c>
      <c r="C317" s="17" t="n">
        <f aca="false">-B317</f>
        <v>-0.0095899253888571</v>
      </c>
      <c r="D317" s="17" t="n">
        <f aca="false">MAX(C317-$H$15,0)</f>
        <v>0</v>
      </c>
      <c r="E317" s="36" t="n">
        <v>0</v>
      </c>
      <c r="F317" s="17" t="n">
        <f aca="false">E317+$H$24-C317</f>
        <v>0.0233411343948571</v>
      </c>
    </row>
    <row r="318" customFormat="false" ht="15" hidden="false" customHeight="true" outlineLevel="0" collapsed="false">
      <c r="A318" s="23" t="n">
        <f aca="false">Daily_Returns_Raw_Data!A295</f>
        <v>42797</v>
      </c>
      <c r="B318" s="17" t="n">
        <f aca="false">SUMPRODUCT(Daily_Returns_Raw_Data!B295:X295,$AB$3:$AX$3)</f>
        <v>-0.00451081774114626</v>
      </c>
      <c r="C318" s="17" t="n">
        <f aca="false">-B318</f>
        <v>0.00451081774114626</v>
      </c>
      <c r="D318" s="17" t="n">
        <f aca="false">MAX(C318-$H$15,0)</f>
        <v>0</v>
      </c>
      <c r="E318" s="36" t="n">
        <v>0</v>
      </c>
      <c r="F318" s="17" t="n">
        <f aca="false">E318+$H$24-C318</f>
        <v>0.00924039126485374</v>
      </c>
    </row>
    <row r="319" customFormat="false" ht="15" hidden="false" customHeight="true" outlineLevel="0" collapsed="false">
      <c r="A319" s="23" t="n">
        <f aca="false">Daily_Returns_Raw_Data!A296</f>
        <v>42800</v>
      </c>
      <c r="B319" s="17" t="n">
        <f aca="false">SUMPRODUCT(Daily_Returns_Raw_Data!B296:X296,$AB$3:$AX$3)</f>
        <v>-0.0168805852024715</v>
      </c>
      <c r="C319" s="17" t="n">
        <f aca="false">-B319</f>
        <v>0.0168805852024715</v>
      </c>
      <c r="D319" s="17" t="n">
        <f aca="false">MAX(C319-$H$15,0)</f>
        <v>0.00312937619622136</v>
      </c>
      <c r="E319" s="36" t="n">
        <v>0.003129376196</v>
      </c>
      <c r="F319" s="17" t="n">
        <f aca="false">E319+$H$24-C319</f>
        <v>-4.71546413027824E-013</v>
      </c>
    </row>
    <row r="320" customFormat="false" ht="15" hidden="false" customHeight="true" outlineLevel="0" collapsed="false">
      <c r="A320" s="23" t="n">
        <f aca="false">Daily_Returns_Raw_Data!A297</f>
        <v>42801</v>
      </c>
      <c r="B320" s="17" t="n">
        <f aca="false">SUMPRODUCT(Daily_Returns_Raw_Data!B297:X297,$AB$3:$AX$3)</f>
        <v>-0.0170721340403099</v>
      </c>
      <c r="C320" s="17" t="n">
        <f aca="false">-B320</f>
        <v>0.0170721340403099</v>
      </c>
      <c r="D320" s="17" t="n">
        <f aca="false">MAX(C320-$H$15,0)</f>
        <v>0.00332092503405973</v>
      </c>
      <c r="E320" s="36" t="n">
        <v>0.003320925034</v>
      </c>
      <c r="F320" s="17" t="n">
        <f aca="false">E320+$H$24-C320</f>
        <v>-3.09918757324112E-013</v>
      </c>
    </row>
    <row r="321" customFormat="false" ht="15" hidden="false" customHeight="true" outlineLevel="0" collapsed="false">
      <c r="A321" s="23" t="n">
        <f aca="false">Daily_Returns_Raw_Data!A298</f>
        <v>42802</v>
      </c>
      <c r="B321" s="17" t="n">
        <f aca="false">SUMPRODUCT(Daily_Returns_Raw_Data!B298:X298,$AB$3:$AX$3)</f>
        <v>0.0129094542142764</v>
      </c>
      <c r="C321" s="17" t="n">
        <f aca="false">-B321</f>
        <v>-0.0129094542142764</v>
      </c>
      <c r="D321" s="17" t="n">
        <f aca="false">MAX(C321-$H$15,0)</f>
        <v>0</v>
      </c>
      <c r="E321" s="36" t="n">
        <v>0</v>
      </c>
      <c r="F321" s="17" t="n">
        <f aca="false">E321+$H$24-C321</f>
        <v>0.0266606632202764</v>
      </c>
    </row>
    <row r="322" customFormat="false" ht="15" hidden="false" customHeight="true" outlineLevel="0" collapsed="false">
      <c r="A322" s="23" t="n">
        <f aca="false">Daily_Returns_Raw_Data!A299</f>
        <v>42803</v>
      </c>
      <c r="B322" s="17" t="n">
        <f aca="false">SUMPRODUCT(Daily_Returns_Raw_Data!B299:X299,$AB$3:$AX$3)</f>
        <v>0.012098654267942</v>
      </c>
      <c r="C322" s="17" t="n">
        <f aca="false">-B322</f>
        <v>-0.012098654267942</v>
      </c>
      <c r="D322" s="17" t="n">
        <f aca="false">MAX(C322-$H$15,0)</f>
        <v>0</v>
      </c>
      <c r="E322" s="36" t="n">
        <v>0</v>
      </c>
      <c r="F322" s="17" t="n">
        <f aca="false">E322+$H$24-C322</f>
        <v>0.025849863273942</v>
      </c>
    </row>
    <row r="323" customFormat="false" ht="15" hidden="false" customHeight="true" outlineLevel="0" collapsed="false">
      <c r="A323" s="23" t="n">
        <f aca="false">Daily_Returns_Raw_Data!A300</f>
        <v>42804</v>
      </c>
      <c r="B323" s="17" t="n">
        <f aca="false">SUMPRODUCT(Daily_Returns_Raw_Data!B300:X300,$AB$3:$AX$3)</f>
        <v>-0.00092596021322772</v>
      </c>
      <c r="C323" s="17" t="n">
        <f aca="false">-B323</f>
        <v>0.00092596021322772</v>
      </c>
      <c r="D323" s="17" t="n">
        <f aca="false">MAX(C323-$H$15,0)</f>
        <v>0</v>
      </c>
      <c r="E323" s="36" t="n">
        <v>0</v>
      </c>
      <c r="F323" s="17" t="n">
        <f aca="false">E323+$H$24-C323</f>
        <v>0.0128252487927723</v>
      </c>
    </row>
    <row r="324" customFormat="false" ht="15" hidden="false" customHeight="true" outlineLevel="0" collapsed="false">
      <c r="A324" s="23" t="n">
        <f aca="false">Daily_Returns_Raw_Data!A301</f>
        <v>42807</v>
      </c>
      <c r="B324" s="17" t="n">
        <f aca="false">SUMPRODUCT(Daily_Returns_Raw_Data!B301:X301,$AB$3:$AX$3)</f>
        <v>-0.00769566005584657</v>
      </c>
      <c r="C324" s="17" t="n">
        <f aca="false">-B324</f>
        <v>0.00769566005584657</v>
      </c>
      <c r="D324" s="17" t="n">
        <f aca="false">MAX(C324-$H$15,0)</f>
        <v>0</v>
      </c>
      <c r="E324" s="36" t="n">
        <v>0</v>
      </c>
      <c r="F324" s="17" t="n">
        <f aca="false">E324+$H$24-C324</f>
        <v>0.00605554895015343</v>
      </c>
    </row>
    <row r="325" customFormat="false" ht="15" hidden="false" customHeight="true" outlineLevel="0" collapsed="false">
      <c r="A325" s="23" t="n">
        <f aca="false">Daily_Returns_Raw_Data!A302</f>
        <v>42808</v>
      </c>
      <c r="B325" s="17" t="n">
        <f aca="false">SUMPRODUCT(Daily_Returns_Raw_Data!B302:X302,$AB$3:$AX$3)</f>
        <v>0.0109011600264406</v>
      </c>
      <c r="C325" s="17" t="n">
        <f aca="false">-B325</f>
        <v>-0.0109011600264406</v>
      </c>
      <c r="D325" s="17" t="n">
        <f aca="false">MAX(C325-$H$15,0)</f>
        <v>0</v>
      </c>
      <c r="E325" s="36" t="n">
        <v>0</v>
      </c>
      <c r="F325" s="17" t="n">
        <f aca="false">E325+$H$24-C325</f>
        <v>0.0246523690324406</v>
      </c>
    </row>
    <row r="326" customFormat="false" ht="15" hidden="false" customHeight="true" outlineLevel="0" collapsed="false">
      <c r="A326" s="23" t="n">
        <f aca="false">Daily_Returns_Raw_Data!A303</f>
        <v>42809</v>
      </c>
      <c r="B326" s="17" t="n">
        <f aca="false">SUMPRODUCT(Daily_Returns_Raw_Data!B303:X303,$AB$3:$AX$3)</f>
        <v>-0.00245962057220899</v>
      </c>
      <c r="C326" s="17" t="n">
        <f aca="false">-B326</f>
        <v>0.00245962057220899</v>
      </c>
      <c r="D326" s="17" t="n">
        <f aca="false">MAX(C326-$H$15,0)</f>
        <v>0</v>
      </c>
      <c r="E326" s="36" t="n">
        <v>0</v>
      </c>
      <c r="F326" s="17" t="n">
        <f aca="false">E326+$H$24-C326</f>
        <v>0.011291588433791</v>
      </c>
    </row>
    <row r="327" customFormat="false" ht="15" hidden="false" customHeight="true" outlineLevel="0" collapsed="false">
      <c r="A327" s="23" t="n">
        <f aca="false">Daily_Returns_Raw_Data!A304</f>
        <v>42810</v>
      </c>
      <c r="B327" s="17" t="n">
        <f aca="false">SUMPRODUCT(Daily_Returns_Raw_Data!B304:X304,$AB$3:$AX$3)</f>
        <v>-0.00500971750115964</v>
      </c>
      <c r="C327" s="17" t="n">
        <f aca="false">-B327</f>
        <v>0.00500971750115964</v>
      </c>
      <c r="D327" s="17" t="n">
        <f aca="false">MAX(C327-$H$15,0)</f>
        <v>0</v>
      </c>
      <c r="E327" s="36" t="n">
        <v>0</v>
      </c>
      <c r="F327" s="17" t="n">
        <f aca="false">E327+$H$24-C327</f>
        <v>0.00874149150484036</v>
      </c>
    </row>
    <row r="328" customFormat="false" ht="15" hidden="false" customHeight="true" outlineLevel="0" collapsed="false">
      <c r="A328" s="23" t="n">
        <f aca="false">Daily_Returns_Raw_Data!A305</f>
        <v>42811</v>
      </c>
      <c r="B328" s="17" t="n">
        <f aca="false">SUMPRODUCT(Daily_Returns_Raw_Data!B305:X305,$AB$3:$AX$3)</f>
        <v>-0.00521499485303258</v>
      </c>
      <c r="C328" s="17" t="n">
        <f aca="false">-B328</f>
        <v>0.00521499485303258</v>
      </c>
      <c r="D328" s="17" t="n">
        <f aca="false">MAX(C328-$H$15,0)</f>
        <v>0</v>
      </c>
      <c r="E328" s="36" t="n">
        <v>0</v>
      </c>
      <c r="F328" s="17" t="n">
        <f aca="false">E328+$H$24-C328</f>
        <v>0.00853621415296742</v>
      </c>
    </row>
    <row r="329" customFormat="false" ht="15" hidden="false" customHeight="true" outlineLevel="0" collapsed="false">
      <c r="A329" s="23" t="n">
        <f aca="false">Daily_Returns_Raw_Data!A306</f>
        <v>42814</v>
      </c>
      <c r="B329" s="17" t="n">
        <f aca="false">SUMPRODUCT(Daily_Returns_Raw_Data!B306:X306,$AB$3:$AX$3)</f>
        <v>-0.0151608401968159</v>
      </c>
      <c r="C329" s="17" t="n">
        <f aca="false">-B329</f>
        <v>0.0151608401968159</v>
      </c>
      <c r="D329" s="17" t="n">
        <f aca="false">MAX(C329-$H$15,0)</f>
        <v>0.00140963119056573</v>
      </c>
      <c r="E329" s="36" t="n">
        <v>0.001409631191</v>
      </c>
      <c r="F329" s="17" t="n">
        <f aca="false">E329+$H$24-C329</f>
        <v>1.84087120547183E-013</v>
      </c>
    </row>
    <row r="330" customFormat="false" ht="15" hidden="false" customHeight="true" outlineLevel="0" collapsed="false">
      <c r="A330" s="23" t="n">
        <f aca="false">Daily_Returns_Raw_Data!A307</f>
        <v>42815</v>
      </c>
      <c r="B330" s="17" t="n">
        <f aca="false">SUMPRODUCT(Daily_Returns_Raw_Data!B307:X307,$AB$3:$AX$3)</f>
        <v>0.000400132293645856</v>
      </c>
      <c r="C330" s="17" t="n">
        <f aca="false">-B330</f>
        <v>-0.000400132293645856</v>
      </c>
      <c r="D330" s="17" t="n">
        <f aca="false">MAX(C330-$H$15,0)</f>
        <v>0</v>
      </c>
      <c r="E330" s="36" t="n">
        <v>0</v>
      </c>
      <c r="F330" s="17" t="n">
        <f aca="false">E330+$H$24-C330</f>
        <v>0.0141513412996459</v>
      </c>
    </row>
    <row r="331" customFormat="false" ht="15" hidden="false" customHeight="true" outlineLevel="0" collapsed="false">
      <c r="A331" s="23" t="n">
        <f aca="false">Daily_Returns_Raw_Data!A308</f>
        <v>42816</v>
      </c>
      <c r="B331" s="17" t="n">
        <f aca="false">SUMPRODUCT(Daily_Returns_Raw_Data!B308:X308,$AB$3:$AX$3)</f>
        <v>-0.00194223775848219</v>
      </c>
      <c r="C331" s="17" t="n">
        <f aca="false">-B331</f>
        <v>0.00194223775848219</v>
      </c>
      <c r="D331" s="17" t="n">
        <f aca="false">MAX(C331-$H$15,0)</f>
        <v>0</v>
      </c>
      <c r="E331" s="36" t="n">
        <v>0</v>
      </c>
      <c r="F331" s="17" t="n">
        <f aca="false">E331+$H$24-C331</f>
        <v>0.0118089712475178</v>
      </c>
    </row>
    <row r="332" customFormat="false" ht="15" hidden="false" customHeight="true" outlineLevel="0" collapsed="false">
      <c r="A332" s="23" t="n">
        <f aca="false">Daily_Returns_Raw_Data!A309</f>
        <v>42817</v>
      </c>
      <c r="B332" s="17" t="n">
        <f aca="false">SUMPRODUCT(Daily_Returns_Raw_Data!B309:X309,$AB$3:$AX$3)</f>
        <v>-0.00449867470229287</v>
      </c>
      <c r="C332" s="17" t="n">
        <f aca="false">-B332</f>
        <v>0.00449867470229287</v>
      </c>
      <c r="D332" s="17" t="n">
        <f aca="false">MAX(C332-$H$15,0)</f>
        <v>0</v>
      </c>
      <c r="E332" s="36" t="n">
        <v>0</v>
      </c>
      <c r="F332" s="17" t="n">
        <f aca="false">E332+$H$24-C332</f>
        <v>0.00925253430370713</v>
      </c>
    </row>
    <row r="333" customFormat="false" ht="15" hidden="false" customHeight="true" outlineLevel="0" collapsed="false">
      <c r="A333" s="23" t="n">
        <f aca="false">Daily_Returns_Raw_Data!A310</f>
        <v>42818</v>
      </c>
      <c r="B333" s="17" t="n">
        <f aca="false">SUMPRODUCT(Daily_Returns_Raw_Data!B310:X310,$AB$3:$AX$3)</f>
        <v>0.0209769319513698</v>
      </c>
      <c r="C333" s="17" t="n">
        <f aca="false">-B333</f>
        <v>-0.0209769319513698</v>
      </c>
      <c r="D333" s="17" t="n">
        <f aca="false">MAX(C333-$H$15,0)</f>
        <v>0</v>
      </c>
      <c r="E333" s="36" t="n">
        <v>0</v>
      </c>
      <c r="F333" s="17" t="n">
        <f aca="false">E333+$H$24-C333</f>
        <v>0.0347281409573698</v>
      </c>
    </row>
    <row r="334" customFormat="false" ht="15" hidden="false" customHeight="true" outlineLevel="0" collapsed="false">
      <c r="A334" s="23" t="n">
        <f aca="false">Daily_Returns_Raw_Data!A311</f>
        <v>42821</v>
      </c>
      <c r="B334" s="17" t="n">
        <f aca="false">SUMPRODUCT(Daily_Returns_Raw_Data!B311:X311,$AB$3:$AX$3)</f>
        <v>0.000704334937404541</v>
      </c>
      <c r="C334" s="17" t="n">
        <f aca="false">-B334</f>
        <v>-0.000704334937404541</v>
      </c>
      <c r="D334" s="17" t="n">
        <f aca="false">MAX(C334-$H$15,0)</f>
        <v>0</v>
      </c>
      <c r="E334" s="36" t="n">
        <v>0</v>
      </c>
      <c r="F334" s="17" t="n">
        <f aca="false">E334+$H$24-C334</f>
        <v>0.0144555439434045</v>
      </c>
    </row>
    <row r="335" customFormat="false" ht="15" hidden="false" customHeight="true" outlineLevel="0" collapsed="false">
      <c r="A335" s="23" t="n">
        <f aca="false">Daily_Returns_Raw_Data!A312</f>
        <v>42822</v>
      </c>
      <c r="B335" s="17" t="n">
        <f aca="false">SUMPRODUCT(Daily_Returns_Raw_Data!B312:X312,$AB$3:$AX$3)</f>
        <v>0.00152285964687625</v>
      </c>
      <c r="C335" s="17" t="n">
        <f aca="false">-B335</f>
        <v>-0.00152285964687625</v>
      </c>
      <c r="D335" s="17" t="n">
        <f aca="false">MAX(C335-$H$15,0)</f>
        <v>0</v>
      </c>
      <c r="E335" s="36" t="n">
        <v>0</v>
      </c>
      <c r="F335" s="17" t="n">
        <f aca="false">E335+$H$24-C335</f>
        <v>0.0152740686528763</v>
      </c>
    </row>
    <row r="336" customFormat="false" ht="15" hidden="false" customHeight="true" outlineLevel="0" collapsed="false">
      <c r="A336" s="23" t="n">
        <f aca="false">Daily_Returns_Raw_Data!A313</f>
        <v>42823</v>
      </c>
      <c r="B336" s="17" t="n">
        <f aca="false">SUMPRODUCT(Daily_Returns_Raw_Data!B313:X313,$AB$3:$AX$3)</f>
        <v>-0.00553845721085242</v>
      </c>
      <c r="C336" s="17" t="n">
        <f aca="false">-B336</f>
        <v>0.00553845721085242</v>
      </c>
      <c r="D336" s="17" t="n">
        <f aca="false">MAX(C336-$H$15,0)</f>
        <v>0</v>
      </c>
      <c r="E336" s="36" t="n">
        <v>0</v>
      </c>
      <c r="F336" s="17" t="n">
        <f aca="false">E336+$H$24-C336</f>
        <v>0.00821275179514758</v>
      </c>
    </row>
    <row r="337" customFormat="false" ht="15" hidden="false" customHeight="true" outlineLevel="0" collapsed="false">
      <c r="A337" s="23" t="n">
        <f aca="false">Daily_Returns_Raw_Data!A314</f>
        <v>42824</v>
      </c>
      <c r="B337" s="17" t="n">
        <f aca="false">SUMPRODUCT(Daily_Returns_Raw_Data!B314:X314,$AB$3:$AX$3)</f>
        <v>-0.00859177420030581</v>
      </c>
      <c r="C337" s="17" t="n">
        <f aca="false">-B337</f>
        <v>0.00859177420030581</v>
      </c>
      <c r="D337" s="17" t="n">
        <f aca="false">MAX(C337-$H$15,0)</f>
        <v>0</v>
      </c>
      <c r="E337" s="36" t="n">
        <v>0</v>
      </c>
      <c r="F337" s="17" t="n">
        <f aca="false">E337+$H$24-C337</f>
        <v>0.00515943480569419</v>
      </c>
    </row>
    <row r="338" customFormat="false" ht="15" hidden="false" customHeight="true" outlineLevel="0" collapsed="false">
      <c r="A338" s="23" t="n">
        <f aca="false">Daily_Returns_Raw_Data!A315</f>
        <v>42825</v>
      </c>
      <c r="B338" s="17" t="n">
        <f aca="false">SUMPRODUCT(Daily_Returns_Raw_Data!B315:X315,$AB$3:$AX$3)</f>
        <v>-0.00125334702713112</v>
      </c>
      <c r="C338" s="17" t="n">
        <f aca="false">-B338</f>
        <v>0.00125334702713112</v>
      </c>
      <c r="D338" s="17" t="n">
        <f aca="false">MAX(C338-$H$15,0)</f>
        <v>0</v>
      </c>
      <c r="E338" s="36" t="n">
        <v>0</v>
      </c>
      <c r="F338" s="17" t="n">
        <f aca="false">E338+$H$24-C338</f>
        <v>0.0124978619788689</v>
      </c>
    </row>
    <row r="339" customFormat="false" ht="15" hidden="false" customHeight="true" outlineLevel="0" collapsed="false">
      <c r="A339" s="23" t="n">
        <f aca="false">Daily_Returns_Raw_Data!A316</f>
        <v>42828</v>
      </c>
      <c r="B339" s="17" t="n">
        <f aca="false">SUMPRODUCT(Daily_Returns_Raw_Data!B316:X316,$AB$3:$AX$3)</f>
        <v>0.00236693188975411</v>
      </c>
      <c r="C339" s="17" t="n">
        <f aca="false">-B339</f>
        <v>-0.00236693188975411</v>
      </c>
      <c r="D339" s="17" t="n">
        <f aca="false">MAX(C339-$H$15,0)</f>
        <v>0</v>
      </c>
      <c r="E339" s="36" t="n">
        <v>0</v>
      </c>
      <c r="F339" s="17" t="n">
        <f aca="false">E339+$H$24-C339</f>
        <v>0.0161181408957541</v>
      </c>
    </row>
    <row r="340" customFormat="false" ht="15" hidden="false" customHeight="true" outlineLevel="0" collapsed="false">
      <c r="A340" s="23" t="n">
        <f aca="false">Daily_Returns_Raw_Data!A317</f>
        <v>42829</v>
      </c>
      <c r="B340" s="17" t="n">
        <f aca="false">SUMPRODUCT(Daily_Returns_Raw_Data!B317:X317,$AB$3:$AX$3)</f>
        <v>0.000130838831131957</v>
      </c>
      <c r="C340" s="17" t="n">
        <f aca="false">-B340</f>
        <v>-0.000130838831131957</v>
      </c>
      <c r="D340" s="17" t="n">
        <f aca="false">MAX(C340-$H$15,0)</f>
        <v>0</v>
      </c>
      <c r="E340" s="36" t="n">
        <v>0</v>
      </c>
      <c r="F340" s="17" t="n">
        <f aca="false">E340+$H$24-C340</f>
        <v>0.013882047837132</v>
      </c>
    </row>
    <row r="341" customFormat="false" ht="15" hidden="false" customHeight="true" outlineLevel="0" collapsed="false">
      <c r="A341" s="23" t="n">
        <f aca="false">Daily_Returns_Raw_Data!A318</f>
        <v>42830</v>
      </c>
      <c r="B341" s="17" t="n">
        <f aca="false">SUMPRODUCT(Daily_Returns_Raw_Data!B318:X318,$AB$3:$AX$3)</f>
        <v>-5.13282710315953E-006</v>
      </c>
      <c r="C341" s="17" t="n">
        <f aca="false">-B341</f>
        <v>5.13282710315953E-006</v>
      </c>
      <c r="D341" s="17" t="n">
        <f aca="false">MAX(C341-$H$15,0)</f>
        <v>0</v>
      </c>
      <c r="E341" s="36" t="n">
        <v>0</v>
      </c>
      <c r="F341" s="17" t="n">
        <f aca="false">E341+$H$24-C341</f>
        <v>0.0137460761788968</v>
      </c>
    </row>
    <row r="342" customFormat="false" ht="15" hidden="false" customHeight="true" outlineLevel="0" collapsed="false">
      <c r="A342" s="23" t="n">
        <f aca="false">Daily_Returns_Raw_Data!A319</f>
        <v>42831</v>
      </c>
      <c r="B342" s="17" t="n">
        <f aca="false">SUMPRODUCT(Daily_Returns_Raw_Data!B319:X319,$AB$3:$AX$3)</f>
        <v>0.00957835383603828</v>
      </c>
      <c r="C342" s="17" t="n">
        <f aca="false">-B342</f>
        <v>-0.00957835383603828</v>
      </c>
      <c r="D342" s="17" t="n">
        <f aca="false">MAX(C342-$H$15,0)</f>
        <v>0</v>
      </c>
      <c r="E342" s="36" t="n">
        <v>0</v>
      </c>
      <c r="F342" s="17" t="n">
        <f aca="false">E342+$H$24-C342</f>
        <v>0.0233295628420383</v>
      </c>
    </row>
    <row r="343" customFormat="false" ht="15" hidden="false" customHeight="true" outlineLevel="0" collapsed="false">
      <c r="A343" s="23" t="n">
        <f aca="false">Daily_Returns_Raw_Data!A320</f>
        <v>42832</v>
      </c>
      <c r="B343" s="17" t="n">
        <f aca="false">SUMPRODUCT(Daily_Returns_Raw_Data!B320:X320,$AB$3:$AX$3)</f>
        <v>0.0320096326920779</v>
      </c>
      <c r="C343" s="17" t="n">
        <f aca="false">-B343</f>
        <v>-0.0320096326920779</v>
      </c>
      <c r="D343" s="17" t="n">
        <f aca="false">MAX(C343-$H$15,0)</f>
        <v>0</v>
      </c>
      <c r="E343" s="36" t="n">
        <v>0</v>
      </c>
      <c r="F343" s="17" t="n">
        <f aca="false">E343+$H$24-C343</f>
        <v>0.0457608416980779</v>
      </c>
    </row>
    <row r="344" customFormat="false" ht="15" hidden="false" customHeight="true" outlineLevel="0" collapsed="false">
      <c r="A344" s="23" t="n">
        <f aca="false">Daily_Returns_Raw_Data!A321</f>
        <v>42835</v>
      </c>
      <c r="B344" s="17" t="n">
        <f aca="false">SUMPRODUCT(Daily_Returns_Raw_Data!B321:X321,$AB$3:$AX$3)</f>
        <v>-0.0197119118521622</v>
      </c>
      <c r="C344" s="17" t="n">
        <f aca="false">-B344</f>
        <v>0.0197119118521622</v>
      </c>
      <c r="D344" s="17" t="n">
        <f aca="false">MAX(C344-$H$15,0)</f>
        <v>0.00596070284591198</v>
      </c>
      <c r="E344" s="36" t="n">
        <v>0.005960702846</v>
      </c>
      <c r="F344" s="17" t="n">
        <f aca="false">E344+$H$24-C344</f>
        <v>-1.62161950534312E-013</v>
      </c>
    </row>
    <row r="345" customFormat="false" ht="15" hidden="false" customHeight="true" outlineLevel="0" collapsed="false">
      <c r="A345" s="23" t="n">
        <f aca="false">Daily_Returns_Raw_Data!A322</f>
        <v>42836</v>
      </c>
      <c r="B345" s="17" t="n">
        <f aca="false">SUMPRODUCT(Daily_Returns_Raw_Data!B322:X322,$AB$3:$AX$3)</f>
        <v>0.00364327846052087</v>
      </c>
      <c r="C345" s="17" t="n">
        <f aca="false">-B345</f>
        <v>-0.00364327846052087</v>
      </c>
      <c r="D345" s="17" t="n">
        <f aca="false">MAX(C345-$H$15,0)</f>
        <v>0</v>
      </c>
      <c r="E345" s="36" t="n">
        <v>0</v>
      </c>
      <c r="F345" s="17" t="n">
        <f aca="false">E345+$H$24-C345</f>
        <v>0.0173944874665209</v>
      </c>
    </row>
    <row r="346" customFormat="false" ht="15" hidden="false" customHeight="true" outlineLevel="0" collapsed="false">
      <c r="A346" s="23" t="n">
        <f aca="false">Daily_Returns_Raw_Data!A323</f>
        <v>42837</v>
      </c>
      <c r="B346" s="17" t="n">
        <f aca="false">SUMPRODUCT(Daily_Returns_Raw_Data!B323:X323,$AB$3:$AX$3)</f>
        <v>-0.0250446866119755</v>
      </c>
      <c r="C346" s="17" t="n">
        <f aca="false">-B346</f>
        <v>0.0250446866119755</v>
      </c>
      <c r="D346" s="17" t="n">
        <f aca="false">MAX(C346-$H$15,0)</f>
        <v>0.0112934776057254</v>
      </c>
      <c r="E346" s="36" t="n">
        <v>0.011293477606</v>
      </c>
      <c r="F346" s="17" t="n">
        <f aca="false">E346+$H$24-C346</f>
        <v>2.44526621173691E-014</v>
      </c>
    </row>
    <row r="347" customFormat="false" ht="15" hidden="false" customHeight="true" outlineLevel="0" collapsed="false">
      <c r="A347" s="23" t="n">
        <f aca="false">Daily_Returns_Raw_Data!A324</f>
        <v>42838</v>
      </c>
      <c r="B347" s="17" t="n">
        <f aca="false">SUMPRODUCT(Daily_Returns_Raw_Data!B324:X324,$AB$3:$AX$3)</f>
        <v>0.00235885817581139</v>
      </c>
      <c r="C347" s="17" t="n">
        <f aca="false">-B347</f>
        <v>-0.00235885817581139</v>
      </c>
      <c r="D347" s="17" t="n">
        <f aca="false">MAX(C347-$H$15,0)</f>
        <v>0</v>
      </c>
      <c r="E347" s="36" t="n">
        <v>0</v>
      </c>
      <c r="F347" s="17" t="n">
        <f aca="false">E347+$H$24-C347</f>
        <v>0.0161100671818114</v>
      </c>
    </row>
    <row r="348" customFormat="false" ht="15" hidden="false" customHeight="true" outlineLevel="0" collapsed="false">
      <c r="A348" s="23" t="n">
        <f aca="false">Daily_Returns_Raw_Data!A325</f>
        <v>42842</v>
      </c>
      <c r="B348" s="17" t="n">
        <f aca="false">SUMPRODUCT(Daily_Returns_Raw_Data!B325:X325,$AB$3:$AX$3)</f>
        <v>-0.0114230656595722</v>
      </c>
      <c r="C348" s="17" t="n">
        <f aca="false">-B348</f>
        <v>0.0114230656595722</v>
      </c>
      <c r="D348" s="17" t="n">
        <f aca="false">MAX(C348-$H$15,0)</f>
        <v>0</v>
      </c>
      <c r="E348" s="36" t="n">
        <v>0</v>
      </c>
      <c r="F348" s="17" t="n">
        <f aca="false">E348+$H$24-C348</f>
        <v>0.00232814334642778</v>
      </c>
    </row>
    <row r="349" customFormat="false" ht="15" hidden="false" customHeight="true" outlineLevel="0" collapsed="false">
      <c r="A349" s="23" t="n">
        <f aca="false">Daily_Returns_Raw_Data!A326</f>
        <v>42843</v>
      </c>
      <c r="B349" s="17" t="n">
        <f aca="false">SUMPRODUCT(Daily_Returns_Raw_Data!B326:X326,$AB$3:$AX$3)</f>
        <v>0.0129891622609213</v>
      </c>
      <c r="C349" s="17" t="n">
        <f aca="false">-B349</f>
        <v>-0.0129891622609213</v>
      </c>
      <c r="D349" s="17" t="n">
        <f aca="false">MAX(C349-$H$15,0)</f>
        <v>0</v>
      </c>
      <c r="E349" s="36" t="n">
        <v>0</v>
      </c>
      <c r="F349" s="17" t="n">
        <f aca="false">E349+$H$24-C349</f>
        <v>0.0267403712669213</v>
      </c>
    </row>
    <row r="350" customFormat="false" ht="15" hidden="false" customHeight="true" outlineLevel="0" collapsed="false">
      <c r="A350" s="23" t="n">
        <f aca="false">Daily_Returns_Raw_Data!A327</f>
        <v>42844</v>
      </c>
      <c r="B350" s="17" t="n">
        <f aca="false">SUMPRODUCT(Daily_Returns_Raw_Data!B327:X327,$AB$3:$AX$3)</f>
        <v>-0.00694742471886547</v>
      </c>
      <c r="C350" s="17" t="n">
        <f aca="false">-B350</f>
        <v>0.00694742471886547</v>
      </c>
      <c r="D350" s="17" t="n">
        <f aca="false">MAX(C350-$H$15,0)</f>
        <v>0</v>
      </c>
      <c r="E350" s="36" t="n">
        <v>0</v>
      </c>
      <c r="F350" s="17" t="n">
        <f aca="false">E350+$H$24-C350</f>
        <v>0.00680378428713453</v>
      </c>
    </row>
    <row r="351" customFormat="false" ht="15" hidden="false" customHeight="true" outlineLevel="0" collapsed="false">
      <c r="A351" s="23" t="n">
        <f aca="false">Daily_Returns_Raw_Data!A328</f>
        <v>42845</v>
      </c>
      <c r="B351" s="17" t="n">
        <f aca="false">SUMPRODUCT(Daily_Returns_Raw_Data!B328:X328,$AB$3:$AX$3)</f>
        <v>-0.000475353624722369</v>
      </c>
      <c r="C351" s="17" t="n">
        <f aca="false">-B351</f>
        <v>0.000475353624722369</v>
      </c>
      <c r="D351" s="17" t="n">
        <f aca="false">MAX(C351-$H$15,0)</f>
        <v>0</v>
      </c>
      <c r="E351" s="36" t="n">
        <v>0</v>
      </c>
      <c r="F351" s="17" t="n">
        <f aca="false">E351+$H$24-C351</f>
        <v>0.0132758553812776</v>
      </c>
    </row>
    <row r="352" customFormat="false" ht="15" hidden="false" customHeight="true" outlineLevel="0" collapsed="false">
      <c r="A352" s="23" t="n">
        <f aca="false">Daily_Returns_Raw_Data!A329</f>
        <v>42846</v>
      </c>
      <c r="B352" s="17" t="n">
        <f aca="false">SUMPRODUCT(Daily_Returns_Raw_Data!B329:X329,$AB$3:$AX$3)</f>
        <v>0.00864200377343277</v>
      </c>
      <c r="C352" s="17" t="n">
        <f aca="false">-B352</f>
        <v>-0.00864200377343277</v>
      </c>
      <c r="D352" s="17" t="n">
        <f aca="false">MAX(C352-$H$15,0)</f>
        <v>0</v>
      </c>
      <c r="E352" s="36" t="n">
        <v>0</v>
      </c>
      <c r="F352" s="17" t="n">
        <f aca="false">E352+$H$24-C352</f>
        <v>0.0223932127794328</v>
      </c>
    </row>
    <row r="353" customFormat="false" ht="15" hidden="false" customHeight="true" outlineLevel="0" collapsed="false">
      <c r="A353" s="23" t="n">
        <f aca="false">Daily_Returns_Raw_Data!A330</f>
        <v>42849</v>
      </c>
      <c r="B353" s="17" t="n">
        <f aca="false">SUMPRODUCT(Daily_Returns_Raw_Data!B330:X330,$AB$3:$AX$3)</f>
        <v>-0.00465235837688804</v>
      </c>
      <c r="C353" s="17" t="n">
        <f aca="false">-B353</f>
        <v>0.00465235837688804</v>
      </c>
      <c r="D353" s="17" t="n">
        <f aca="false">MAX(C353-$H$15,0)</f>
        <v>0</v>
      </c>
      <c r="E353" s="36" t="n">
        <v>0</v>
      </c>
      <c r="F353" s="17" t="n">
        <f aca="false">E353+$H$24-C353</f>
        <v>0.00909885062911196</v>
      </c>
    </row>
    <row r="354" customFormat="false" ht="15" hidden="false" customHeight="true" outlineLevel="0" collapsed="false">
      <c r="A354" s="23" t="n">
        <f aca="false">Daily_Returns_Raw_Data!A331</f>
        <v>42850</v>
      </c>
      <c r="B354" s="17" t="n">
        <f aca="false">SUMPRODUCT(Daily_Returns_Raw_Data!B331:X331,$AB$3:$AX$3)</f>
        <v>-0.0166962636874988</v>
      </c>
      <c r="C354" s="17" t="n">
        <f aca="false">-B354</f>
        <v>0.0166962636874988</v>
      </c>
      <c r="D354" s="17" t="n">
        <f aca="false">MAX(C354-$H$15,0)</f>
        <v>0.00294505468124857</v>
      </c>
      <c r="E354" s="36" t="n">
        <v>0.002945054681</v>
      </c>
      <c r="F354" s="17" t="n">
        <f aca="false">E354+$H$24-C354</f>
        <v>-4.98750346578092E-013</v>
      </c>
    </row>
    <row r="355" customFormat="false" ht="15" hidden="false" customHeight="true" outlineLevel="0" collapsed="false">
      <c r="A355" s="23" t="n">
        <f aca="false">Daily_Returns_Raw_Data!A332</f>
        <v>42851</v>
      </c>
      <c r="B355" s="17" t="n">
        <f aca="false">SUMPRODUCT(Daily_Returns_Raw_Data!B332:X332,$AB$3:$AX$3)</f>
        <v>-0.00863790552432209</v>
      </c>
      <c r="C355" s="17" t="n">
        <f aca="false">-B355</f>
        <v>0.00863790552432209</v>
      </c>
      <c r="D355" s="17" t="n">
        <f aca="false">MAX(C355-$H$15,0)</f>
        <v>0</v>
      </c>
      <c r="E355" s="36" t="n">
        <v>0</v>
      </c>
      <c r="F355" s="17" t="n">
        <f aca="false">E355+$H$24-C355</f>
        <v>0.00511330348167791</v>
      </c>
    </row>
    <row r="356" customFormat="false" ht="15" hidden="false" customHeight="true" outlineLevel="0" collapsed="false">
      <c r="A356" s="23" t="n">
        <f aca="false">Daily_Returns_Raw_Data!A333</f>
        <v>42852</v>
      </c>
      <c r="B356" s="17" t="n">
        <f aca="false">SUMPRODUCT(Daily_Returns_Raw_Data!B333:X333,$AB$3:$AX$3)</f>
        <v>0.00569151060152697</v>
      </c>
      <c r="C356" s="17" t="n">
        <f aca="false">-B356</f>
        <v>-0.00569151060152697</v>
      </c>
      <c r="D356" s="17" t="n">
        <f aca="false">MAX(C356-$H$15,0)</f>
        <v>0</v>
      </c>
      <c r="E356" s="36" t="n">
        <v>0</v>
      </c>
      <c r="F356" s="17" t="n">
        <f aca="false">E356+$H$24-C356</f>
        <v>0.019442719607527</v>
      </c>
    </row>
    <row r="357" customFormat="false" ht="15" hidden="false" customHeight="true" outlineLevel="0" collapsed="false">
      <c r="A357" s="23" t="n">
        <f aca="false">Daily_Returns_Raw_Data!A334</f>
        <v>42853</v>
      </c>
      <c r="B357" s="17" t="n">
        <f aca="false">SUMPRODUCT(Daily_Returns_Raw_Data!B334:X334,$AB$3:$AX$3)</f>
        <v>0.00170537175033903</v>
      </c>
      <c r="C357" s="17" t="n">
        <f aca="false">-B357</f>
        <v>-0.00170537175033903</v>
      </c>
      <c r="D357" s="17" t="n">
        <f aca="false">MAX(C357-$H$15,0)</f>
        <v>0</v>
      </c>
      <c r="E357" s="36" t="n">
        <v>0</v>
      </c>
      <c r="F357" s="17" t="n">
        <f aca="false">E357+$H$24-C357</f>
        <v>0.015456580756339</v>
      </c>
    </row>
    <row r="358" customFormat="false" ht="15" hidden="false" customHeight="true" outlineLevel="0" collapsed="false">
      <c r="A358" s="23" t="n">
        <f aca="false">Daily_Returns_Raw_Data!A335</f>
        <v>42856</v>
      </c>
      <c r="B358" s="17" t="n">
        <f aca="false">SUMPRODUCT(Daily_Returns_Raw_Data!B335:X335,$AB$3:$AX$3)</f>
        <v>-0.00228387028827848</v>
      </c>
      <c r="C358" s="17" t="n">
        <f aca="false">-B358</f>
        <v>0.00228387028827848</v>
      </c>
      <c r="D358" s="17" t="n">
        <f aca="false">MAX(C358-$H$15,0)</f>
        <v>0</v>
      </c>
      <c r="E358" s="36" t="n">
        <v>0</v>
      </c>
      <c r="F358" s="17" t="n">
        <f aca="false">E358+$H$24-C358</f>
        <v>0.0114673387177215</v>
      </c>
    </row>
    <row r="359" customFormat="false" ht="15" hidden="false" customHeight="true" outlineLevel="0" collapsed="false">
      <c r="A359" s="23" t="n">
        <f aca="false">Daily_Returns_Raw_Data!A336</f>
        <v>42857</v>
      </c>
      <c r="B359" s="17" t="n">
        <f aca="false">SUMPRODUCT(Daily_Returns_Raw_Data!B336:X336,$AB$3:$AX$3)</f>
        <v>0.00188872129470438</v>
      </c>
      <c r="C359" s="17" t="n">
        <f aca="false">-B359</f>
        <v>-0.00188872129470438</v>
      </c>
      <c r="D359" s="17" t="n">
        <f aca="false">MAX(C359-$H$15,0)</f>
        <v>0</v>
      </c>
      <c r="E359" s="36" t="n">
        <v>0</v>
      </c>
      <c r="F359" s="17" t="n">
        <f aca="false">E359+$H$24-C359</f>
        <v>0.0156399303007044</v>
      </c>
    </row>
    <row r="360" customFormat="false" ht="15" hidden="false" customHeight="true" outlineLevel="0" collapsed="false">
      <c r="A360" s="23" t="n">
        <f aca="false">Daily_Returns_Raw_Data!A337</f>
        <v>42858</v>
      </c>
      <c r="B360" s="17" t="n">
        <f aca="false">SUMPRODUCT(Daily_Returns_Raw_Data!B337:X337,$AB$3:$AX$3)</f>
        <v>-0.00967928190193293</v>
      </c>
      <c r="C360" s="17" t="n">
        <f aca="false">-B360</f>
        <v>0.00967928190193293</v>
      </c>
      <c r="D360" s="17" t="n">
        <f aca="false">MAX(C360-$H$15,0)</f>
        <v>0</v>
      </c>
      <c r="E360" s="36" t="n">
        <v>0</v>
      </c>
      <c r="F360" s="17" t="n">
        <f aca="false">E360+$H$24-C360</f>
        <v>0.00407192710406707</v>
      </c>
    </row>
    <row r="361" customFormat="false" ht="15" hidden="false" customHeight="true" outlineLevel="0" collapsed="false">
      <c r="A361" s="23" t="n">
        <f aca="false">Daily_Returns_Raw_Data!A338</f>
        <v>42859</v>
      </c>
      <c r="B361" s="17" t="n">
        <f aca="false">SUMPRODUCT(Daily_Returns_Raw_Data!B338:X338,$AB$3:$AX$3)</f>
        <v>0.00397614160081074</v>
      </c>
      <c r="C361" s="17" t="n">
        <f aca="false">-B361</f>
        <v>-0.00397614160081074</v>
      </c>
      <c r="D361" s="17" t="n">
        <f aca="false">MAX(C361-$H$15,0)</f>
        <v>0</v>
      </c>
      <c r="E361" s="36" t="n">
        <v>0</v>
      </c>
      <c r="F361" s="17" t="n">
        <f aca="false">E361+$H$24-C361</f>
        <v>0.0177273506068107</v>
      </c>
    </row>
    <row r="362" customFormat="false" ht="15" hidden="false" customHeight="true" outlineLevel="0" collapsed="false">
      <c r="A362" s="23" t="n">
        <f aca="false">Daily_Returns_Raw_Data!A339</f>
        <v>42860</v>
      </c>
      <c r="B362" s="17" t="n">
        <f aca="false">SUMPRODUCT(Daily_Returns_Raw_Data!B339:X339,$AB$3:$AX$3)</f>
        <v>0.00337463825455907</v>
      </c>
      <c r="C362" s="17" t="n">
        <f aca="false">-B362</f>
        <v>-0.00337463825455907</v>
      </c>
      <c r="D362" s="17" t="n">
        <f aca="false">MAX(C362-$H$15,0)</f>
        <v>0</v>
      </c>
      <c r="E362" s="36" t="n">
        <v>0</v>
      </c>
      <c r="F362" s="17" t="n">
        <f aca="false">E362+$H$24-C362</f>
        <v>0.0171258472605591</v>
      </c>
    </row>
    <row r="363" customFormat="false" ht="15" hidden="false" customHeight="true" outlineLevel="0" collapsed="false">
      <c r="A363" s="23" t="n">
        <f aca="false">Daily_Returns_Raw_Data!A340</f>
        <v>42863</v>
      </c>
      <c r="B363" s="17" t="n">
        <f aca="false">SUMPRODUCT(Daily_Returns_Raw_Data!B340:X340,$AB$3:$AX$3)</f>
        <v>-0.00284781128828469</v>
      </c>
      <c r="C363" s="17" t="n">
        <f aca="false">-B363</f>
        <v>0.00284781128828469</v>
      </c>
      <c r="D363" s="17" t="n">
        <f aca="false">MAX(C363-$H$15,0)</f>
        <v>0</v>
      </c>
      <c r="E363" s="36" t="n">
        <v>0</v>
      </c>
      <c r="F363" s="17" t="n">
        <f aca="false">E363+$H$24-C363</f>
        <v>0.0109033977177153</v>
      </c>
    </row>
    <row r="364" customFormat="false" ht="15" hidden="false" customHeight="true" outlineLevel="0" collapsed="false">
      <c r="A364" s="23" t="n">
        <f aca="false">Daily_Returns_Raw_Data!A341</f>
        <v>42864</v>
      </c>
      <c r="B364" s="17" t="n">
        <f aca="false">SUMPRODUCT(Daily_Returns_Raw_Data!B341:X341,$AB$3:$AX$3)</f>
        <v>-0.00172589166219259</v>
      </c>
      <c r="C364" s="17" t="n">
        <f aca="false">-B364</f>
        <v>0.00172589166219259</v>
      </c>
      <c r="D364" s="17" t="n">
        <f aca="false">MAX(C364-$H$15,0)</f>
        <v>0</v>
      </c>
      <c r="E364" s="36" t="n">
        <v>0</v>
      </c>
      <c r="F364" s="17" t="n">
        <f aca="false">E364+$H$24-C364</f>
        <v>0.0120253173438074</v>
      </c>
    </row>
    <row r="365" customFormat="false" ht="15" hidden="false" customHeight="true" outlineLevel="0" collapsed="false">
      <c r="A365" s="23" t="n">
        <f aca="false">Daily_Returns_Raw_Data!A342</f>
        <v>42865</v>
      </c>
      <c r="B365" s="17" t="n">
        <f aca="false">SUMPRODUCT(Daily_Returns_Raw_Data!B342:X342,$AB$3:$AX$3)</f>
        <v>0.00779110804363717</v>
      </c>
      <c r="C365" s="17" t="n">
        <f aca="false">-B365</f>
        <v>-0.00779110804363717</v>
      </c>
      <c r="D365" s="17" t="n">
        <f aca="false">MAX(C365-$H$15,0)</f>
        <v>0</v>
      </c>
      <c r="E365" s="36" t="n">
        <v>0</v>
      </c>
      <c r="F365" s="17" t="n">
        <f aca="false">E365+$H$24-C365</f>
        <v>0.0215423170496372</v>
      </c>
    </row>
    <row r="366" customFormat="false" ht="15" hidden="false" customHeight="true" outlineLevel="0" collapsed="false">
      <c r="A366" s="23" t="n">
        <f aca="false">Daily_Returns_Raw_Data!A343</f>
        <v>42866</v>
      </c>
      <c r="B366" s="17" t="n">
        <f aca="false">SUMPRODUCT(Daily_Returns_Raw_Data!B343:X343,$AB$3:$AX$3)</f>
        <v>-0.00849216420313651</v>
      </c>
      <c r="C366" s="17" t="n">
        <f aca="false">-B366</f>
        <v>0.00849216420313651</v>
      </c>
      <c r="D366" s="17" t="n">
        <f aca="false">MAX(C366-$H$15,0)</f>
        <v>0</v>
      </c>
      <c r="E366" s="36" t="n">
        <v>0</v>
      </c>
      <c r="F366" s="17" t="n">
        <f aca="false">E366+$H$24-C366</f>
        <v>0.00525904480286349</v>
      </c>
    </row>
    <row r="367" customFormat="false" ht="15" hidden="false" customHeight="true" outlineLevel="0" collapsed="false">
      <c r="A367" s="23" t="n">
        <f aca="false">Daily_Returns_Raw_Data!A344</f>
        <v>42867</v>
      </c>
      <c r="B367" s="17" t="n">
        <f aca="false">SUMPRODUCT(Daily_Returns_Raw_Data!B344:X344,$AB$3:$AX$3)</f>
        <v>0.013810400122687</v>
      </c>
      <c r="C367" s="17" t="n">
        <f aca="false">-B367</f>
        <v>-0.013810400122687</v>
      </c>
      <c r="D367" s="17" t="n">
        <f aca="false">MAX(C367-$H$15,0)</f>
        <v>0</v>
      </c>
      <c r="E367" s="36" t="n">
        <v>0</v>
      </c>
      <c r="F367" s="17" t="n">
        <f aca="false">E367+$H$24-C367</f>
        <v>0.027561609128687</v>
      </c>
    </row>
    <row r="368" customFormat="false" ht="15" hidden="false" customHeight="true" outlineLevel="0" collapsed="false">
      <c r="A368" s="23" t="n">
        <f aca="false">Daily_Returns_Raw_Data!A345</f>
        <v>42870</v>
      </c>
      <c r="B368" s="17" t="n">
        <f aca="false">SUMPRODUCT(Daily_Returns_Raw_Data!B345:X345,$AB$3:$AX$3)</f>
        <v>0.00251519424938981</v>
      </c>
      <c r="C368" s="17" t="n">
        <f aca="false">-B368</f>
        <v>-0.00251519424938981</v>
      </c>
      <c r="D368" s="17" t="n">
        <f aca="false">MAX(C368-$H$15,0)</f>
        <v>0</v>
      </c>
      <c r="E368" s="36" t="n">
        <v>0</v>
      </c>
      <c r="F368" s="17" t="n">
        <f aca="false">E368+$H$24-C368</f>
        <v>0.0162664032553898</v>
      </c>
    </row>
    <row r="369" customFormat="false" ht="15" hidden="false" customHeight="true" outlineLevel="0" collapsed="false">
      <c r="A369" s="23" t="n">
        <f aca="false">Daily_Returns_Raw_Data!A346</f>
        <v>42871</v>
      </c>
      <c r="B369" s="17" t="n">
        <f aca="false">SUMPRODUCT(Daily_Returns_Raw_Data!B346:X346,$AB$3:$AX$3)</f>
        <v>-0.0256711738732267</v>
      </c>
      <c r="C369" s="17" t="n">
        <f aca="false">-B369</f>
        <v>0.0256711738732267</v>
      </c>
      <c r="D369" s="17" t="n">
        <f aca="false">MAX(C369-$H$15,0)</f>
        <v>0.0119199648669765</v>
      </c>
      <c r="E369" s="36" t="n">
        <v>0.011919964867</v>
      </c>
      <c r="F369" s="17" t="n">
        <f aca="false">E369+$H$24-C369</f>
        <v>-2.26683255499793E-013</v>
      </c>
    </row>
    <row r="370" customFormat="false" ht="15" hidden="false" customHeight="true" outlineLevel="0" collapsed="false">
      <c r="A370" s="23" t="n">
        <f aca="false">Daily_Returns_Raw_Data!A347</f>
        <v>42872</v>
      </c>
      <c r="B370" s="17" t="n">
        <f aca="false">SUMPRODUCT(Daily_Returns_Raw_Data!B347:X347,$AB$3:$AX$3)</f>
        <v>-0.00998293930981077</v>
      </c>
      <c r="C370" s="17" t="n">
        <f aca="false">-B370</f>
        <v>0.00998293930981077</v>
      </c>
      <c r="D370" s="17" t="n">
        <f aca="false">MAX(C370-$H$15,0)</f>
        <v>0</v>
      </c>
      <c r="E370" s="36" t="n">
        <v>0</v>
      </c>
      <c r="F370" s="17" t="n">
        <f aca="false">E370+$H$24-C370</f>
        <v>0.00376826969618923</v>
      </c>
    </row>
    <row r="371" customFormat="false" ht="15" hidden="false" customHeight="true" outlineLevel="0" collapsed="false">
      <c r="A371" s="23" t="n">
        <f aca="false">Daily_Returns_Raw_Data!A348</f>
        <v>42873</v>
      </c>
      <c r="B371" s="17" t="n">
        <f aca="false">SUMPRODUCT(Daily_Returns_Raw_Data!B348:X348,$AB$3:$AX$3)</f>
        <v>0.0150566993800071</v>
      </c>
      <c r="C371" s="17" t="n">
        <f aca="false">-B371</f>
        <v>-0.0150566993800071</v>
      </c>
      <c r="D371" s="17" t="n">
        <f aca="false">MAX(C371-$H$15,0)</f>
        <v>0</v>
      </c>
      <c r="E371" s="36" t="n">
        <v>0</v>
      </c>
      <c r="F371" s="17" t="n">
        <f aca="false">E371+$H$24-C371</f>
        <v>0.0288079083860071</v>
      </c>
    </row>
    <row r="372" customFormat="false" ht="15" hidden="false" customHeight="true" outlineLevel="0" collapsed="false">
      <c r="A372" s="23" t="n">
        <f aca="false">Daily_Returns_Raw_Data!A349</f>
        <v>42874</v>
      </c>
      <c r="B372" s="17" t="n">
        <f aca="false">SUMPRODUCT(Daily_Returns_Raw_Data!B349:X349,$AB$3:$AX$3)</f>
        <v>0.0106909377387359</v>
      </c>
      <c r="C372" s="17" t="n">
        <f aca="false">-B372</f>
        <v>-0.0106909377387359</v>
      </c>
      <c r="D372" s="17" t="n">
        <f aca="false">MAX(C372-$H$15,0)</f>
        <v>0</v>
      </c>
      <c r="E372" s="36" t="n">
        <v>0</v>
      </c>
      <c r="F372" s="17" t="n">
        <f aca="false">E372+$H$24-C372</f>
        <v>0.0244421467447359</v>
      </c>
    </row>
    <row r="373" customFormat="false" ht="15" hidden="false" customHeight="true" outlineLevel="0" collapsed="false">
      <c r="A373" s="23" t="n">
        <f aca="false">Daily_Returns_Raw_Data!A350</f>
        <v>42877</v>
      </c>
      <c r="B373" s="17" t="n">
        <f aca="false">SUMPRODUCT(Daily_Returns_Raw_Data!B350:X350,$AB$3:$AX$3)</f>
        <v>-0.000585763262055152</v>
      </c>
      <c r="C373" s="17" t="n">
        <f aca="false">-B373</f>
        <v>0.000585763262055152</v>
      </c>
      <c r="D373" s="17" t="n">
        <f aca="false">MAX(C373-$H$15,0)</f>
        <v>0</v>
      </c>
      <c r="E373" s="36" t="n">
        <v>0</v>
      </c>
      <c r="F373" s="17" t="n">
        <f aca="false">E373+$H$24-C373</f>
        <v>0.0131654457439448</v>
      </c>
    </row>
    <row r="374" customFormat="false" ht="15" hidden="false" customHeight="true" outlineLevel="0" collapsed="false">
      <c r="A374" s="23" t="n">
        <f aca="false">Daily_Returns_Raw_Data!A351</f>
        <v>42878</v>
      </c>
      <c r="B374" s="17" t="n">
        <f aca="false">SUMPRODUCT(Daily_Returns_Raw_Data!B351:X351,$AB$3:$AX$3)</f>
        <v>0.0076843807852576</v>
      </c>
      <c r="C374" s="17" t="n">
        <f aca="false">-B374</f>
        <v>-0.0076843807852576</v>
      </c>
      <c r="D374" s="17" t="n">
        <f aca="false">MAX(C374-$H$15,0)</f>
        <v>0</v>
      </c>
      <c r="E374" s="36" t="n">
        <v>0</v>
      </c>
      <c r="F374" s="17" t="n">
        <f aca="false">E374+$H$24-C374</f>
        <v>0.0214355897912576</v>
      </c>
    </row>
    <row r="375" customFormat="false" ht="15" hidden="false" customHeight="true" outlineLevel="0" collapsed="false">
      <c r="A375" s="23" t="n">
        <f aca="false">Daily_Returns_Raw_Data!A352</f>
        <v>42879</v>
      </c>
      <c r="B375" s="17" t="n">
        <f aca="false">SUMPRODUCT(Daily_Returns_Raw_Data!B352:X352,$AB$3:$AX$3)</f>
        <v>0.00343669757839746</v>
      </c>
      <c r="C375" s="17" t="n">
        <f aca="false">-B375</f>
        <v>-0.00343669757839746</v>
      </c>
      <c r="D375" s="17" t="n">
        <f aca="false">MAX(C375-$H$15,0)</f>
        <v>0</v>
      </c>
      <c r="E375" s="36" t="n">
        <v>0</v>
      </c>
      <c r="F375" s="17" t="n">
        <f aca="false">E375+$H$24-C375</f>
        <v>0.0171879065843975</v>
      </c>
    </row>
    <row r="376" customFormat="false" ht="15" hidden="false" customHeight="true" outlineLevel="0" collapsed="false">
      <c r="A376" s="23" t="n">
        <f aca="false">Daily_Returns_Raw_Data!A353</f>
        <v>42880</v>
      </c>
      <c r="B376" s="17" t="n">
        <f aca="false">SUMPRODUCT(Daily_Returns_Raw_Data!B353:X353,$AB$3:$AX$3)</f>
        <v>0.0119651644567547</v>
      </c>
      <c r="C376" s="17" t="n">
        <f aca="false">-B376</f>
        <v>-0.0119651644567547</v>
      </c>
      <c r="D376" s="17" t="n">
        <f aca="false">MAX(C376-$H$15,0)</f>
        <v>0</v>
      </c>
      <c r="E376" s="36" t="n">
        <v>0</v>
      </c>
      <c r="F376" s="17" t="n">
        <f aca="false">E376+$H$24-C376</f>
        <v>0.0257163734627547</v>
      </c>
    </row>
    <row r="377" customFormat="false" ht="15" hidden="false" customHeight="true" outlineLevel="0" collapsed="false">
      <c r="A377" s="23" t="n">
        <f aca="false">Daily_Returns_Raw_Data!A354</f>
        <v>42881</v>
      </c>
      <c r="B377" s="17" t="n">
        <f aca="false">SUMPRODUCT(Daily_Returns_Raw_Data!B354:X354,$AB$3:$AX$3)</f>
        <v>-0.00505340343736121</v>
      </c>
      <c r="C377" s="17" t="n">
        <f aca="false">-B377</f>
        <v>0.00505340343736121</v>
      </c>
      <c r="D377" s="17" t="n">
        <f aca="false">MAX(C377-$H$15,0)</f>
        <v>0</v>
      </c>
      <c r="E377" s="36" t="n">
        <v>0</v>
      </c>
      <c r="F377" s="17" t="n">
        <f aca="false">E377+$H$24-C377</f>
        <v>0.00869780556863879</v>
      </c>
    </row>
    <row r="378" customFormat="false" ht="15" hidden="false" customHeight="true" outlineLevel="0" collapsed="false">
      <c r="A378" s="23" t="n">
        <f aca="false">Daily_Returns_Raw_Data!A355</f>
        <v>42885</v>
      </c>
      <c r="B378" s="17" t="n">
        <f aca="false">SUMPRODUCT(Daily_Returns_Raw_Data!B355:X355,$AB$3:$AX$3)</f>
        <v>-0.0153405111966067</v>
      </c>
      <c r="C378" s="17" t="n">
        <f aca="false">-B378</f>
        <v>0.0153405111966067</v>
      </c>
      <c r="D378" s="17" t="n">
        <f aca="false">MAX(C378-$H$15,0)</f>
        <v>0.00158930219035656</v>
      </c>
      <c r="E378" s="36" t="n">
        <v>0.00158930219</v>
      </c>
      <c r="F378" s="17" t="n">
        <f aca="false">E378+$H$24-C378</f>
        <v>-6.06747291298504E-013</v>
      </c>
    </row>
    <row r="379" customFormat="false" ht="15" hidden="false" customHeight="true" outlineLevel="0" collapsed="false">
      <c r="A379" s="23" t="n">
        <f aca="false">Daily_Returns_Raw_Data!A356</f>
        <v>42886</v>
      </c>
      <c r="B379" s="17" t="n">
        <f aca="false">SUMPRODUCT(Daily_Returns_Raw_Data!B356:X356,$AB$3:$AX$3)</f>
        <v>0.00643427733399675</v>
      </c>
      <c r="C379" s="17" t="n">
        <f aca="false">-B379</f>
        <v>-0.00643427733399675</v>
      </c>
      <c r="D379" s="17" t="n">
        <f aca="false">MAX(C379-$H$15,0)</f>
        <v>0</v>
      </c>
      <c r="E379" s="36" t="n">
        <v>0</v>
      </c>
      <c r="F379" s="17" t="n">
        <f aca="false">E379+$H$24-C379</f>
        <v>0.0201854863399967</v>
      </c>
    </row>
    <row r="380" customFormat="false" ht="15" hidden="false" customHeight="true" outlineLevel="0" collapsed="false">
      <c r="A380" s="23" t="n">
        <f aca="false">Daily_Returns_Raw_Data!A357</f>
        <v>42887</v>
      </c>
      <c r="B380" s="17" t="n">
        <f aca="false">SUMPRODUCT(Daily_Returns_Raw_Data!B357:X357,$AB$3:$AX$3)</f>
        <v>-0.013096996277823</v>
      </c>
      <c r="C380" s="17" t="n">
        <f aca="false">-B380</f>
        <v>0.013096996277823</v>
      </c>
      <c r="D380" s="17" t="n">
        <f aca="false">MAX(C380-$H$15,0)</f>
        <v>0</v>
      </c>
      <c r="E380" s="36" t="n">
        <v>0</v>
      </c>
      <c r="F380" s="17" t="n">
        <f aca="false">E380+$H$24-C380</f>
        <v>0.000654212728176978</v>
      </c>
    </row>
    <row r="381" customFormat="false" ht="15" hidden="false" customHeight="true" outlineLevel="0" collapsed="false">
      <c r="A381" s="23" t="n">
        <f aca="false">Daily_Returns_Raw_Data!A358</f>
        <v>42888</v>
      </c>
      <c r="B381" s="17" t="n">
        <f aca="false">SUMPRODUCT(Daily_Returns_Raw_Data!B358:X358,$AB$3:$AX$3)</f>
        <v>-0.0129802993848825</v>
      </c>
      <c r="C381" s="17" t="n">
        <f aca="false">-B381</f>
        <v>0.0129802993848825</v>
      </c>
      <c r="D381" s="17" t="n">
        <f aca="false">MAX(C381-$H$15,0)</f>
        <v>0</v>
      </c>
      <c r="E381" s="36" t="n">
        <v>0</v>
      </c>
      <c r="F381" s="17" t="n">
        <f aca="false">E381+$H$24-C381</f>
        <v>0.000770909621117543</v>
      </c>
    </row>
    <row r="382" customFormat="false" ht="15" hidden="false" customHeight="true" outlineLevel="0" collapsed="false">
      <c r="A382" s="23" t="n">
        <f aca="false">Daily_Returns_Raw_Data!A359</f>
        <v>42891</v>
      </c>
      <c r="B382" s="17" t="n">
        <f aca="false">SUMPRODUCT(Daily_Returns_Raw_Data!B359:X359,$AB$3:$AX$3)</f>
        <v>-0.00290971031355654</v>
      </c>
      <c r="C382" s="17" t="n">
        <f aca="false">-B382</f>
        <v>0.00290971031355654</v>
      </c>
      <c r="D382" s="17" t="n">
        <f aca="false">MAX(C382-$H$15,0)</f>
        <v>0</v>
      </c>
      <c r="E382" s="36" t="n">
        <v>0</v>
      </c>
      <c r="F382" s="17" t="n">
        <f aca="false">E382+$H$24-C382</f>
        <v>0.0108414986924435</v>
      </c>
    </row>
    <row r="383" customFormat="false" ht="15" hidden="false" customHeight="true" outlineLevel="0" collapsed="false">
      <c r="A383" s="23" t="n">
        <f aca="false">Daily_Returns_Raw_Data!A360</f>
        <v>42892</v>
      </c>
      <c r="B383" s="17" t="n">
        <f aca="false">SUMPRODUCT(Daily_Returns_Raw_Data!B360:X360,$AB$3:$AX$3)</f>
        <v>0.0147483309112517</v>
      </c>
      <c r="C383" s="17" t="n">
        <f aca="false">-B383</f>
        <v>-0.0147483309112517</v>
      </c>
      <c r="D383" s="17" t="n">
        <f aca="false">MAX(C383-$H$15,0)</f>
        <v>0</v>
      </c>
      <c r="E383" s="36" t="n">
        <v>0</v>
      </c>
      <c r="F383" s="17" t="n">
        <f aca="false">E383+$H$24-C383</f>
        <v>0.0284995399172517</v>
      </c>
    </row>
    <row r="384" customFormat="false" ht="15" hidden="false" customHeight="true" outlineLevel="0" collapsed="false">
      <c r="A384" s="23" t="n">
        <f aca="false">Daily_Returns_Raw_Data!A361</f>
        <v>42893</v>
      </c>
      <c r="B384" s="17" t="n">
        <f aca="false">SUMPRODUCT(Daily_Returns_Raw_Data!B361:X361,$AB$3:$AX$3)</f>
        <v>0.0146540150269637</v>
      </c>
      <c r="C384" s="17" t="n">
        <f aca="false">-B384</f>
        <v>-0.0146540150269637</v>
      </c>
      <c r="D384" s="17" t="n">
        <f aca="false">MAX(C384-$H$15,0)</f>
        <v>0</v>
      </c>
      <c r="E384" s="36" t="n">
        <v>0</v>
      </c>
      <c r="F384" s="17" t="n">
        <f aca="false">E384+$H$24-C384</f>
        <v>0.0284052240329637</v>
      </c>
    </row>
    <row r="385" customFormat="false" ht="15" hidden="false" customHeight="true" outlineLevel="0" collapsed="false">
      <c r="A385" s="23" t="n">
        <f aca="false">Daily_Returns_Raw_Data!A362</f>
        <v>42894</v>
      </c>
      <c r="B385" s="17" t="n">
        <f aca="false">SUMPRODUCT(Daily_Returns_Raw_Data!B362:X362,$AB$3:$AX$3)</f>
        <v>-0.0100993222074402</v>
      </c>
      <c r="C385" s="17" t="n">
        <f aca="false">-B385</f>
        <v>0.0100993222074402</v>
      </c>
      <c r="D385" s="17" t="n">
        <f aca="false">MAX(C385-$H$15,0)</f>
        <v>0</v>
      </c>
      <c r="E385" s="36" t="n">
        <v>0</v>
      </c>
      <c r="F385" s="17" t="n">
        <f aca="false">E385+$H$24-C385</f>
        <v>0.00365188679855982</v>
      </c>
    </row>
    <row r="386" customFormat="false" ht="15" hidden="false" customHeight="true" outlineLevel="0" collapsed="false">
      <c r="A386" s="23" t="n">
        <f aca="false">Daily_Returns_Raw_Data!A363</f>
        <v>42895</v>
      </c>
      <c r="B386" s="17" t="n">
        <f aca="false">SUMPRODUCT(Daily_Returns_Raw_Data!B363:X363,$AB$3:$AX$3)</f>
        <v>0.000944193399385948</v>
      </c>
      <c r="C386" s="17" t="n">
        <f aca="false">-B386</f>
        <v>-0.000944193399385948</v>
      </c>
      <c r="D386" s="17" t="n">
        <f aca="false">MAX(C386-$H$15,0)</f>
        <v>0</v>
      </c>
      <c r="E386" s="36" t="n">
        <v>0</v>
      </c>
      <c r="F386" s="17" t="n">
        <f aca="false">E386+$H$24-C386</f>
        <v>0.0146954024053859</v>
      </c>
    </row>
    <row r="387" customFormat="false" ht="15" hidden="false" customHeight="true" outlineLevel="0" collapsed="false">
      <c r="A387" s="23" t="n">
        <f aca="false">Daily_Returns_Raw_Data!A364</f>
        <v>42898</v>
      </c>
      <c r="B387" s="17" t="n">
        <f aca="false">SUMPRODUCT(Daily_Returns_Raw_Data!B364:X364,$AB$3:$AX$3)</f>
        <v>-0.00321440192202988</v>
      </c>
      <c r="C387" s="17" t="n">
        <f aca="false">-B387</f>
        <v>0.00321440192202988</v>
      </c>
      <c r="D387" s="17" t="n">
        <f aca="false">MAX(C387-$H$15,0)</f>
        <v>0</v>
      </c>
      <c r="E387" s="36" t="n">
        <v>0</v>
      </c>
      <c r="F387" s="17" t="n">
        <f aca="false">E387+$H$24-C387</f>
        <v>0.0105368070839701</v>
      </c>
    </row>
    <row r="388" customFormat="false" ht="15" hidden="false" customHeight="true" outlineLevel="0" collapsed="false">
      <c r="A388" s="23" t="n">
        <f aca="false">Daily_Returns_Raw_Data!A365</f>
        <v>42899</v>
      </c>
      <c r="B388" s="17" t="n">
        <f aca="false">SUMPRODUCT(Daily_Returns_Raw_Data!B365:X365,$AB$3:$AX$3)</f>
        <v>-0.00223216199934299</v>
      </c>
      <c r="C388" s="17" t="n">
        <f aca="false">-B388</f>
        <v>0.00223216199934299</v>
      </c>
      <c r="D388" s="17" t="n">
        <f aca="false">MAX(C388-$H$15,0)</f>
        <v>0</v>
      </c>
      <c r="E388" s="36" t="n">
        <v>0</v>
      </c>
      <c r="F388" s="17" t="n">
        <f aca="false">E388+$H$24-C388</f>
        <v>0.011519047006657</v>
      </c>
    </row>
    <row r="389" customFormat="false" ht="15" hidden="false" customHeight="true" outlineLevel="0" collapsed="false">
      <c r="A389" s="23" t="n">
        <f aca="false">Daily_Returns_Raw_Data!A366</f>
        <v>42900</v>
      </c>
      <c r="B389" s="17" t="n">
        <f aca="false">SUMPRODUCT(Daily_Returns_Raw_Data!B366:X366,$AB$3:$AX$3)</f>
        <v>-0.0112289586619435</v>
      </c>
      <c r="C389" s="17" t="n">
        <f aca="false">-B389</f>
        <v>0.0112289586619435</v>
      </c>
      <c r="D389" s="17" t="n">
        <f aca="false">MAX(C389-$H$15,0)</f>
        <v>0</v>
      </c>
      <c r="E389" s="36" t="n">
        <v>0</v>
      </c>
      <c r="F389" s="17" t="n">
        <f aca="false">E389+$H$24-C389</f>
        <v>0.00252225034405647</v>
      </c>
    </row>
    <row r="390" customFormat="false" ht="15" hidden="false" customHeight="true" outlineLevel="0" collapsed="false">
      <c r="A390" s="23" t="n">
        <f aca="false">Daily_Returns_Raw_Data!A367</f>
        <v>42901</v>
      </c>
      <c r="B390" s="17" t="n">
        <f aca="false">SUMPRODUCT(Daily_Returns_Raw_Data!B367:X367,$AB$3:$AX$3)</f>
        <v>0.00884152423008549</v>
      </c>
      <c r="C390" s="17" t="n">
        <f aca="false">-B390</f>
        <v>-0.00884152423008549</v>
      </c>
      <c r="D390" s="17" t="n">
        <f aca="false">MAX(C390-$H$15,0)</f>
        <v>0</v>
      </c>
      <c r="E390" s="36" t="n">
        <v>0</v>
      </c>
      <c r="F390" s="17" t="n">
        <f aca="false">E390+$H$24-C390</f>
        <v>0.0225927332360855</v>
      </c>
    </row>
    <row r="391" customFormat="false" ht="15" hidden="false" customHeight="true" outlineLevel="0" collapsed="false">
      <c r="A391" s="23" t="n">
        <f aca="false">Daily_Returns_Raw_Data!A368</f>
        <v>42902</v>
      </c>
      <c r="B391" s="17" t="n">
        <f aca="false">SUMPRODUCT(Daily_Returns_Raw_Data!B368:X368,$AB$3:$AX$3)</f>
        <v>0.0108707538963258</v>
      </c>
      <c r="C391" s="17" t="n">
        <f aca="false">-B391</f>
        <v>-0.0108707538963258</v>
      </c>
      <c r="D391" s="17" t="n">
        <f aca="false">MAX(C391-$H$15,0)</f>
        <v>0</v>
      </c>
      <c r="E391" s="36" t="n">
        <v>0</v>
      </c>
      <c r="F391" s="17" t="n">
        <f aca="false">E391+$H$24-C391</f>
        <v>0.0246219629023258</v>
      </c>
    </row>
    <row r="392" customFormat="false" ht="15" hidden="false" customHeight="true" outlineLevel="0" collapsed="false">
      <c r="A392" s="23" t="n">
        <f aca="false">Daily_Returns_Raw_Data!A369</f>
        <v>42905</v>
      </c>
      <c r="B392" s="17" t="n">
        <f aca="false">SUMPRODUCT(Daily_Returns_Raw_Data!B369:X369,$AB$3:$AX$3)</f>
        <v>-0.00732678463636067</v>
      </c>
      <c r="C392" s="17" t="n">
        <f aca="false">-B392</f>
        <v>0.00732678463636067</v>
      </c>
      <c r="D392" s="17" t="n">
        <f aca="false">MAX(C392-$H$15,0)</f>
        <v>0</v>
      </c>
      <c r="E392" s="36" t="n">
        <v>0</v>
      </c>
      <c r="F392" s="17" t="n">
        <f aca="false">E392+$H$24-C392</f>
        <v>0.00642442436963933</v>
      </c>
    </row>
    <row r="393" customFormat="false" ht="15" hidden="false" customHeight="true" outlineLevel="0" collapsed="false">
      <c r="A393" s="23" t="n">
        <f aca="false">Daily_Returns_Raw_Data!A370</f>
        <v>42906</v>
      </c>
      <c r="B393" s="17" t="n">
        <f aca="false">SUMPRODUCT(Daily_Returns_Raw_Data!B370:X370,$AB$3:$AX$3)</f>
        <v>-0.00309363495686912</v>
      </c>
      <c r="C393" s="17" t="n">
        <f aca="false">-B393</f>
        <v>0.00309363495686912</v>
      </c>
      <c r="D393" s="17" t="n">
        <f aca="false">MAX(C393-$H$15,0)</f>
        <v>0</v>
      </c>
      <c r="E393" s="36" t="n">
        <v>0</v>
      </c>
      <c r="F393" s="17" t="n">
        <f aca="false">E393+$H$24-C393</f>
        <v>0.0106575740491309</v>
      </c>
    </row>
    <row r="394" customFormat="false" ht="15" hidden="false" customHeight="true" outlineLevel="0" collapsed="false">
      <c r="A394" s="23" t="n">
        <f aca="false">Daily_Returns_Raw_Data!A371</f>
        <v>42907</v>
      </c>
      <c r="B394" s="17" t="n">
        <f aca="false">SUMPRODUCT(Daily_Returns_Raw_Data!B371:X371,$AB$3:$AX$3)</f>
        <v>0.00699401184213298</v>
      </c>
      <c r="C394" s="17" t="n">
        <f aca="false">-B394</f>
        <v>-0.00699401184213298</v>
      </c>
      <c r="D394" s="17" t="n">
        <f aca="false">MAX(C394-$H$15,0)</f>
        <v>0</v>
      </c>
      <c r="E394" s="36" t="n">
        <v>0</v>
      </c>
      <c r="F394" s="17" t="n">
        <f aca="false">E394+$H$24-C394</f>
        <v>0.020745220848133</v>
      </c>
    </row>
    <row r="395" customFormat="false" ht="15" hidden="false" customHeight="true" outlineLevel="0" collapsed="false">
      <c r="A395" s="23" t="n">
        <f aca="false">Daily_Returns_Raw_Data!A372</f>
        <v>42908</v>
      </c>
      <c r="B395" s="17" t="n">
        <f aca="false">SUMPRODUCT(Daily_Returns_Raw_Data!B372:X372,$AB$3:$AX$3)</f>
        <v>-0.00189001363851469</v>
      </c>
      <c r="C395" s="17" t="n">
        <f aca="false">-B395</f>
        <v>0.00189001363851469</v>
      </c>
      <c r="D395" s="17" t="n">
        <f aca="false">MAX(C395-$H$15,0)</f>
        <v>0</v>
      </c>
      <c r="E395" s="36" t="n">
        <v>0</v>
      </c>
      <c r="F395" s="17" t="n">
        <f aca="false">E395+$H$24-C395</f>
        <v>0.0118611953674853</v>
      </c>
    </row>
    <row r="396" customFormat="false" ht="15" hidden="false" customHeight="true" outlineLevel="0" collapsed="false">
      <c r="A396" s="23" t="n">
        <f aca="false">Daily_Returns_Raw_Data!A373</f>
        <v>42909</v>
      </c>
      <c r="B396" s="17" t="n">
        <f aca="false">SUMPRODUCT(Daily_Returns_Raw_Data!B373:X373,$AB$3:$AX$3)</f>
        <v>0.00368715148695447</v>
      </c>
      <c r="C396" s="17" t="n">
        <f aca="false">-B396</f>
        <v>-0.00368715148695447</v>
      </c>
      <c r="D396" s="17" t="n">
        <f aca="false">MAX(C396-$H$15,0)</f>
        <v>0</v>
      </c>
      <c r="E396" s="36" t="n">
        <v>0</v>
      </c>
      <c r="F396" s="17" t="n">
        <f aca="false">E396+$H$24-C396</f>
        <v>0.0174383604929545</v>
      </c>
    </row>
    <row r="397" customFormat="false" ht="15" hidden="false" customHeight="true" outlineLevel="0" collapsed="false">
      <c r="A397" s="23" t="n">
        <f aca="false">Daily_Returns_Raw_Data!A374</f>
        <v>42912</v>
      </c>
      <c r="B397" s="17" t="n">
        <f aca="false">SUMPRODUCT(Daily_Returns_Raw_Data!B374:X374,$AB$3:$AX$3)</f>
        <v>-0.0159885060473796</v>
      </c>
      <c r="C397" s="17" t="n">
        <f aca="false">-B397</f>
        <v>0.0159885060473796</v>
      </c>
      <c r="D397" s="17" t="n">
        <f aca="false">MAX(C397-$H$15,0)</f>
        <v>0.00223729704112944</v>
      </c>
      <c r="E397" s="36" t="n">
        <v>0.002237297041</v>
      </c>
      <c r="F397" s="17" t="n">
        <f aca="false">E397+$H$24-C397</f>
        <v>-3.79630354929716E-013</v>
      </c>
    </row>
    <row r="398" customFormat="false" ht="15" hidden="false" customHeight="true" outlineLevel="0" collapsed="false">
      <c r="A398" s="23" t="n">
        <f aca="false">Daily_Returns_Raw_Data!A375</f>
        <v>42913</v>
      </c>
      <c r="B398" s="17" t="n">
        <f aca="false">SUMPRODUCT(Daily_Returns_Raw_Data!B375:X375,$AB$3:$AX$3)</f>
        <v>0.0133573374918501</v>
      </c>
      <c r="C398" s="17" t="n">
        <f aca="false">-B398</f>
        <v>-0.0133573374918501</v>
      </c>
      <c r="D398" s="17" t="n">
        <f aca="false">MAX(C398-$H$15,0)</f>
        <v>0</v>
      </c>
      <c r="E398" s="36" t="n">
        <v>0</v>
      </c>
      <c r="F398" s="17" t="n">
        <f aca="false">E398+$H$24-C398</f>
        <v>0.0271085464978501</v>
      </c>
    </row>
    <row r="399" customFormat="false" ht="15" hidden="false" customHeight="true" outlineLevel="0" collapsed="false">
      <c r="A399" s="23" t="n">
        <f aca="false">Daily_Returns_Raw_Data!A376</f>
        <v>42914</v>
      </c>
      <c r="B399" s="17" t="n">
        <f aca="false">SUMPRODUCT(Daily_Returns_Raw_Data!B376:X376,$AB$3:$AX$3)</f>
        <v>-0.0108595501606623</v>
      </c>
      <c r="C399" s="17" t="n">
        <f aca="false">-B399</f>
        <v>0.0108595501606623</v>
      </c>
      <c r="D399" s="17" t="n">
        <f aca="false">MAX(C399-$H$15,0)</f>
        <v>0</v>
      </c>
      <c r="E399" s="36" t="n">
        <v>0</v>
      </c>
      <c r="F399" s="17" t="n">
        <f aca="false">E399+$H$24-C399</f>
        <v>0.00289165884533771</v>
      </c>
    </row>
    <row r="400" customFormat="false" ht="15" hidden="false" customHeight="true" outlineLevel="0" collapsed="false">
      <c r="A400" s="23" t="n">
        <f aca="false">Daily_Returns_Raw_Data!A377</f>
        <v>42915</v>
      </c>
      <c r="B400" s="17" t="n">
        <f aca="false">SUMPRODUCT(Daily_Returns_Raw_Data!B377:X377,$AB$3:$AX$3)</f>
        <v>-0.00206416490616474</v>
      </c>
      <c r="C400" s="17" t="n">
        <f aca="false">-B400</f>
        <v>0.00206416490616474</v>
      </c>
      <c r="D400" s="17" t="n">
        <f aca="false">MAX(C400-$H$15,0)</f>
        <v>0</v>
      </c>
      <c r="E400" s="36" t="n">
        <v>0</v>
      </c>
      <c r="F400" s="17" t="n">
        <f aca="false">E400+$H$24-C400</f>
        <v>0.0116870440998353</v>
      </c>
    </row>
    <row r="401" customFormat="false" ht="15" hidden="false" customHeight="true" outlineLevel="0" collapsed="false">
      <c r="A401" s="23" t="n">
        <f aca="false">Daily_Returns_Raw_Data!A378</f>
        <v>42916</v>
      </c>
      <c r="B401" s="17" t="n">
        <f aca="false">SUMPRODUCT(Daily_Returns_Raw_Data!B378:X378,$AB$3:$AX$3)</f>
        <v>0.00231050836788734</v>
      </c>
      <c r="C401" s="17" t="n">
        <f aca="false">-B401</f>
        <v>-0.00231050836788734</v>
      </c>
      <c r="D401" s="17" t="n">
        <f aca="false">MAX(C401-$H$15,0)</f>
        <v>0</v>
      </c>
      <c r="E401" s="36" t="n">
        <v>0</v>
      </c>
      <c r="F401" s="17" t="n">
        <f aca="false">E401+$H$24-C401</f>
        <v>0.0160617173738873</v>
      </c>
    </row>
    <row r="402" customFormat="false" ht="15" hidden="false" customHeight="true" outlineLevel="0" collapsed="false">
      <c r="A402" s="23" t="n">
        <f aca="false">Daily_Returns_Raw_Data!A379</f>
        <v>42919</v>
      </c>
      <c r="B402" s="17" t="n">
        <f aca="false">SUMPRODUCT(Daily_Returns_Raw_Data!B379:X379,$AB$3:$AX$3)</f>
        <v>-0.00292995494148601</v>
      </c>
      <c r="C402" s="17" t="n">
        <f aca="false">-B402</f>
        <v>0.00292995494148601</v>
      </c>
      <c r="D402" s="17" t="n">
        <f aca="false">MAX(C402-$H$15,0)</f>
        <v>0</v>
      </c>
      <c r="E402" s="36" t="n">
        <v>0</v>
      </c>
      <c r="F402" s="17" t="n">
        <f aca="false">E402+$H$24-C402</f>
        <v>0.010821254064514</v>
      </c>
    </row>
    <row r="403" customFormat="false" ht="15" hidden="false" customHeight="true" outlineLevel="0" collapsed="false">
      <c r="A403" s="23" t="n">
        <f aca="false">Daily_Returns_Raw_Data!A380</f>
        <v>42921</v>
      </c>
      <c r="B403" s="17" t="n">
        <f aca="false">SUMPRODUCT(Daily_Returns_Raw_Data!B380:X380,$AB$3:$AX$3)</f>
        <v>-0.00916707340439126</v>
      </c>
      <c r="C403" s="17" t="n">
        <f aca="false">-B403</f>
        <v>0.00916707340439126</v>
      </c>
      <c r="D403" s="17" t="n">
        <f aca="false">MAX(C403-$H$15,0)</f>
        <v>0</v>
      </c>
      <c r="E403" s="36" t="n">
        <v>0</v>
      </c>
      <c r="F403" s="17" t="n">
        <f aca="false">E403+$H$24-C403</f>
        <v>0.00458413560160874</v>
      </c>
    </row>
    <row r="404" customFormat="false" ht="15" hidden="false" customHeight="true" outlineLevel="0" collapsed="false">
      <c r="A404" s="23" t="n">
        <f aca="false">Daily_Returns_Raw_Data!A381</f>
        <v>42922</v>
      </c>
      <c r="B404" s="17" t="n">
        <f aca="false">SUMPRODUCT(Daily_Returns_Raw_Data!B381:X381,$AB$3:$AX$3)</f>
        <v>-0.00658931115063289</v>
      </c>
      <c r="C404" s="17" t="n">
        <f aca="false">-B404</f>
        <v>0.00658931115063289</v>
      </c>
      <c r="D404" s="17" t="n">
        <f aca="false">MAX(C404-$H$15,0)</f>
        <v>0</v>
      </c>
      <c r="E404" s="36" t="n">
        <v>0</v>
      </c>
      <c r="F404" s="17" t="n">
        <f aca="false">E404+$H$24-C404</f>
        <v>0.00716189785536711</v>
      </c>
    </row>
    <row r="405" customFormat="false" ht="15" hidden="false" customHeight="true" outlineLevel="0" collapsed="false">
      <c r="A405" s="23" t="n">
        <f aca="false">Daily_Returns_Raw_Data!A382</f>
        <v>42923</v>
      </c>
      <c r="B405" s="17" t="n">
        <f aca="false">SUMPRODUCT(Daily_Returns_Raw_Data!B382:X382,$AB$3:$AX$3)</f>
        <v>0.010006183636051</v>
      </c>
      <c r="C405" s="17" t="n">
        <f aca="false">-B405</f>
        <v>-0.010006183636051</v>
      </c>
      <c r="D405" s="17" t="n">
        <f aca="false">MAX(C405-$H$15,0)</f>
        <v>0</v>
      </c>
      <c r="E405" s="36" t="n">
        <v>0</v>
      </c>
      <c r="F405" s="17" t="n">
        <f aca="false">E405+$H$24-C405</f>
        <v>0.023757392642051</v>
      </c>
    </row>
    <row r="406" customFormat="false" ht="15" hidden="false" customHeight="true" outlineLevel="0" collapsed="false">
      <c r="A406" s="23" t="n">
        <f aca="false">Daily_Returns_Raw_Data!A383</f>
        <v>42926</v>
      </c>
      <c r="B406" s="17" t="n">
        <f aca="false">SUMPRODUCT(Daily_Returns_Raw_Data!B383:X383,$AB$3:$AX$3)</f>
        <v>0.00183593703776131</v>
      </c>
      <c r="C406" s="17" t="n">
        <f aca="false">-B406</f>
        <v>-0.00183593703776131</v>
      </c>
      <c r="D406" s="17" t="n">
        <f aca="false">MAX(C406-$H$15,0)</f>
        <v>0</v>
      </c>
      <c r="E406" s="36" t="n">
        <v>0</v>
      </c>
      <c r="F406" s="17" t="n">
        <f aca="false">E406+$H$24-C406</f>
        <v>0.0155871460437613</v>
      </c>
    </row>
    <row r="407" customFormat="false" ht="15" hidden="false" customHeight="true" outlineLevel="0" collapsed="false">
      <c r="A407" s="23" t="n">
        <f aca="false">Daily_Returns_Raw_Data!A384</f>
        <v>42927</v>
      </c>
      <c r="B407" s="17" t="n">
        <f aca="false">SUMPRODUCT(Daily_Returns_Raw_Data!B384:X384,$AB$3:$AX$3)</f>
        <v>0.0266970408309463</v>
      </c>
      <c r="C407" s="17" t="n">
        <f aca="false">-B407</f>
        <v>-0.0266970408309463</v>
      </c>
      <c r="D407" s="17" t="n">
        <f aca="false">MAX(C407-$H$15,0)</f>
        <v>0</v>
      </c>
      <c r="E407" s="36" t="n">
        <v>0</v>
      </c>
      <c r="F407" s="17" t="n">
        <f aca="false">E407+$H$24-C407</f>
        <v>0.0404482498369463</v>
      </c>
    </row>
    <row r="408" customFormat="false" ht="15" hidden="false" customHeight="true" outlineLevel="0" collapsed="false">
      <c r="A408" s="23" t="n">
        <f aca="false">Daily_Returns_Raw_Data!A385</f>
        <v>42928</v>
      </c>
      <c r="B408" s="17" t="n">
        <f aca="false">SUMPRODUCT(Daily_Returns_Raw_Data!B385:X385,$AB$3:$AX$3)</f>
        <v>-0.00344048285446608</v>
      </c>
      <c r="C408" s="17" t="n">
        <f aca="false">-B408</f>
        <v>0.00344048285446608</v>
      </c>
      <c r="D408" s="17" t="n">
        <f aca="false">MAX(C408-$H$15,0)</f>
        <v>0</v>
      </c>
      <c r="E408" s="36" t="n">
        <v>0</v>
      </c>
      <c r="F408" s="17" t="n">
        <f aca="false">E408+$H$24-C408</f>
        <v>0.0103107261515339</v>
      </c>
    </row>
    <row r="409" customFormat="false" ht="15" hidden="false" customHeight="true" outlineLevel="0" collapsed="false">
      <c r="A409" s="23" t="n">
        <f aca="false">Daily_Returns_Raw_Data!A386</f>
        <v>42929</v>
      </c>
      <c r="B409" s="17" t="n">
        <f aca="false">SUMPRODUCT(Daily_Returns_Raw_Data!B386:X386,$AB$3:$AX$3)</f>
        <v>0.00479400848881676</v>
      </c>
      <c r="C409" s="17" t="n">
        <f aca="false">-B409</f>
        <v>-0.00479400848881676</v>
      </c>
      <c r="D409" s="17" t="n">
        <f aca="false">MAX(C409-$H$15,0)</f>
        <v>0</v>
      </c>
      <c r="E409" s="36" t="n">
        <v>0</v>
      </c>
      <c r="F409" s="17" t="n">
        <f aca="false">E409+$H$24-C409</f>
        <v>0.0185452174948168</v>
      </c>
    </row>
    <row r="410" customFormat="false" ht="15" hidden="false" customHeight="true" outlineLevel="0" collapsed="false">
      <c r="A410" s="23" t="n">
        <f aca="false">Daily_Returns_Raw_Data!A387</f>
        <v>42930</v>
      </c>
      <c r="B410" s="17" t="n">
        <f aca="false">SUMPRODUCT(Daily_Returns_Raw_Data!B387:X387,$AB$3:$AX$3)</f>
        <v>0.00293646258132315</v>
      </c>
      <c r="C410" s="17" t="n">
        <f aca="false">-B410</f>
        <v>-0.00293646258132315</v>
      </c>
      <c r="D410" s="17" t="n">
        <f aca="false">MAX(C410-$H$15,0)</f>
        <v>0</v>
      </c>
      <c r="E410" s="36" t="n">
        <v>0</v>
      </c>
      <c r="F410" s="17" t="n">
        <f aca="false">E410+$H$24-C410</f>
        <v>0.0166876715873232</v>
      </c>
    </row>
    <row r="411" customFormat="false" ht="15" hidden="false" customHeight="true" outlineLevel="0" collapsed="false">
      <c r="A411" s="23" t="n">
        <f aca="false">Daily_Returns_Raw_Data!A388</f>
        <v>42933</v>
      </c>
      <c r="B411" s="17" t="n">
        <f aca="false">SUMPRODUCT(Daily_Returns_Raw_Data!B388:X388,$AB$3:$AX$3)</f>
        <v>-8.16687734681574E-005</v>
      </c>
      <c r="C411" s="17" t="n">
        <f aca="false">-B411</f>
        <v>8.16687734681574E-005</v>
      </c>
      <c r="D411" s="17" t="n">
        <f aca="false">MAX(C411-$H$15,0)</f>
        <v>0</v>
      </c>
      <c r="E411" s="36" t="n">
        <v>0</v>
      </c>
      <c r="F411" s="17" t="n">
        <f aca="false">E411+$H$24-C411</f>
        <v>0.0136695402325318</v>
      </c>
    </row>
    <row r="412" customFormat="false" ht="15" hidden="false" customHeight="true" outlineLevel="0" collapsed="false">
      <c r="A412" s="23" t="n">
        <f aca="false">Daily_Returns_Raw_Data!A389</f>
        <v>42934</v>
      </c>
      <c r="B412" s="17" t="n">
        <f aca="false">SUMPRODUCT(Daily_Returns_Raw_Data!B389:X389,$AB$3:$AX$3)</f>
        <v>0.00733987320360612</v>
      </c>
      <c r="C412" s="17" t="n">
        <f aca="false">-B412</f>
        <v>-0.00733987320360612</v>
      </c>
      <c r="D412" s="17" t="n">
        <f aca="false">MAX(C412-$H$15,0)</f>
        <v>0</v>
      </c>
      <c r="E412" s="36" t="n">
        <v>0</v>
      </c>
      <c r="F412" s="17" t="n">
        <f aca="false">E412+$H$24-C412</f>
        <v>0.0210910822096061</v>
      </c>
    </row>
    <row r="413" customFormat="false" ht="15" hidden="false" customHeight="true" outlineLevel="0" collapsed="false">
      <c r="A413" s="23" t="n">
        <f aca="false">Daily_Returns_Raw_Data!A390</f>
        <v>42935</v>
      </c>
      <c r="B413" s="17" t="n">
        <f aca="false">SUMPRODUCT(Daily_Returns_Raw_Data!B390:X390,$AB$3:$AX$3)</f>
        <v>-0.0037340597520276</v>
      </c>
      <c r="C413" s="17" t="n">
        <f aca="false">-B413</f>
        <v>0.0037340597520276</v>
      </c>
      <c r="D413" s="17" t="n">
        <f aca="false">MAX(C413-$H$15,0)</f>
        <v>0</v>
      </c>
      <c r="E413" s="36" t="n">
        <v>0</v>
      </c>
      <c r="F413" s="17" t="n">
        <f aca="false">E413+$H$24-C413</f>
        <v>0.0100171492539724</v>
      </c>
    </row>
    <row r="414" customFormat="false" ht="15" hidden="false" customHeight="true" outlineLevel="0" collapsed="false">
      <c r="A414" s="23" t="n">
        <f aca="false">Daily_Returns_Raw_Data!A391</f>
        <v>42936</v>
      </c>
      <c r="B414" s="17" t="n">
        <f aca="false">SUMPRODUCT(Daily_Returns_Raw_Data!B391:X391,$AB$3:$AX$3)</f>
        <v>0.0111181359194248</v>
      </c>
      <c r="C414" s="17" t="n">
        <f aca="false">-B414</f>
        <v>-0.0111181359194248</v>
      </c>
      <c r="D414" s="17" t="n">
        <f aca="false">MAX(C414-$H$15,0)</f>
        <v>0</v>
      </c>
      <c r="E414" s="36" t="n">
        <v>0</v>
      </c>
      <c r="F414" s="17" t="n">
        <f aca="false">E414+$H$24-C414</f>
        <v>0.0248693449254248</v>
      </c>
    </row>
    <row r="415" customFormat="false" ht="15" hidden="false" customHeight="true" outlineLevel="0" collapsed="false">
      <c r="A415" s="23" t="n">
        <f aca="false">Daily_Returns_Raw_Data!A392</f>
        <v>42937</v>
      </c>
      <c r="B415" s="17" t="n">
        <f aca="false">SUMPRODUCT(Daily_Returns_Raw_Data!B392:X392,$AB$3:$AX$3)</f>
        <v>0.00682985778738807</v>
      </c>
      <c r="C415" s="17" t="n">
        <f aca="false">-B415</f>
        <v>-0.00682985778738807</v>
      </c>
      <c r="D415" s="17" t="n">
        <f aca="false">MAX(C415-$H$15,0)</f>
        <v>0</v>
      </c>
      <c r="E415" s="36" t="n">
        <v>0</v>
      </c>
      <c r="F415" s="17" t="n">
        <f aca="false">E415+$H$24-C415</f>
        <v>0.0205810667933881</v>
      </c>
    </row>
    <row r="416" customFormat="false" ht="15" hidden="false" customHeight="true" outlineLevel="0" collapsed="false">
      <c r="A416" s="23" t="n">
        <f aca="false">Daily_Returns_Raw_Data!A393</f>
        <v>42940</v>
      </c>
      <c r="B416" s="17" t="n">
        <f aca="false">SUMPRODUCT(Daily_Returns_Raw_Data!B393:X393,$AB$3:$AX$3)</f>
        <v>-0.00343577553990577</v>
      </c>
      <c r="C416" s="17" t="n">
        <f aca="false">-B416</f>
        <v>0.00343577553990577</v>
      </c>
      <c r="D416" s="17" t="n">
        <f aca="false">MAX(C416-$H$15,0)</f>
        <v>0</v>
      </c>
      <c r="E416" s="36" t="n">
        <v>0</v>
      </c>
      <c r="F416" s="17" t="n">
        <f aca="false">E416+$H$24-C416</f>
        <v>0.0103154334660942</v>
      </c>
    </row>
    <row r="417" customFormat="false" ht="15" hidden="false" customHeight="true" outlineLevel="0" collapsed="false">
      <c r="A417" s="23" t="n">
        <f aca="false">Daily_Returns_Raw_Data!A394</f>
        <v>42941</v>
      </c>
      <c r="B417" s="17" t="n">
        <f aca="false">SUMPRODUCT(Daily_Returns_Raw_Data!B394:X394,$AB$3:$AX$3)</f>
        <v>0.00556743078247402</v>
      </c>
      <c r="C417" s="17" t="n">
        <f aca="false">-B417</f>
        <v>-0.00556743078247402</v>
      </c>
      <c r="D417" s="17" t="n">
        <f aca="false">MAX(C417-$H$15,0)</f>
        <v>0</v>
      </c>
      <c r="E417" s="36" t="n">
        <v>0</v>
      </c>
      <c r="F417" s="17" t="n">
        <f aca="false">E417+$H$24-C417</f>
        <v>0.019318639788474</v>
      </c>
    </row>
    <row r="418" customFormat="false" ht="15" hidden="false" customHeight="true" outlineLevel="0" collapsed="false">
      <c r="A418" s="23" t="n">
        <f aca="false">Daily_Returns_Raw_Data!A395</f>
        <v>42942</v>
      </c>
      <c r="B418" s="17" t="n">
        <f aca="false">SUMPRODUCT(Daily_Returns_Raw_Data!B395:X395,$AB$3:$AX$3)</f>
        <v>0.00226419796140078</v>
      </c>
      <c r="C418" s="17" t="n">
        <f aca="false">-B418</f>
        <v>-0.00226419796140078</v>
      </c>
      <c r="D418" s="17" t="n">
        <f aca="false">MAX(C418-$H$15,0)</f>
        <v>0</v>
      </c>
      <c r="E418" s="36" t="n">
        <v>0</v>
      </c>
      <c r="F418" s="17" t="n">
        <f aca="false">E418+$H$24-C418</f>
        <v>0.0160154069674008</v>
      </c>
    </row>
    <row r="419" customFormat="false" ht="15" hidden="false" customHeight="true" outlineLevel="0" collapsed="false">
      <c r="A419" s="23" t="n">
        <f aca="false">Daily_Returns_Raw_Data!A396</f>
        <v>42943</v>
      </c>
      <c r="B419" s="17" t="n">
        <f aca="false">SUMPRODUCT(Daily_Returns_Raw_Data!B396:X396,$AB$3:$AX$3)</f>
        <v>-0.0239789340751789</v>
      </c>
      <c r="C419" s="17" t="n">
        <f aca="false">-B419</f>
        <v>0.0239789340751789</v>
      </c>
      <c r="D419" s="17" t="n">
        <f aca="false">MAX(C419-$H$15,0)</f>
        <v>0.0102277250689287</v>
      </c>
      <c r="E419" s="36" t="n">
        <v>0.010227725069</v>
      </c>
      <c r="F419" s="17" t="n">
        <f aca="false">E419+$H$24-C419</f>
        <v>-1.78849990373209E-013</v>
      </c>
    </row>
    <row r="420" customFormat="false" ht="15" hidden="false" customHeight="true" outlineLevel="0" collapsed="false">
      <c r="A420" s="23" t="n">
        <f aca="false">Daily_Returns_Raw_Data!A397</f>
        <v>42944</v>
      </c>
      <c r="B420" s="17" t="n">
        <f aca="false">SUMPRODUCT(Daily_Returns_Raw_Data!B397:X397,$AB$3:$AX$3)</f>
        <v>-0.00232257038929217</v>
      </c>
      <c r="C420" s="17" t="n">
        <f aca="false">-B420</f>
        <v>0.00232257038929217</v>
      </c>
      <c r="D420" s="17" t="n">
        <f aca="false">MAX(C420-$H$15,0)</f>
        <v>0</v>
      </c>
      <c r="E420" s="36" t="n">
        <v>0</v>
      </c>
      <c r="F420" s="17" t="n">
        <f aca="false">E420+$H$24-C420</f>
        <v>0.0114286386167078</v>
      </c>
    </row>
    <row r="421" customFormat="false" ht="15" hidden="false" customHeight="true" outlineLevel="0" collapsed="false">
      <c r="A421" s="23" t="n">
        <f aca="false">Daily_Returns_Raw_Data!A398</f>
        <v>42947</v>
      </c>
      <c r="B421" s="17" t="n">
        <f aca="false">SUMPRODUCT(Daily_Returns_Raw_Data!B398:X398,$AB$3:$AX$3)</f>
        <v>0.00239822224270364</v>
      </c>
      <c r="C421" s="17" t="n">
        <f aca="false">-B421</f>
        <v>-0.00239822224270364</v>
      </c>
      <c r="D421" s="17" t="n">
        <f aca="false">MAX(C421-$H$15,0)</f>
        <v>0</v>
      </c>
      <c r="E421" s="36" t="n">
        <v>0</v>
      </c>
      <c r="F421" s="17" t="n">
        <f aca="false">E421+$H$24-C421</f>
        <v>0.0161494312487036</v>
      </c>
    </row>
    <row r="422" customFormat="false" ht="15" hidden="false" customHeight="true" outlineLevel="0" collapsed="false">
      <c r="A422" s="23" t="n">
        <f aca="false">Daily_Returns_Raw_Data!A399</f>
        <v>42948</v>
      </c>
      <c r="B422" s="17" t="n">
        <f aca="false">SUMPRODUCT(Daily_Returns_Raw_Data!B399:X399,$AB$3:$AX$3)</f>
        <v>-0.0122350209902661</v>
      </c>
      <c r="C422" s="17" t="n">
        <f aca="false">-B422</f>
        <v>0.0122350209902661</v>
      </c>
      <c r="D422" s="17" t="n">
        <f aca="false">MAX(C422-$H$15,0)</f>
        <v>0</v>
      </c>
      <c r="E422" s="36" t="n">
        <v>0</v>
      </c>
      <c r="F422" s="17" t="n">
        <f aca="false">E422+$H$24-C422</f>
        <v>0.00151618801573389</v>
      </c>
    </row>
    <row r="423" customFormat="false" ht="15" hidden="false" customHeight="true" outlineLevel="0" collapsed="false">
      <c r="A423" s="23" t="n">
        <f aca="false">Daily_Returns_Raw_Data!A400</f>
        <v>42949</v>
      </c>
      <c r="B423" s="17" t="n">
        <f aca="false">SUMPRODUCT(Daily_Returns_Raw_Data!B400:X400,$AB$3:$AX$3)</f>
        <v>-0.0146546080110517</v>
      </c>
      <c r="C423" s="17" t="n">
        <f aca="false">-B423</f>
        <v>0.0146546080110517</v>
      </c>
      <c r="D423" s="17" t="n">
        <f aca="false">MAX(C423-$H$15,0)</f>
        <v>0.000903399004801537</v>
      </c>
      <c r="E423" s="36" t="n">
        <v>0.000903399005</v>
      </c>
      <c r="F423" s="17" t="n">
        <f aca="false">E423+$H$24-C423</f>
        <v>-5.17242498832005E-014</v>
      </c>
    </row>
    <row r="424" customFormat="false" ht="15" hidden="false" customHeight="true" outlineLevel="0" collapsed="false">
      <c r="A424" s="23" t="n">
        <f aca="false">Daily_Returns_Raw_Data!A401</f>
        <v>42950</v>
      </c>
      <c r="B424" s="17" t="n">
        <f aca="false">SUMPRODUCT(Daily_Returns_Raw_Data!B401:X401,$AB$3:$AX$3)</f>
        <v>-0.00254164686258255</v>
      </c>
      <c r="C424" s="17" t="n">
        <f aca="false">-B424</f>
        <v>0.00254164686258255</v>
      </c>
      <c r="D424" s="17" t="n">
        <f aca="false">MAX(C424-$H$15,0)</f>
        <v>0</v>
      </c>
      <c r="E424" s="36" t="n">
        <v>0</v>
      </c>
      <c r="F424" s="17" t="n">
        <f aca="false">E424+$H$24-C424</f>
        <v>0.0112095621434174</v>
      </c>
    </row>
    <row r="425" customFormat="false" ht="15" hidden="false" customHeight="true" outlineLevel="0" collapsed="false">
      <c r="A425" s="23" t="n">
        <f aca="false">Daily_Returns_Raw_Data!A402</f>
        <v>42951</v>
      </c>
      <c r="B425" s="17" t="n">
        <f aca="false">SUMPRODUCT(Daily_Returns_Raw_Data!B402:X402,$AB$3:$AX$3)</f>
        <v>0.0115617834945289</v>
      </c>
      <c r="C425" s="17" t="n">
        <f aca="false">-B425</f>
        <v>-0.0115617834945289</v>
      </c>
      <c r="D425" s="17" t="n">
        <f aca="false">MAX(C425-$H$15,0)</f>
        <v>0</v>
      </c>
      <c r="E425" s="36" t="n">
        <v>0</v>
      </c>
      <c r="F425" s="17" t="n">
        <f aca="false">E425+$H$24-C425</f>
        <v>0.0253129925005289</v>
      </c>
    </row>
    <row r="426" customFormat="false" ht="15" hidden="false" customHeight="true" outlineLevel="0" collapsed="false">
      <c r="A426" s="23" t="n">
        <f aca="false">Daily_Returns_Raw_Data!A403</f>
        <v>42954</v>
      </c>
      <c r="B426" s="17" t="n">
        <f aca="false">SUMPRODUCT(Daily_Returns_Raw_Data!B403:X403,$AB$3:$AX$3)</f>
        <v>-0.00254605211579279</v>
      </c>
      <c r="C426" s="17" t="n">
        <f aca="false">-B426</f>
        <v>0.00254605211579279</v>
      </c>
      <c r="D426" s="17" t="n">
        <f aca="false">MAX(C426-$H$15,0)</f>
        <v>0</v>
      </c>
      <c r="E426" s="36" t="n">
        <v>0</v>
      </c>
      <c r="F426" s="17" t="n">
        <f aca="false">E426+$H$24-C426</f>
        <v>0.0112051568902072</v>
      </c>
    </row>
    <row r="427" customFormat="false" ht="15" hidden="false" customHeight="true" outlineLevel="0" collapsed="false">
      <c r="A427" s="23" t="n">
        <f aca="false">Daily_Returns_Raw_Data!A404</f>
        <v>42955</v>
      </c>
      <c r="B427" s="17" t="n">
        <f aca="false">SUMPRODUCT(Daily_Returns_Raw_Data!B404:X404,$AB$3:$AX$3)</f>
        <v>-0.00114699530505828</v>
      </c>
      <c r="C427" s="17" t="n">
        <f aca="false">-B427</f>
        <v>0.00114699530505828</v>
      </c>
      <c r="D427" s="17" t="n">
        <f aca="false">MAX(C427-$H$15,0)</f>
        <v>0</v>
      </c>
      <c r="E427" s="36" t="n">
        <v>0</v>
      </c>
      <c r="F427" s="17" t="n">
        <f aca="false">E427+$H$24-C427</f>
        <v>0.0126042137009417</v>
      </c>
    </row>
    <row r="428" customFormat="false" ht="15" hidden="false" customHeight="true" outlineLevel="0" collapsed="false">
      <c r="A428" s="23" t="n">
        <f aca="false">Daily_Returns_Raw_Data!A405</f>
        <v>42956</v>
      </c>
      <c r="B428" s="17" t="n">
        <f aca="false">SUMPRODUCT(Daily_Returns_Raw_Data!B405:X405,$AB$3:$AX$3)</f>
        <v>-0.0145362944792917</v>
      </c>
      <c r="C428" s="17" t="n">
        <f aca="false">-B428</f>
        <v>0.0145362944792917</v>
      </c>
      <c r="D428" s="17" t="n">
        <f aca="false">MAX(C428-$H$15,0)</f>
        <v>0.000785085473041515</v>
      </c>
      <c r="E428" s="36" t="n">
        <v>0.000785085473</v>
      </c>
      <c r="F428" s="17" t="n">
        <f aca="false">E428+$H$24-C428</f>
        <v>-2.9170242610288E-013</v>
      </c>
    </row>
    <row r="429" customFormat="false" ht="15" hidden="false" customHeight="true" outlineLevel="0" collapsed="false">
      <c r="A429" s="23" t="n">
        <f aca="false">Daily_Returns_Raw_Data!A406</f>
        <v>42957</v>
      </c>
      <c r="B429" s="17" t="n">
        <f aca="false">SUMPRODUCT(Daily_Returns_Raw_Data!B406:X406,$AB$3:$AX$3)</f>
        <v>-0.000318561807868732</v>
      </c>
      <c r="C429" s="17" t="n">
        <f aca="false">-B429</f>
        <v>0.000318561807868732</v>
      </c>
      <c r="D429" s="17" t="n">
        <f aca="false">MAX(C429-$H$15,0)</f>
        <v>0</v>
      </c>
      <c r="E429" s="36" t="n">
        <v>0</v>
      </c>
      <c r="F429" s="17" t="n">
        <f aca="false">E429+$H$24-C429</f>
        <v>0.0134326471981313</v>
      </c>
    </row>
    <row r="430" customFormat="false" ht="15" hidden="false" customHeight="true" outlineLevel="0" collapsed="false">
      <c r="A430" s="23" t="n">
        <f aca="false">Daily_Returns_Raw_Data!A407</f>
        <v>42958</v>
      </c>
      <c r="B430" s="17" t="n">
        <f aca="false">SUMPRODUCT(Daily_Returns_Raw_Data!B407:X407,$AB$3:$AX$3)</f>
        <v>0.0119125454157437</v>
      </c>
      <c r="C430" s="17" t="n">
        <f aca="false">-B430</f>
        <v>-0.0119125454157437</v>
      </c>
      <c r="D430" s="17" t="n">
        <f aca="false">MAX(C430-$H$15,0)</f>
        <v>0</v>
      </c>
      <c r="E430" s="36" t="n">
        <v>0</v>
      </c>
      <c r="F430" s="17" t="n">
        <f aca="false">E430+$H$24-C430</f>
        <v>0.0256637544217437</v>
      </c>
    </row>
    <row r="431" customFormat="false" ht="15" hidden="false" customHeight="true" outlineLevel="0" collapsed="false">
      <c r="A431" s="23" t="n">
        <f aca="false">Daily_Returns_Raw_Data!A408</f>
        <v>42961</v>
      </c>
      <c r="B431" s="17" t="n">
        <f aca="false">SUMPRODUCT(Daily_Returns_Raw_Data!B408:X408,$AB$3:$AX$3)</f>
        <v>0.00490198610404646</v>
      </c>
      <c r="C431" s="17" t="n">
        <f aca="false">-B431</f>
        <v>-0.00490198610404646</v>
      </c>
      <c r="D431" s="17" t="n">
        <f aca="false">MAX(C431-$H$15,0)</f>
        <v>0</v>
      </c>
      <c r="E431" s="36" t="n">
        <v>0</v>
      </c>
      <c r="F431" s="17" t="n">
        <f aca="false">E431+$H$24-C431</f>
        <v>0.0186531951100465</v>
      </c>
    </row>
    <row r="432" customFormat="false" ht="15" hidden="false" customHeight="true" outlineLevel="0" collapsed="false">
      <c r="A432" s="23" t="n">
        <f aca="false">Daily_Returns_Raw_Data!A409</f>
        <v>42962</v>
      </c>
      <c r="B432" s="17" t="n">
        <f aca="false">SUMPRODUCT(Daily_Returns_Raw_Data!B409:X409,$AB$3:$AX$3)</f>
        <v>0.00568327228030254</v>
      </c>
      <c r="C432" s="17" t="n">
        <f aca="false">-B432</f>
        <v>-0.00568327228030254</v>
      </c>
      <c r="D432" s="17" t="n">
        <f aca="false">MAX(C432-$H$15,0)</f>
        <v>0</v>
      </c>
      <c r="E432" s="36" t="n">
        <v>0</v>
      </c>
      <c r="F432" s="17" t="n">
        <f aca="false">E432+$H$24-C432</f>
        <v>0.0194344812863025</v>
      </c>
    </row>
    <row r="433" customFormat="false" ht="15" hidden="false" customHeight="true" outlineLevel="0" collapsed="false">
      <c r="A433" s="23" t="n">
        <f aca="false">Daily_Returns_Raw_Data!A410</f>
        <v>42963</v>
      </c>
      <c r="B433" s="17" t="n">
        <f aca="false">SUMPRODUCT(Daily_Returns_Raw_Data!B410:X410,$AB$3:$AX$3)</f>
        <v>-0.0181469880684892</v>
      </c>
      <c r="C433" s="17" t="n">
        <f aca="false">-B433</f>
        <v>0.0181469880684892</v>
      </c>
      <c r="D433" s="17" t="n">
        <f aca="false">MAX(C433-$H$15,0)</f>
        <v>0.00439577906223901</v>
      </c>
      <c r="E433" s="36" t="n">
        <v>0.004395779062</v>
      </c>
      <c r="F433" s="17" t="n">
        <f aca="false">E433+$H$24-C433</f>
        <v>-4.89195489672412E-013</v>
      </c>
    </row>
    <row r="434" customFormat="false" ht="15" hidden="false" customHeight="true" outlineLevel="0" collapsed="false">
      <c r="A434" s="23" t="n">
        <f aca="false">Daily_Returns_Raw_Data!A411</f>
        <v>42964</v>
      </c>
      <c r="B434" s="17" t="n">
        <f aca="false">SUMPRODUCT(Daily_Returns_Raw_Data!B411:X411,$AB$3:$AX$3)</f>
        <v>-0.0015324337771034</v>
      </c>
      <c r="C434" s="17" t="n">
        <f aca="false">-B434</f>
        <v>0.0015324337771034</v>
      </c>
      <c r="D434" s="17" t="n">
        <f aca="false">MAX(C434-$H$15,0)</f>
        <v>0</v>
      </c>
      <c r="E434" s="36" t="n">
        <v>0</v>
      </c>
      <c r="F434" s="17" t="n">
        <f aca="false">E434+$H$24-C434</f>
        <v>0.0122187752288966</v>
      </c>
    </row>
    <row r="435" customFormat="false" ht="15" hidden="false" customHeight="true" outlineLevel="0" collapsed="false">
      <c r="A435" s="23" t="n">
        <f aca="false">Daily_Returns_Raw_Data!A412</f>
        <v>42965</v>
      </c>
      <c r="B435" s="17" t="n">
        <f aca="false">SUMPRODUCT(Daily_Returns_Raw_Data!B412:X412,$AB$3:$AX$3)</f>
        <v>-0.000710034781475024</v>
      </c>
      <c r="C435" s="17" t="n">
        <f aca="false">-B435</f>
        <v>0.000710034781475024</v>
      </c>
      <c r="D435" s="17" t="n">
        <f aca="false">MAX(C435-$H$15,0)</f>
        <v>0</v>
      </c>
      <c r="E435" s="36" t="n">
        <v>0</v>
      </c>
      <c r="F435" s="17" t="n">
        <f aca="false">E435+$H$24-C435</f>
        <v>0.013041174224525</v>
      </c>
    </row>
    <row r="436" customFormat="false" ht="15" hidden="false" customHeight="true" outlineLevel="0" collapsed="false">
      <c r="A436" s="23" t="n">
        <f aca="false">Daily_Returns_Raw_Data!A413</f>
        <v>42968</v>
      </c>
      <c r="B436" s="17" t="n">
        <f aca="false">SUMPRODUCT(Daily_Returns_Raw_Data!B413:X413,$AB$3:$AX$3)</f>
        <v>0.00770909981284273</v>
      </c>
      <c r="C436" s="17" t="n">
        <f aca="false">-B436</f>
        <v>-0.00770909981284273</v>
      </c>
      <c r="D436" s="17" t="n">
        <f aca="false">MAX(C436-$H$15,0)</f>
        <v>0</v>
      </c>
      <c r="E436" s="36" t="n">
        <v>0</v>
      </c>
      <c r="F436" s="17" t="n">
        <f aca="false">E436+$H$24-C436</f>
        <v>0.0214603088188427</v>
      </c>
    </row>
    <row r="437" customFormat="false" ht="15" hidden="false" customHeight="true" outlineLevel="0" collapsed="false">
      <c r="A437" s="23" t="n">
        <f aca="false">Daily_Returns_Raw_Data!A414</f>
        <v>42969</v>
      </c>
      <c r="B437" s="17" t="n">
        <f aca="false">SUMPRODUCT(Daily_Returns_Raw_Data!B414:X414,$AB$3:$AX$3)</f>
        <v>0.00264239600448258</v>
      </c>
      <c r="C437" s="17" t="n">
        <f aca="false">-B437</f>
        <v>-0.00264239600448258</v>
      </c>
      <c r="D437" s="17" t="n">
        <f aca="false">MAX(C437-$H$15,0)</f>
        <v>0</v>
      </c>
      <c r="E437" s="36" t="n">
        <v>0</v>
      </c>
      <c r="F437" s="17" t="n">
        <f aca="false">E437+$H$24-C437</f>
        <v>0.0163936050104826</v>
      </c>
    </row>
    <row r="438" customFormat="false" ht="15" hidden="false" customHeight="true" outlineLevel="0" collapsed="false">
      <c r="A438" s="23" t="n">
        <f aca="false">Daily_Returns_Raw_Data!A415</f>
        <v>42970</v>
      </c>
      <c r="B438" s="17" t="n">
        <f aca="false">SUMPRODUCT(Daily_Returns_Raw_Data!B415:X415,$AB$3:$AX$3)</f>
        <v>-0.000898953691658819</v>
      </c>
      <c r="C438" s="17" t="n">
        <f aca="false">-B438</f>
        <v>0.000898953691658819</v>
      </c>
      <c r="D438" s="17" t="n">
        <f aca="false">MAX(C438-$H$15,0)</f>
        <v>0</v>
      </c>
      <c r="E438" s="36" t="n">
        <v>0</v>
      </c>
      <c r="F438" s="17" t="n">
        <f aca="false">E438+$H$24-C438</f>
        <v>0.0128522553143412</v>
      </c>
    </row>
    <row r="439" customFormat="false" ht="15" hidden="false" customHeight="true" outlineLevel="0" collapsed="false">
      <c r="A439" s="23" t="n">
        <f aca="false">Daily_Returns_Raw_Data!A416</f>
        <v>42971</v>
      </c>
      <c r="B439" s="17" t="n">
        <f aca="false">SUMPRODUCT(Daily_Returns_Raw_Data!B416:X416,$AB$3:$AX$3)</f>
        <v>0.0185290419983961</v>
      </c>
      <c r="C439" s="17" t="n">
        <f aca="false">-B439</f>
        <v>-0.0185290419983961</v>
      </c>
      <c r="D439" s="17" t="n">
        <f aca="false">MAX(C439-$H$15,0)</f>
        <v>0</v>
      </c>
      <c r="E439" s="36" t="n">
        <v>0</v>
      </c>
      <c r="F439" s="17" t="n">
        <f aca="false">E439+$H$24-C439</f>
        <v>0.0322802510043961</v>
      </c>
    </row>
    <row r="440" customFormat="false" ht="15" hidden="false" customHeight="true" outlineLevel="0" collapsed="false">
      <c r="A440" s="23" t="n">
        <f aca="false">Daily_Returns_Raw_Data!A417</f>
        <v>42972</v>
      </c>
      <c r="B440" s="17" t="n">
        <f aca="false">SUMPRODUCT(Daily_Returns_Raw_Data!B417:X417,$AB$3:$AX$3)</f>
        <v>0.00146247208337385</v>
      </c>
      <c r="C440" s="17" t="n">
        <f aca="false">-B440</f>
        <v>-0.00146247208337385</v>
      </c>
      <c r="D440" s="17" t="n">
        <f aca="false">MAX(C440-$H$15,0)</f>
        <v>0</v>
      </c>
      <c r="E440" s="36" t="n">
        <v>0</v>
      </c>
      <c r="F440" s="17" t="n">
        <f aca="false">E440+$H$24-C440</f>
        <v>0.0152136810893738</v>
      </c>
    </row>
    <row r="441" customFormat="false" ht="15" hidden="false" customHeight="true" outlineLevel="0" collapsed="false">
      <c r="A441" s="23" t="n">
        <f aca="false">Daily_Returns_Raw_Data!A418</f>
        <v>42975</v>
      </c>
      <c r="B441" s="17" t="n">
        <f aca="false">SUMPRODUCT(Daily_Returns_Raw_Data!B418:X418,$AB$3:$AX$3)</f>
        <v>0.000135618322276435</v>
      </c>
      <c r="C441" s="17" t="n">
        <f aca="false">-B441</f>
        <v>-0.000135618322276435</v>
      </c>
      <c r="D441" s="17" t="n">
        <f aca="false">MAX(C441-$H$15,0)</f>
        <v>0</v>
      </c>
      <c r="E441" s="36" t="n">
        <v>0</v>
      </c>
      <c r="F441" s="17" t="n">
        <f aca="false">E441+$H$24-C441</f>
        <v>0.0138868273282764</v>
      </c>
    </row>
    <row r="442" customFormat="false" ht="15" hidden="false" customHeight="true" outlineLevel="0" collapsed="false">
      <c r="A442" s="23" t="n">
        <f aca="false">Daily_Returns_Raw_Data!A419</f>
        <v>42976</v>
      </c>
      <c r="B442" s="17" t="n">
        <f aca="false">SUMPRODUCT(Daily_Returns_Raw_Data!B419:X419,$AB$3:$AX$3)</f>
        <v>0.00457871269846736</v>
      </c>
      <c r="C442" s="17" t="n">
        <f aca="false">-B442</f>
        <v>-0.00457871269846736</v>
      </c>
      <c r="D442" s="17" t="n">
        <f aca="false">MAX(C442-$H$15,0)</f>
        <v>0</v>
      </c>
      <c r="E442" s="36" t="n">
        <v>0</v>
      </c>
      <c r="F442" s="17" t="n">
        <f aca="false">E442+$H$24-C442</f>
        <v>0.0183299217044674</v>
      </c>
    </row>
    <row r="443" customFormat="false" ht="15" hidden="false" customHeight="true" outlineLevel="0" collapsed="false">
      <c r="A443" s="23" t="n">
        <f aca="false">Daily_Returns_Raw_Data!A420</f>
        <v>42977</v>
      </c>
      <c r="B443" s="17" t="n">
        <f aca="false">SUMPRODUCT(Daily_Returns_Raw_Data!B420:X420,$AB$3:$AX$3)</f>
        <v>0.00893006251166382</v>
      </c>
      <c r="C443" s="17" t="n">
        <f aca="false">-B443</f>
        <v>-0.00893006251166382</v>
      </c>
      <c r="D443" s="17" t="n">
        <f aca="false">MAX(C443-$H$15,0)</f>
        <v>0</v>
      </c>
      <c r="E443" s="36" t="n">
        <v>0</v>
      </c>
      <c r="F443" s="17" t="n">
        <f aca="false">E443+$H$24-C443</f>
        <v>0.0226812715176638</v>
      </c>
    </row>
    <row r="444" customFormat="false" ht="15" hidden="false" customHeight="true" outlineLevel="0" collapsed="false">
      <c r="A444" s="23" t="n">
        <f aca="false">Daily_Returns_Raw_Data!A421</f>
        <v>42978</v>
      </c>
      <c r="B444" s="17" t="n">
        <f aca="false">SUMPRODUCT(Daily_Returns_Raw_Data!B421:X421,$AB$3:$AX$3)</f>
        <v>0.00439894153462487</v>
      </c>
      <c r="C444" s="17" t="n">
        <f aca="false">-B444</f>
        <v>-0.00439894153462487</v>
      </c>
      <c r="D444" s="17" t="n">
        <f aca="false">MAX(C444-$H$15,0)</f>
        <v>0</v>
      </c>
      <c r="E444" s="36" t="n">
        <v>0</v>
      </c>
      <c r="F444" s="17" t="n">
        <f aca="false">E444+$H$24-C444</f>
        <v>0.0181501505406249</v>
      </c>
    </row>
    <row r="445" customFormat="false" ht="15" hidden="false" customHeight="true" outlineLevel="0" collapsed="false">
      <c r="A445" s="23" t="n">
        <f aca="false">Daily_Returns_Raw_Data!A422</f>
        <v>42979</v>
      </c>
      <c r="B445" s="17" t="n">
        <f aca="false">SUMPRODUCT(Daily_Returns_Raw_Data!B422:X422,$AB$3:$AX$3)</f>
        <v>-0.00328753980662832</v>
      </c>
      <c r="C445" s="17" t="n">
        <f aca="false">-B445</f>
        <v>0.00328753980662832</v>
      </c>
      <c r="D445" s="17" t="n">
        <f aca="false">MAX(C445-$H$15,0)</f>
        <v>0</v>
      </c>
      <c r="E445" s="36" t="n">
        <v>0</v>
      </c>
      <c r="F445" s="17" t="n">
        <f aca="false">E445+$H$24-C445</f>
        <v>0.0104636691993717</v>
      </c>
    </row>
    <row r="446" customFormat="false" ht="15" hidden="false" customHeight="true" outlineLevel="0" collapsed="false">
      <c r="A446" s="23" t="n">
        <f aca="false">Daily_Returns_Raw_Data!A423</f>
        <v>42983</v>
      </c>
      <c r="B446" s="17" t="n">
        <f aca="false">SUMPRODUCT(Daily_Returns_Raw_Data!B423:X423,$AB$3:$AX$3)</f>
        <v>0.000353701328838961</v>
      </c>
      <c r="C446" s="17" t="n">
        <f aca="false">-B446</f>
        <v>-0.000353701328838961</v>
      </c>
      <c r="D446" s="17" t="n">
        <f aca="false">MAX(C446-$H$15,0)</f>
        <v>0</v>
      </c>
      <c r="E446" s="36" t="n">
        <v>0</v>
      </c>
      <c r="F446" s="17" t="n">
        <f aca="false">E446+$H$24-C446</f>
        <v>0.014104910334839</v>
      </c>
    </row>
    <row r="447" customFormat="false" ht="15" hidden="false" customHeight="true" outlineLevel="0" collapsed="false">
      <c r="A447" s="23" t="n">
        <f aca="false">Daily_Returns_Raw_Data!A424</f>
        <v>42984</v>
      </c>
      <c r="B447" s="17" t="n">
        <f aca="false">SUMPRODUCT(Daily_Returns_Raw_Data!B424:X424,$AB$3:$AX$3)</f>
        <v>-0.00416724831048251</v>
      </c>
      <c r="C447" s="17" t="n">
        <f aca="false">-B447</f>
        <v>0.00416724831048251</v>
      </c>
      <c r="D447" s="17" t="n">
        <f aca="false">MAX(C447-$H$15,0)</f>
        <v>0</v>
      </c>
      <c r="E447" s="36" t="n">
        <v>0</v>
      </c>
      <c r="F447" s="17" t="n">
        <f aca="false">E447+$H$24-C447</f>
        <v>0.00958396069551749</v>
      </c>
    </row>
    <row r="448" customFormat="false" ht="15" hidden="false" customHeight="true" outlineLevel="0" collapsed="false">
      <c r="A448" s="23" t="n">
        <f aca="false">Daily_Returns_Raw_Data!A425</f>
        <v>42985</v>
      </c>
      <c r="B448" s="17" t="n">
        <f aca="false">SUMPRODUCT(Daily_Returns_Raw_Data!B425:X425,$AB$3:$AX$3)</f>
        <v>-0.000789804066946312</v>
      </c>
      <c r="C448" s="17" t="n">
        <f aca="false">-B448</f>
        <v>0.000789804066946312</v>
      </c>
      <c r="D448" s="17" t="n">
        <f aca="false">MAX(C448-$H$15,0)</f>
        <v>0</v>
      </c>
      <c r="E448" s="36" t="n">
        <v>0</v>
      </c>
      <c r="F448" s="17" t="n">
        <f aca="false">E448+$H$24-C448</f>
        <v>0.0129614049390537</v>
      </c>
    </row>
    <row r="449" customFormat="false" ht="15" hidden="false" customHeight="true" outlineLevel="0" collapsed="false">
      <c r="A449" s="23" t="n">
        <f aca="false">Daily_Returns_Raw_Data!A426</f>
        <v>42986</v>
      </c>
      <c r="B449" s="17" t="n">
        <f aca="false">SUMPRODUCT(Daily_Returns_Raw_Data!B426:X426,$AB$3:$AX$3)</f>
        <v>0.0133514403358845</v>
      </c>
      <c r="C449" s="17" t="n">
        <f aca="false">-B449</f>
        <v>-0.0133514403358845</v>
      </c>
      <c r="D449" s="17" t="n">
        <f aca="false">MAX(C449-$H$15,0)</f>
        <v>0</v>
      </c>
      <c r="E449" s="36" t="n">
        <v>0</v>
      </c>
      <c r="F449" s="17" t="n">
        <f aca="false">E449+$H$24-C449</f>
        <v>0.0271026493418845</v>
      </c>
    </row>
    <row r="450" customFormat="false" ht="15" hidden="false" customHeight="true" outlineLevel="0" collapsed="false">
      <c r="A450" s="23" t="n">
        <f aca="false">Daily_Returns_Raw_Data!A427</f>
        <v>42989</v>
      </c>
      <c r="B450" s="17" t="n">
        <f aca="false">SUMPRODUCT(Daily_Returns_Raw_Data!B427:X427,$AB$3:$AX$3)</f>
        <v>0.00941965494880183</v>
      </c>
      <c r="C450" s="17" t="n">
        <f aca="false">-B450</f>
        <v>-0.00941965494880183</v>
      </c>
      <c r="D450" s="17" t="n">
        <f aca="false">MAX(C450-$H$15,0)</f>
        <v>0</v>
      </c>
      <c r="E450" s="36" t="n">
        <v>0</v>
      </c>
      <c r="F450" s="17" t="n">
        <f aca="false">E450+$H$24-C450</f>
        <v>0.0231708639548018</v>
      </c>
    </row>
    <row r="451" customFormat="false" ht="15" hidden="false" customHeight="true" outlineLevel="0" collapsed="false">
      <c r="A451" s="23" t="n">
        <f aca="false">Daily_Returns_Raw_Data!A428</f>
        <v>42990</v>
      </c>
      <c r="B451" s="17" t="n">
        <f aca="false">SUMPRODUCT(Daily_Returns_Raw_Data!B428:X428,$AB$3:$AX$3)</f>
        <v>-0.00557973547921079</v>
      </c>
      <c r="C451" s="17" t="n">
        <f aca="false">-B451</f>
        <v>0.00557973547921079</v>
      </c>
      <c r="D451" s="17" t="n">
        <f aca="false">MAX(C451-$H$15,0)</f>
        <v>0</v>
      </c>
      <c r="E451" s="36" t="n">
        <v>0</v>
      </c>
      <c r="F451" s="17" t="n">
        <f aca="false">E451+$H$24-C451</f>
        <v>0.00817147352678921</v>
      </c>
    </row>
    <row r="452" customFormat="false" ht="15" hidden="false" customHeight="true" outlineLevel="0" collapsed="false">
      <c r="A452" s="23" t="n">
        <f aca="false">Daily_Returns_Raw_Data!A429</f>
        <v>42991</v>
      </c>
      <c r="B452" s="17" t="n">
        <f aca="false">SUMPRODUCT(Daily_Returns_Raw_Data!B429:X429,$AB$3:$AX$3)</f>
        <v>0.000735846886112895</v>
      </c>
      <c r="C452" s="17" t="n">
        <f aca="false">-B452</f>
        <v>-0.000735846886112895</v>
      </c>
      <c r="D452" s="17" t="n">
        <f aca="false">MAX(C452-$H$15,0)</f>
        <v>0</v>
      </c>
      <c r="E452" s="36" t="n">
        <v>0</v>
      </c>
      <c r="F452" s="17" t="n">
        <f aca="false">E452+$H$24-C452</f>
        <v>0.0144870558921129</v>
      </c>
    </row>
    <row r="453" customFormat="false" ht="15" hidden="false" customHeight="true" outlineLevel="0" collapsed="false">
      <c r="A453" s="23" t="n">
        <f aca="false">Daily_Returns_Raw_Data!A430</f>
        <v>42992</v>
      </c>
      <c r="B453" s="17" t="n">
        <f aca="false">SUMPRODUCT(Daily_Returns_Raw_Data!B430:X430,$AB$3:$AX$3)</f>
        <v>0.0105845086449855</v>
      </c>
      <c r="C453" s="17" t="n">
        <f aca="false">-B453</f>
        <v>-0.0105845086449855</v>
      </c>
      <c r="D453" s="17" t="n">
        <f aca="false">MAX(C453-$H$15,0)</f>
        <v>0</v>
      </c>
      <c r="E453" s="36" t="n">
        <v>0</v>
      </c>
      <c r="F453" s="17" t="n">
        <f aca="false">E453+$H$24-C453</f>
        <v>0.0243357176509855</v>
      </c>
    </row>
    <row r="454" customFormat="false" ht="15" hidden="false" customHeight="true" outlineLevel="0" collapsed="false">
      <c r="A454" s="23" t="n">
        <f aca="false">Daily_Returns_Raw_Data!A431</f>
        <v>42993</v>
      </c>
      <c r="B454" s="17" t="n">
        <f aca="false">SUMPRODUCT(Daily_Returns_Raw_Data!B431:X431,$AB$3:$AX$3)</f>
        <v>0.00268810767169175</v>
      </c>
      <c r="C454" s="17" t="n">
        <f aca="false">-B454</f>
        <v>-0.00268810767169175</v>
      </c>
      <c r="D454" s="17" t="n">
        <f aca="false">MAX(C454-$H$15,0)</f>
        <v>0</v>
      </c>
      <c r="E454" s="36" t="n">
        <v>0</v>
      </c>
      <c r="F454" s="17" t="n">
        <f aca="false">E454+$H$24-C454</f>
        <v>0.0164393166776918</v>
      </c>
    </row>
    <row r="455" customFormat="false" ht="15" hidden="false" customHeight="true" outlineLevel="0" collapsed="false">
      <c r="A455" s="23" t="n">
        <f aca="false">Daily_Returns_Raw_Data!A432</f>
        <v>42996</v>
      </c>
      <c r="B455" s="17" t="n">
        <f aca="false">SUMPRODUCT(Daily_Returns_Raw_Data!B432:X432,$AB$3:$AX$3)</f>
        <v>0.00249229081831954</v>
      </c>
      <c r="C455" s="17" t="n">
        <f aca="false">-B455</f>
        <v>-0.00249229081831954</v>
      </c>
      <c r="D455" s="17" t="n">
        <f aca="false">MAX(C455-$H$15,0)</f>
        <v>0</v>
      </c>
      <c r="E455" s="36" t="n">
        <v>0</v>
      </c>
      <c r="F455" s="17" t="n">
        <f aca="false">E455+$H$24-C455</f>
        <v>0.0162434998243195</v>
      </c>
    </row>
    <row r="456" customFormat="false" ht="15" hidden="false" customHeight="true" outlineLevel="0" collapsed="false">
      <c r="A456" s="23" t="n">
        <f aca="false">Daily_Returns_Raw_Data!A433</f>
        <v>42997</v>
      </c>
      <c r="B456" s="17" t="n">
        <f aca="false">SUMPRODUCT(Daily_Returns_Raw_Data!B433:X433,$AB$3:$AX$3)</f>
        <v>-0.00265359800296752</v>
      </c>
      <c r="C456" s="17" t="n">
        <f aca="false">-B456</f>
        <v>0.00265359800296752</v>
      </c>
      <c r="D456" s="17" t="n">
        <f aca="false">MAX(C456-$H$15,0)</f>
        <v>0</v>
      </c>
      <c r="E456" s="36" t="n">
        <v>0</v>
      </c>
      <c r="F456" s="17" t="n">
        <f aca="false">E456+$H$24-C456</f>
        <v>0.0110976110030325</v>
      </c>
    </row>
    <row r="457" customFormat="false" ht="15" hidden="false" customHeight="true" outlineLevel="0" collapsed="false">
      <c r="A457" s="23" t="n">
        <f aca="false">Daily_Returns_Raw_Data!A434</f>
        <v>42998</v>
      </c>
      <c r="B457" s="17" t="n">
        <f aca="false">SUMPRODUCT(Daily_Returns_Raw_Data!B434:X434,$AB$3:$AX$3)</f>
        <v>-0.00589737342607254</v>
      </c>
      <c r="C457" s="17" t="n">
        <f aca="false">-B457</f>
        <v>0.00589737342607254</v>
      </c>
      <c r="D457" s="17" t="n">
        <f aca="false">MAX(C457-$H$15,0)</f>
        <v>0</v>
      </c>
      <c r="E457" s="36" t="n">
        <v>0</v>
      </c>
      <c r="F457" s="17" t="n">
        <f aca="false">E457+$H$24-C457</f>
        <v>0.00785383557992746</v>
      </c>
    </row>
    <row r="458" customFormat="false" ht="15" hidden="false" customHeight="true" outlineLevel="0" collapsed="false">
      <c r="A458" s="23" t="n">
        <f aca="false">Daily_Returns_Raw_Data!A435</f>
        <v>42999</v>
      </c>
      <c r="B458" s="17" t="n">
        <f aca="false">SUMPRODUCT(Daily_Returns_Raw_Data!B435:X435,$AB$3:$AX$3)</f>
        <v>0.0057168329351339</v>
      </c>
      <c r="C458" s="17" t="n">
        <f aca="false">-B458</f>
        <v>-0.0057168329351339</v>
      </c>
      <c r="D458" s="17" t="n">
        <f aca="false">MAX(C458-$H$15,0)</f>
        <v>0</v>
      </c>
      <c r="E458" s="36" t="n">
        <v>0</v>
      </c>
      <c r="F458" s="17" t="n">
        <f aca="false">E458+$H$24-C458</f>
        <v>0.0194680419411339</v>
      </c>
    </row>
    <row r="459" customFormat="false" ht="15" hidden="false" customHeight="true" outlineLevel="0" collapsed="false">
      <c r="A459" s="23" t="n">
        <f aca="false">Daily_Returns_Raw_Data!A436</f>
        <v>43000</v>
      </c>
      <c r="B459" s="17" t="n">
        <f aca="false">SUMPRODUCT(Daily_Returns_Raw_Data!B436:X436,$AB$3:$AX$3)</f>
        <v>0.00459100816546185</v>
      </c>
      <c r="C459" s="17" t="n">
        <f aca="false">-B459</f>
        <v>-0.00459100816546185</v>
      </c>
      <c r="D459" s="17" t="n">
        <f aca="false">MAX(C459-$H$15,0)</f>
        <v>0</v>
      </c>
      <c r="E459" s="36" t="n">
        <v>0</v>
      </c>
      <c r="F459" s="17" t="n">
        <f aca="false">E459+$H$24-C459</f>
        <v>0.0183422171714618</v>
      </c>
    </row>
    <row r="460" customFormat="false" ht="15" hidden="false" customHeight="true" outlineLevel="0" collapsed="false">
      <c r="A460" s="23" t="n">
        <f aca="false">Daily_Returns_Raw_Data!A437</f>
        <v>43003</v>
      </c>
      <c r="B460" s="17" t="n">
        <f aca="false">SUMPRODUCT(Daily_Returns_Raw_Data!B437:X437,$AB$3:$AX$3)</f>
        <v>-0.000884198636136885</v>
      </c>
      <c r="C460" s="17" t="n">
        <f aca="false">-B460</f>
        <v>0.000884198636136885</v>
      </c>
      <c r="D460" s="17" t="n">
        <f aca="false">MAX(C460-$H$15,0)</f>
        <v>0</v>
      </c>
      <c r="E460" s="36" t="n">
        <v>0</v>
      </c>
      <c r="F460" s="17" t="n">
        <f aca="false">E460+$H$24-C460</f>
        <v>0.0128670103698631</v>
      </c>
    </row>
    <row r="461" customFormat="false" ht="15" hidden="false" customHeight="true" outlineLevel="0" collapsed="false">
      <c r="A461" s="23" t="n">
        <f aca="false">Daily_Returns_Raw_Data!A438</f>
        <v>43004</v>
      </c>
      <c r="B461" s="17" t="n">
        <f aca="false">SUMPRODUCT(Daily_Returns_Raw_Data!B438:X438,$AB$3:$AX$3)</f>
        <v>0.000754619679340518</v>
      </c>
      <c r="C461" s="17" t="n">
        <f aca="false">-B461</f>
        <v>-0.000754619679340518</v>
      </c>
      <c r="D461" s="17" t="n">
        <f aca="false">MAX(C461-$H$15,0)</f>
        <v>0</v>
      </c>
      <c r="E461" s="36" t="n">
        <v>0</v>
      </c>
      <c r="F461" s="17" t="n">
        <f aca="false">E461+$H$24-C461</f>
        <v>0.0145058286853405</v>
      </c>
    </row>
    <row r="462" customFormat="false" ht="15" hidden="false" customHeight="true" outlineLevel="0" collapsed="false">
      <c r="A462" s="23" t="n">
        <f aca="false">Daily_Returns_Raw_Data!A439</f>
        <v>43005</v>
      </c>
      <c r="B462" s="17" t="n">
        <f aca="false">SUMPRODUCT(Daily_Returns_Raw_Data!B439:X439,$AB$3:$AX$3)</f>
        <v>0.000423542973877913</v>
      </c>
      <c r="C462" s="17" t="n">
        <f aca="false">-B462</f>
        <v>-0.000423542973877913</v>
      </c>
      <c r="D462" s="17" t="n">
        <f aca="false">MAX(C462-$H$15,0)</f>
        <v>0</v>
      </c>
      <c r="E462" s="36" t="n">
        <v>0</v>
      </c>
      <c r="F462" s="17" t="n">
        <f aca="false">E462+$H$24-C462</f>
        <v>0.0141747519798779</v>
      </c>
    </row>
    <row r="463" customFormat="false" ht="15" hidden="false" customHeight="true" outlineLevel="0" collapsed="false">
      <c r="A463" s="23" t="n">
        <f aca="false">Daily_Returns_Raw_Data!A440</f>
        <v>43006</v>
      </c>
      <c r="B463" s="17" t="n">
        <f aca="false">SUMPRODUCT(Daily_Returns_Raw_Data!B440:X440,$AB$3:$AX$3)</f>
        <v>-0.00191781346983075</v>
      </c>
      <c r="C463" s="17" t="n">
        <f aca="false">-B463</f>
        <v>0.00191781346983075</v>
      </c>
      <c r="D463" s="17" t="n">
        <f aca="false">MAX(C463-$H$15,0)</f>
        <v>0</v>
      </c>
      <c r="E463" s="36" t="n">
        <v>0</v>
      </c>
      <c r="F463" s="17" t="n">
        <f aca="false">E463+$H$24-C463</f>
        <v>0.0118333955361693</v>
      </c>
    </row>
    <row r="464" customFormat="false" ht="15" hidden="false" customHeight="true" outlineLevel="0" collapsed="false">
      <c r="A464" s="23" t="n">
        <f aca="false">Daily_Returns_Raw_Data!A441</f>
        <v>43007</v>
      </c>
      <c r="B464" s="17" t="n">
        <f aca="false">SUMPRODUCT(Daily_Returns_Raw_Data!B441:X441,$AB$3:$AX$3)</f>
        <v>0.010597661228561</v>
      </c>
      <c r="C464" s="17" t="n">
        <f aca="false">-B464</f>
        <v>-0.010597661228561</v>
      </c>
      <c r="D464" s="17" t="n">
        <f aca="false">MAX(C464-$H$15,0)</f>
        <v>0</v>
      </c>
      <c r="E464" s="36" t="n">
        <v>0</v>
      </c>
      <c r="F464" s="17" t="n">
        <f aca="false">E464+$H$24-C464</f>
        <v>0.024348870234561</v>
      </c>
    </row>
    <row r="465" customFormat="false" ht="15" hidden="false" customHeight="true" outlineLevel="0" collapsed="false">
      <c r="A465" s="23" t="n">
        <f aca="false">Daily_Returns_Raw_Data!A442</f>
        <v>43010</v>
      </c>
      <c r="B465" s="17" t="n">
        <f aca="false">SUMPRODUCT(Daily_Returns_Raw_Data!B442:X442,$AB$3:$AX$3)</f>
        <v>0.00760464024202495</v>
      </c>
      <c r="C465" s="17" t="n">
        <f aca="false">-B465</f>
        <v>-0.00760464024202495</v>
      </c>
      <c r="D465" s="17" t="n">
        <f aca="false">MAX(C465-$H$15,0)</f>
        <v>0</v>
      </c>
      <c r="E465" s="36" t="n">
        <v>0</v>
      </c>
      <c r="F465" s="17" t="n">
        <f aca="false">E465+$H$24-C465</f>
        <v>0.021355849248025</v>
      </c>
    </row>
    <row r="466" customFormat="false" ht="15" hidden="false" customHeight="true" outlineLevel="0" collapsed="false">
      <c r="A466" s="23" t="n">
        <f aca="false">Daily_Returns_Raw_Data!A443</f>
        <v>43011</v>
      </c>
      <c r="B466" s="17" t="n">
        <f aca="false">SUMPRODUCT(Daily_Returns_Raw_Data!B443:X443,$AB$3:$AX$3)</f>
        <v>0.00581423285388034</v>
      </c>
      <c r="C466" s="17" t="n">
        <f aca="false">-B466</f>
        <v>-0.00581423285388034</v>
      </c>
      <c r="D466" s="17" t="n">
        <f aca="false">MAX(C466-$H$15,0)</f>
        <v>0</v>
      </c>
      <c r="E466" s="36" t="n">
        <v>0</v>
      </c>
      <c r="F466" s="17" t="n">
        <f aca="false">E466+$H$24-C466</f>
        <v>0.0195654418598803</v>
      </c>
    </row>
    <row r="467" customFormat="false" ht="15" hidden="false" customHeight="true" outlineLevel="0" collapsed="false">
      <c r="A467" s="23" t="n">
        <f aca="false">Daily_Returns_Raw_Data!A444</f>
        <v>43012</v>
      </c>
      <c r="B467" s="17" t="n">
        <f aca="false">SUMPRODUCT(Daily_Returns_Raw_Data!B444:X444,$AB$3:$AX$3)</f>
        <v>0.0123556505323249</v>
      </c>
      <c r="C467" s="17" t="n">
        <f aca="false">-B467</f>
        <v>-0.0123556505323249</v>
      </c>
      <c r="D467" s="17" t="n">
        <f aca="false">MAX(C467-$H$15,0)</f>
        <v>0</v>
      </c>
      <c r="E467" s="36" t="n">
        <v>0</v>
      </c>
      <c r="F467" s="17" t="n">
        <f aca="false">E467+$H$24-C467</f>
        <v>0.0261068595383249</v>
      </c>
    </row>
    <row r="468" customFormat="false" ht="15" hidden="false" customHeight="true" outlineLevel="0" collapsed="false">
      <c r="A468" s="23" t="n">
        <f aca="false">Daily_Returns_Raw_Data!A445</f>
        <v>43013</v>
      </c>
      <c r="B468" s="17" t="n">
        <f aca="false">SUMPRODUCT(Daily_Returns_Raw_Data!B445:X445,$AB$3:$AX$3)</f>
        <v>-0.0137512090062548</v>
      </c>
      <c r="C468" s="17" t="n">
        <f aca="false">-B468</f>
        <v>0.0137512090062548</v>
      </c>
      <c r="D468" s="17" t="n">
        <f aca="false">MAX(C468-$H$15,0)</f>
        <v>4.60916027567038E-015</v>
      </c>
      <c r="E468" s="36" t="n">
        <v>0</v>
      </c>
      <c r="F468" s="17" t="n">
        <f aca="false">E468+$H$24-C468</f>
        <v>-2.54796184151473E-013</v>
      </c>
    </row>
    <row r="469" customFormat="false" ht="15" hidden="false" customHeight="true" outlineLevel="0" collapsed="false">
      <c r="A469" s="23" t="n">
        <f aca="false">Daily_Returns_Raw_Data!A446</f>
        <v>43014</v>
      </c>
      <c r="B469" s="17" t="n">
        <f aca="false">SUMPRODUCT(Daily_Returns_Raw_Data!B446:X446,$AB$3:$AX$3)</f>
        <v>0.0103661750056517</v>
      </c>
      <c r="C469" s="17" t="n">
        <f aca="false">-B469</f>
        <v>-0.0103661750056517</v>
      </c>
      <c r="D469" s="17" t="n">
        <f aca="false">MAX(C469-$H$15,0)</f>
        <v>0</v>
      </c>
      <c r="E469" s="36" t="n">
        <v>0</v>
      </c>
      <c r="F469" s="17" t="n">
        <f aca="false">E469+$H$24-C469</f>
        <v>0.0241173840116517</v>
      </c>
    </row>
    <row r="470" customFormat="false" ht="15" hidden="false" customHeight="true" outlineLevel="0" collapsed="false">
      <c r="A470" s="23" t="n">
        <f aca="false">Daily_Returns_Raw_Data!A447</f>
        <v>43017</v>
      </c>
      <c r="B470" s="17" t="n">
        <f aca="false">SUMPRODUCT(Daily_Returns_Raw_Data!B447:X447,$AB$3:$AX$3)</f>
        <v>-0.00394180204509578</v>
      </c>
      <c r="C470" s="17" t="n">
        <f aca="false">-B470</f>
        <v>0.00394180204509578</v>
      </c>
      <c r="D470" s="17" t="n">
        <f aca="false">MAX(C470-$H$15,0)</f>
        <v>0</v>
      </c>
      <c r="E470" s="36" t="n">
        <v>0</v>
      </c>
      <c r="F470" s="17" t="n">
        <f aca="false">E470+$H$24-C470</f>
        <v>0.00980940696090422</v>
      </c>
    </row>
    <row r="471" customFormat="false" ht="15" hidden="false" customHeight="true" outlineLevel="0" collapsed="false">
      <c r="A471" s="23" t="n">
        <f aca="false">Daily_Returns_Raw_Data!A448</f>
        <v>43018</v>
      </c>
      <c r="B471" s="17" t="n">
        <f aca="false">SUMPRODUCT(Daily_Returns_Raw_Data!B448:X448,$AB$3:$AX$3)</f>
        <v>0.0013690015881087</v>
      </c>
      <c r="C471" s="17" t="n">
        <f aca="false">-B471</f>
        <v>-0.0013690015881087</v>
      </c>
      <c r="D471" s="17" t="n">
        <f aca="false">MAX(C471-$H$15,0)</f>
        <v>0</v>
      </c>
      <c r="E471" s="36" t="n">
        <v>0</v>
      </c>
      <c r="F471" s="17" t="n">
        <f aca="false">E471+$H$24-C471</f>
        <v>0.0151202105941087</v>
      </c>
    </row>
    <row r="472" customFormat="false" ht="15" hidden="false" customHeight="true" outlineLevel="0" collapsed="false">
      <c r="A472" s="23" t="n">
        <f aca="false">Daily_Returns_Raw_Data!A449</f>
        <v>43019</v>
      </c>
      <c r="B472" s="17" t="n">
        <f aca="false">SUMPRODUCT(Daily_Returns_Raw_Data!B449:X449,$AB$3:$AX$3)</f>
        <v>-0.0137512090062391</v>
      </c>
      <c r="C472" s="17" t="n">
        <f aca="false">-B472</f>
        <v>0.0137512090062391</v>
      </c>
      <c r="D472" s="17" t="n">
        <f aca="false">MAX(C472-$H$15,0)</f>
        <v>0</v>
      </c>
      <c r="E472" s="36" t="n">
        <v>0</v>
      </c>
      <c r="F472" s="17" t="n">
        <f aca="false">E472+$H$24-C472</f>
        <v>-2.39074385288696E-013</v>
      </c>
    </row>
    <row r="473" customFormat="false" ht="15" hidden="false" customHeight="true" outlineLevel="0" collapsed="false">
      <c r="A473" s="23" t="n">
        <f aca="false">Daily_Returns_Raw_Data!A450</f>
        <v>43020</v>
      </c>
      <c r="B473" s="17" t="n">
        <f aca="false">SUMPRODUCT(Daily_Returns_Raw_Data!B450:X450,$AB$3:$AX$3)</f>
        <v>-0.00084619643534623</v>
      </c>
      <c r="C473" s="17" t="n">
        <f aca="false">-B473</f>
        <v>0.00084619643534623</v>
      </c>
      <c r="D473" s="17" t="n">
        <f aca="false">MAX(C473-$H$15,0)</f>
        <v>0</v>
      </c>
      <c r="E473" s="36" t="n">
        <v>0</v>
      </c>
      <c r="F473" s="17" t="n">
        <f aca="false">E473+$H$24-C473</f>
        <v>0.0129050125706538</v>
      </c>
    </row>
    <row r="474" customFormat="false" ht="15" hidden="false" customHeight="true" outlineLevel="0" collapsed="false">
      <c r="A474" s="23" t="n">
        <f aca="false">Daily_Returns_Raw_Data!A451</f>
        <v>43021</v>
      </c>
      <c r="B474" s="17" t="n">
        <f aca="false">SUMPRODUCT(Daily_Returns_Raw_Data!B451:X451,$AB$3:$AX$3)</f>
        <v>-0.001202545955413</v>
      </c>
      <c r="C474" s="17" t="n">
        <f aca="false">-B474</f>
        <v>0.001202545955413</v>
      </c>
      <c r="D474" s="17" t="n">
        <f aca="false">MAX(C474-$H$15,0)</f>
        <v>0</v>
      </c>
      <c r="E474" s="36" t="n">
        <v>0</v>
      </c>
      <c r="F474" s="17" t="n">
        <f aca="false">E474+$H$24-C474</f>
        <v>0.012548663050587</v>
      </c>
    </row>
    <row r="475" customFormat="false" ht="15" hidden="false" customHeight="true" outlineLevel="0" collapsed="false">
      <c r="A475" s="23" t="n">
        <f aca="false">Daily_Returns_Raw_Data!A452</f>
        <v>43024</v>
      </c>
      <c r="B475" s="17" t="n">
        <f aca="false">SUMPRODUCT(Daily_Returns_Raw_Data!B452:X452,$AB$3:$AX$3)</f>
        <v>-0.0103626068153547</v>
      </c>
      <c r="C475" s="17" t="n">
        <f aca="false">-B475</f>
        <v>0.0103626068153547</v>
      </c>
      <c r="D475" s="17" t="n">
        <f aca="false">MAX(C475-$H$15,0)</f>
        <v>0</v>
      </c>
      <c r="E475" s="36" t="n">
        <v>0</v>
      </c>
      <c r="F475" s="17" t="n">
        <f aca="false">E475+$H$24-C475</f>
        <v>0.00338860219064534</v>
      </c>
    </row>
    <row r="476" customFormat="false" ht="15" hidden="false" customHeight="true" outlineLevel="0" collapsed="false">
      <c r="A476" s="23" t="n">
        <f aca="false">Daily_Returns_Raw_Data!A453</f>
        <v>43025</v>
      </c>
      <c r="B476" s="17" t="n">
        <f aca="false">SUMPRODUCT(Daily_Returns_Raw_Data!B453:X453,$AB$3:$AX$3)</f>
        <v>0.00540370025498735</v>
      </c>
      <c r="C476" s="17" t="n">
        <f aca="false">-B476</f>
        <v>-0.00540370025498735</v>
      </c>
      <c r="D476" s="17" t="n">
        <f aca="false">MAX(C476-$H$15,0)</f>
        <v>0</v>
      </c>
      <c r="E476" s="36" t="n">
        <v>0</v>
      </c>
      <c r="F476" s="17" t="n">
        <f aca="false">E476+$H$24-C476</f>
        <v>0.0191549092609873</v>
      </c>
    </row>
    <row r="477" customFormat="false" ht="15" hidden="false" customHeight="true" outlineLevel="0" collapsed="false">
      <c r="A477" s="23" t="n">
        <f aca="false">Daily_Returns_Raw_Data!A454</f>
        <v>43026</v>
      </c>
      <c r="B477" s="17" t="n">
        <f aca="false">SUMPRODUCT(Daily_Returns_Raw_Data!B454:X454,$AB$3:$AX$3)</f>
        <v>-0.00703328055646177</v>
      </c>
      <c r="C477" s="17" t="n">
        <f aca="false">-B477</f>
        <v>0.00703328055646177</v>
      </c>
      <c r="D477" s="17" t="n">
        <f aca="false">MAX(C477-$H$15,0)</f>
        <v>0</v>
      </c>
      <c r="E477" s="36" t="n">
        <v>0</v>
      </c>
      <c r="F477" s="17" t="n">
        <f aca="false">E477+$H$24-C477</f>
        <v>0.00671792844953823</v>
      </c>
    </row>
    <row r="478" customFormat="false" ht="15" hidden="false" customHeight="true" outlineLevel="0" collapsed="false">
      <c r="A478" s="23" t="n">
        <f aca="false">Daily_Returns_Raw_Data!A455</f>
        <v>43027</v>
      </c>
      <c r="B478" s="17" t="n">
        <f aca="false">SUMPRODUCT(Daily_Returns_Raw_Data!B455:X455,$AB$3:$AX$3)</f>
        <v>0.00472440733361849</v>
      </c>
      <c r="C478" s="17" t="n">
        <f aca="false">-B478</f>
        <v>-0.00472440733361849</v>
      </c>
      <c r="D478" s="17" t="n">
        <f aca="false">MAX(C478-$H$15,0)</f>
        <v>0</v>
      </c>
      <c r="E478" s="36" t="n">
        <v>0</v>
      </c>
      <c r="F478" s="17" t="n">
        <f aca="false">E478+$H$24-C478</f>
        <v>0.0184756163396185</v>
      </c>
    </row>
    <row r="479" customFormat="false" ht="15" hidden="false" customHeight="true" outlineLevel="0" collapsed="false">
      <c r="A479" s="23" t="n">
        <f aca="false">Daily_Returns_Raw_Data!A456</f>
        <v>43028</v>
      </c>
      <c r="B479" s="17" t="n">
        <f aca="false">SUMPRODUCT(Daily_Returns_Raw_Data!B456:X456,$AB$3:$AX$3)</f>
        <v>0.000407425415235359</v>
      </c>
      <c r="C479" s="17" t="n">
        <f aca="false">-B479</f>
        <v>-0.000407425415235359</v>
      </c>
      <c r="D479" s="17" t="n">
        <f aca="false">MAX(C479-$H$15,0)</f>
        <v>0</v>
      </c>
      <c r="E479" s="36" t="n">
        <v>0</v>
      </c>
      <c r="F479" s="17" t="n">
        <f aca="false">E479+$H$24-C479</f>
        <v>0.0141586344212354</v>
      </c>
    </row>
    <row r="480" customFormat="false" ht="15" hidden="false" customHeight="true" outlineLevel="0" collapsed="false">
      <c r="A480" s="23" t="n">
        <f aca="false">Daily_Returns_Raw_Data!A457</f>
        <v>43031</v>
      </c>
      <c r="B480" s="17" t="n">
        <f aca="false">SUMPRODUCT(Daily_Returns_Raw_Data!B457:X457,$AB$3:$AX$3)</f>
        <v>-0.000989945699876597</v>
      </c>
      <c r="C480" s="17" t="n">
        <f aca="false">-B480</f>
        <v>0.000989945699876597</v>
      </c>
      <c r="D480" s="17" t="n">
        <f aca="false">MAX(C480-$H$15,0)</f>
        <v>0</v>
      </c>
      <c r="E480" s="36" t="n">
        <v>0</v>
      </c>
      <c r="F480" s="17" t="n">
        <f aca="false">E480+$H$24-C480</f>
        <v>0.0127612633061234</v>
      </c>
    </row>
    <row r="481" customFormat="false" ht="15" hidden="false" customHeight="true" outlineLevel="0" collapsed="false">
      <c r="A481" s="23" t="n">
        <f aca="false">Daily_Returns_Raw_Data!A458</f>
        <v>43032</v>
      </c>
      <c r="B481" s="17" t="n">
        <f aca="false">SUMPRODUCT(Daily_Returns_Raw_Data!B458:X458,$AB$3:$AX$3)</f>
        <v>-0.006956978907306</v>
      </c>
      <c r="C481" s="17" t="n">
        <f aca="false">-B481</f>
        <v>0.006956978907306</v>
      </c>
      <c r="D481" s="17" t="n">
        <f aca="false">MAX(C481-$H$15,0)</f>
        <v>0</v>
      </c>
      <c r="E481" s="36" t="n">
        <v>0</v>
      </c>
      <c r="F481" s="17" t="n">
        <f aca="false">E481+$H$24-C481</f>
        <v>0.006794230098694</v>
      </c>
    </row>
    <row r="482" customFormat="false" ht="15" hidden="false" customHeight="true" outlineLevel="0" collapsed="false">
      <c r="A482" s="23" t="n">
        <f aca="false">Daily_Returns_Raw_Data!A459</f>
        <v>43033</v>
      </c>
      <c r="B482" s="17" t="n">
        <f aca="false">SUMPRODUCT(Daily_Returns_Raw_Data!B459:X459,$AB$3:$AX$3)</f>
        <v>0.00226142991501196</v>
      </c>
      <c r="C482" s="17" t="n">
        <f aca="false">-B482</f>
        <v>-0.00226142991501196</v>
      </c>
      <c r="D482" s="17" t="n">
        <f aca="false">MAX(C482-$H$15,0)</f>
        <v>0</v>
      </c>
      <c r="E482" s="36" t="n">
        <v>0</v>
      </c>
      <c r="F482" s="17" t="n">
        <f aca="false">E482+$H$24-C482</f>
        <v>0.016012638921012</v>
      </c>
    </row>
    <row r="483" customFormat="false" ht="15" hidden="false" customHeight="true" outlineLevel="0" collapsed="false">
      <c r="A483" s="23" t="n">
        <f aca="false">Daily_Returns_Raw_Data!A460</f>
        <v>43034</v>
      </c>
      <c r="B483" s="17" t="n">
        <f aca="false">SUMPRODUCT(Daily_Returns_Raw_Data!B460:X460,$AB$3:$AX$3)</f>
        <v>-0.00103297486132161</v>
      </c>
      <c r="C483" s="17" t="n">
        <f aca="false">-B483</f>
        <v>0.00103297486132161</v>
      </c>
      <c r="D483" s="17" t="n">
        <f aca="false">MAX(C483-$H$15,0)</f>
        <v>0</v>
      </c>
      <c r="E483" s="36" t="n">
        <v>0</v>
      </c>
      <c r="F483" s="17" t="n">
        <f aca="false">E483+$H$24-C483</f>
        <v>0.0127182341446784</v>
      </c>
    </row>
    <row r="484" customFormat="false" ht="15" hidden="false" customHeight="true" outlineLevel="0" collapsed="false">
      <c r="A484" s="23" t="n">
        <f aca="false">Daily_Returns_Raw_Data!A461</f>
        <v>43035</v>
      </c>
      <c r="B484" s="17" t="n">
        <f aca="false">SUMPRODUCT(Daily_Returns_Raw_Data!B461:X461,$AB$3:$AX$3)</f>
        <v>0.00231768000843464</v>
      </c>
      <c r="C484" s="17" t="n">
        <f aca="false">-B484</f>
        <v>-0.00231768000843464</v>
      </c>
      <c r="D484" s="17" t="n">
        <f aca="false">MAX(C484-$H$15,0)</f>
        <v>0</v>
      </c>
      <c r="E484" s="36" t="n">
        <v>0</v>
      </c>
      <c r="F484" s="17" t="n">
        <f aca="false">E484+$H$24-C484</f>
        <v>0.0160688890144346</v>
      </c>
    </row>
    <row r="485" customFormat="false" ht="15" hidden="false" customHeight="true" outlineLevel="0" collapsed="false">
      <c r="A485" s="23" t="n">
        <f aca="false">Daily_Returns_Raw_Data!A462</f>
        <v>43038</v>
      </c>
      <c r="B485" s="17" t="n">
        <f aca="false">SUMPRODUCT(Daily_Returns_Raw_Data!B462:X462,$AB$3:$AX$3)</f>
        <v>0.00231185869401684</v>
      </c>
      <c r="C485" s="17" t="n">
        <f aca="false">-B485</f>
        <v>-0.00231185869401684</v>
      </c>
      <c r="D485" s="17" t="n">
        <f aca="false">MAX(C485-$H$15,0)</f>
        <v>0</v>
      </c>
      <c r="E485" s="36" t="n">
        <v>0</v>
      </c>
      <c r="F485" s="17" t="n">
        <f aca="false">E485+$H$24-C485</f>
        <v>0.0160630677000168</v>
      </c>
    </row>
    <row r="486" customFormat="false" ht="15" hidden="false" customHeight="true" outlineLevel="0" collapsed="false">
      <c r="A486" s="23" t="n">
        <f aca="false">Daily_Returns_Raw_Data!A463</f>
        <v>43039</v>
      </c>
      <c r="B486" s="17" t="n">
        <f aca="false">SUMPRODUCT(Daily_Returns_Raw_Data!B463:X463,$AB$3:$AX$3)</f>
        <v>0.00289811312156119</v>
      </c>
      <c r="C486" s="17" t="n">
        <f aca="false">-B486</f>
        <v>-0.00289811312156119</v>
      </c>
      <c r="D486" s="17" t="n">
        <f aca="false">MAX(C486-$H$15,0)</f>
        <v>0</v>
      </c>
      <c r="E486" s="36" t="n">
        <v>0</v>
      </c>
      <c r="F486" s="17" t="n">
        <f aca="false">E486+$H$24-C486</f>
        <v>0.0166493221275612</v>
      </c>
    </row>
    <row r="487" customFormat="false" ht="15" hidden="false" customHeight="true" outlineLevel="0" collapsed="false">
      <c r="A487" s="23" t="n">
        <f aca="false">Daily_Returns_Raw_Data!A464</f>
        <v>43040</v>
      </c>
      <c r="B487" s="17" t="n">
        <f aca="false">SUMPRODUCT(Daily_Returns_Raw_Data!B464:X464,$AB$3:$AX$3)</f>
        <v>-0.00197793092934455</v>
      </c>
      <c r="C487" s="17" t="n">
        <f aca="false">-B487</f>
        <v>0.00197793092934455</v>
      </c>
      <c r="D487" s="17" t="n">
        <f aca="false">MAX(C487-$H$15,0)</f>
        <v>0</v>
      </c>
      <c r="E487" s="36" t="n">
        <v>0</v>
      </c>
      <c r="F487" s="17" t="n">
        <f aca="false">E487+$H$24-C487</f>
        <v>0.0117732780766554</v>
      </c>
    </row>
    <row r="488" customFormat="false" ht="15" hidden="false" customHeight="true" outlineLevel="0" collapsed="false">
      <c r="A488" s="23" t="n">
        <f aca="false">Daily_Returns_Raw_Data!A465</f>
        <v>43041</v>
      </c>
      <c r="B488" s="17" t="n">
        <f aca="false">SUMPRODUCT(Daily_Returns_Raw_Data!B465:X465,$AB$3:$AX$3)</f>
        <v>0.00865433147833234</v>
      </c>
      <c r="C488" s="17" t="n">
        <f aca="false">-B488</f>
        <v>-0.00865433147833234</v>
      </c>
      <c r="D488" s="17" t="n">
        <f aca="false">MAX(C488-$H$15,0)</f>
        <v>0</v>
      </c>
      <c r="E488" s="36" t="n">
        <v>0</v>
      </c>
      <c r="F488" s="17" t="n">
        <f aca="false">E488+$H$24-C488</f>
        <v>0.0224055404843323</v>
      </c>
    </row>
    <row r="489" customFormat="false" ht="15" hidden="false" customHeight="true" outlineLevel="0" collapsed="false">
      <c r="A489" s="23" t="n">
        <f aca="false">Daily_Returns_Raw_Data!A466</f>
        <v>43042</v>
      </c>
      <c r="B489" s="17" t="n">
        <f aca="false">SUMPRODUCT(Daily_Returns_Raw_Data!B466:X466,$AB$3:$AX$3)</f>
        <v>0.0407009894446184</v>
      </c>
      <c r="C489" s="17" t="n">
        <f aca="false">-B489</f>
        <v>-0.0407009894446184</v>
      </c>
      <c r="D489" s="17" t="n">
        <f aca="false">MAX(C489-$H$15,0)</f>
        <v>0</v>
      </c>
      <c r="E489" s="36" t="n">
        <v>0</v>
      </c>
      <c r="F489" s="17" t="n">
        <f aca="false">E489+$H$24-C489</f>
        <v>0.0544521984506184</v>
      </c>
    </row>
    <row r="490" customFormat="false" ht="15" hidden="false" customHeight="true" outlineLevel="0" collapsed="false">
      <c r="A490" s="23" t="n">
        <f aca="false">Daily_Returns_Raw_Data!A467</f>
        <v>43045</v>
      </c>
      <c r="B490" s="17" t="n">
        <f aca="false">SUMPRODUCT(Daily_Returns_Raw_Data!B467:X467,$AB$3:$AX$3)</f>
        <v>0.0124372727813138</v>
      </c>
      <c r="C490" s="17" t="n">
        <f aca="false">-B490</f>
        <v>-0.0124372727813138</v>
      </c>
      <c r="D490" s="17" t="n">
        <f aca="false">MAX(C490-$H$15,0)</f>
        <v>0</v>
      </c>
      <c r="E490" s="36" t="n">
        <v>0</v>
      </c>
      <c r="F490" s="17" t="n">
        <f aca="false">E490+$H$24-C490</f>
        <v>0.0261884817873138</v>
      </c>
    </row>
    <row r="491" customFormat="false" ht="15" hidden="false" customHeight="true" outlineLevel="0" collapsed="false">
      <c r="A491" s="23" t="n">
        <f aca="false">Daily_Returns_Raw_Data!A468</f>
        <v>43046</v>
      </c>
      <c r="B491" s="17" t="n">
        <f aca="false">SUMPRODUCT(Daily_Returns_Raw_Data!B468:X468,$AB$3:$AX$3)</f>
        <v>0.0135181621838503</v>
      </c>
      <c r="C491" s="17" t="n">
        <f aca="false">-B491</f>
        <v>-0.0135181621838503</v>
      </c>
      <c r="D491" s="17" t="n">
        <f aca="false">MAX(C491-$H$15,0)</f>
        <v>0</v>
      </c>
      <c r="E491" s="36" t="n">
        <v>0</v>
      </c>
      <c r="F491" s="17" t="n">
        <f aca="false">E491+$H$24-C491</f>
        <v>0.0272693711898503</v>
      </c>
    </row>
    <row r="492" customFormat="false" ht="15" hidden="false" customHeight="true" outlineLevel="0" collapsed="false">
      <c r="A492" s="23" t="n">
        <f aca="false">Daily_Returns_Raw_Data!A469</f>
        <v>43047</v>
      </c>
      <c r="B492" s="17" t="n">
        <f aca="false">SUMPRODUCT(Daily_Returns_Raw_Data!B469:X469,$AB$3:$AX$3)</f>
        <v>0.00650343056028511</v>
      </c>
      <c r="C492" s="17" t="n">
        <f aca="false">-B492</f>
        <v>-0.00650343056028511</v>
      </c>
      <c r="D492" s="17" t="n">
        <f aca="false">MAX(C492-$H$15,0)</f>
        <v>0</v>
      </c>
      <c r="E492" s="36" t="n">
        <v>0</v>
      </c>
      <c r="F492" s="17" t="n">
        <f aca="false">E492+$H$24-C492</f>
        <v>0.0202546395662851</v>
      </c>
    </row>
    <row r="493" customFormat="false" ht="15" hidden="false" customHeight="true" outlineLevel="0" collapsed="false">
      <c r="A493" s="23" t="n">
        <f aca="false">Daily_Returns_Raw_Data!A470</f>
        <v>43048</v>
      </c>
      <c r="B493" s="17" t="n">
        <f aca="false">SUMPRODUCT(Daily_Returns_Raw_Data!B470:X470,$AB$3:$AX$3)</f>
        <v>0.0307983755763393</v>
      </c>
      <c r="C493" s="17" t="n">
        <f aca="false">-B493</f>
        <v>-0.0307983755763393</v>
      </c>
      <c r="D493" s="17" t="n">
        <f aca="false">MAX(C493-$H$15,0)</f>
        <v>0</v>
      </c>
      <c r="E493" s="36" t="n">
        <v>0</v>
      </c>
      <c r="F493" s="17" t="n">
        <f aca="false">E493+$H$24-C493</f>
        <v>0.0445495845823393</v>
      </c>
    </row>
    <row r="494" customFormat="false" ht="15" hidden="false" customHeight="true" outlineLevel="0" collapsed="false">
      <c r="A494" s="23" t="n">
        <f aca="false">Daily_Returns_Raw_Data!A471</f>
        <v>43049</v>
      </c>
      <c r="B494" s="17" t="n">
        <f aca="false">SUMPRODUCT(Daily_Returns_Raw_Data!B471:X471,$AB$3:$AX$3)</f>
        <v>0.0524505948378469</v>
      </c>
      <c r="C494" s="17" t="n">
        <f aca="false">-B494</f>
        <v>-0.0524505948378469</v>
      </c>
      <c r="D494" s="17" t="n">
        <f aca="false">MAX(C494-$H$15,0)</f>
        <v>0</v>
      </c>
      <c r="E494" s="36" t="n">
        <v>0</v>
      </c>
      <c r="F494" s="17" t="n">
        <f aca="false">E494+$H$24-C494</f>
        <v>0.0662018038438469</v>
      </c>
    </row>
    <row r="495" customFormat="false" ht="15" hidden="false" customHeight="true" outlineLevel="0" collapsed="false">
      <c r="A495" s="23" t="n">
        <f aca="false">Daily_Returns_Raw_Data!A472</f>
        <v>43052</v>
      </c>
      <c r="B495" s="17" t="n">
        <f aca="false">SUMPRODUCT(Daily_Returns_Raw_Data!B472:X472,$AB$3:$AX$3)</f>
        <v>0.0105721582278471</v>
      </c>
      <c r="C495" s="17" t="n">
        <f aca="false">-B495</f>
        <v>-0.0105721582278471</v>
      </c>
      <c r="D495" s="17" t="n">
        <f aca="false">MAX(C495-$H$15,0)</f>
        <v>0</v>
      </c>
      <c r="E495" s="36" t="n">
        <v>0</v>
      </c>
      <c r="F495" s="17" t="n">
        <f aca="false">E495+$H$24-C495</f>
        <v>0.0243233672338471</v>
      </c>
    </row>
    <row r="496" customFormat="false" ht="15" hidden="false" customHeight="true" outlineLevel="0" collapsed="false">
      <c r="A496" s="23" t="n">
        <f aca="false">Daily_Returns_Raw_Data!A473</f>
        <v>43053</v>
      </c>
      <c r="B496" s="17" t="n">
        <f aca="false">SUMPRODUCT(Daily_Returns_Raw_Data!B473:X473,$AB$3:$AX$3)</f>
        <v>-0.00579339396082508</v>
      </c>
      <c r="C496" s="17" t="n">
        <f aca="false">-B496</f>
        <v>0.00579339396082508</v>
      </c>
      <c r="D496" s="17" t="n">
        <f aca="false">MAX(C496-$H$15,0)</f>
        <v>0</v>
      </c>
      <c r="E496" s="36" t="n">
        <v>0</v>
      </c>
      <c r="F496" s="17" t="n">
        <f aca="false">E496+$H$24-C496</f>
        <v>0.00795781504517492</v>
      </c>
    </row>
    <row r="497" customFormat="false" ht="15" hidden="false" customHeight="true" outlineLevel="0" collapsed="false">
      <c r="A497" s="23" t="n">
        <f aca="false">Daily_Returns_Raw_Data!A474</f>
        <v>43054</v>
      </c>
      <c r="B497" s="17" t="n">
        <f aca="false">SUMPRODUCT(Daily_Returns_Raw_Data!B474:X474,$AB$3:$AX$3)</f>
        <v>-0.0212149753542527</v>
      </c>
      <c r="C497" s="17" t="n">
        <f aca="false">-B497</f>
        <v>0.0212149753542527</v>
      </c>
      <c r="D497" s="17" t="n">
        <f aca="false">MAX(C497-$H$15,0)</f>
        <v>0.0074637663480025</v>
      </c>
      <c r="E497" s="36" t="n">
        <v>0.007463766348</v>
      </c>
      <c r="F497" s="17" t="n">
        <f aca="false">E497+$H$24-C497</f>
        <v>-2.52683290957734E-013</v>
      </c>
    </row>
    <row r="498" customFormat="false" ht="15" hidden="false" customHeight="true" outlineLevel="0" collapsed="false">
      <c r="A498" s="23" t="n">
        <f aca="false">Daily_Returns_Raw_Data!A475</f>
        <v>43055</v>
      </c>
      <c r="B498" s="17" t="n">
        <f aca="false">SUMPRODUCT(Daily_Returns_Raw_Data!B475:X475,$AB$3:$AX$3)</f>
        <v>0.00852760346141993</v>
      </c>
      <c r="C498" s="17" t="n">
        <f aca="false">-B498</f>
        <v>-0.00852760346141993</v>
      </c>
      <c r="D498" s="17" t="n">
        <f aca="false">MAX(C498-$H$15,0)</f>
        <v>0</v>
      </c>
      <c r="E498" s="36" t="n">
        <v>0</v>
      </c>
      <c r="F498" s="17" t="n">
        <f aca="false">E498+$H$24-C498</f>
        <v>0.0222788124674199</v>
      </c>
    </row>
    <row r="499" customFormat="false" ht="15" hidden="false" customHeight="true" outlineLevel="0" collapsed="false">
      <c r="A499" s="23" t="n">
        <f aca="false">Daily_Returns_Raw_Data!A476</f>
        <v>43056</v>
      </c>
      <c r="B499" s="17" t="n">
        <f aca="false">SUMPRODUCT(Daily_Returns_Raw_Data!B476:X476,$AB$3:$AX$3)</f>
        <v>0.0229188321993262</v>
      </c>
      <c r="C499" s="17" t="n">
        <f aca="false">-B499</f>
        <v>-0.0229188321993262</v>
      </c>
      <c r="D499" s="17" t="n">
        <f aca="false">MAX(C499-$H$15,0)</f>
        <v>0</v>
      </c>
      <c r="E499" s="36" t="n">
        <v>0</v>
      </c>
      <c r="F499" s="17" t="n">
        <f aca="false">E499+$H$24-C499</f>
        <v>0.0366700412053262</v>
      </c>
    </row>
    <row r="500" customFormat="false" ht="15" hidden="false" customHeight="true" outlineLevel="0" collapsed="false">
      <c r="A500" s="23" t="n">
        <f aca="false">Daily_Returns_Raw_Data!A477</f>
        <v>43059</v>
      </c>
      <c r="B500" s="17" t="n">
        <f aca="false">SUMPRODUCT(Daily_Returns_Raw_Data!B477:X477,$AB$3:$AX$3)</f>
        <v>0.021842100181887</v>
      </c>
      <c r="C500" s="17" t="n">
        <f aca="false">-B500</f>
        <v>-0.021842100181887</v>
      </c>
      <c r="D500" s="17" t="n">
        <f aca="false">MAX(C500-$H$15,0)</f>
        <v>0</v>
      </c>
      <c r="E500" s="36" t="n">
        <v>0</v>
      </c>
      <c r="F500" s="17" t="n">
        <f aca="false">E500+$H$24-C500</f>
        <v>0.035593309187887</v>
      </c>
    </row>
    <row r="501" customFormat="false" ht="15" hidden="false" customHeight="true" outlineLevel="0" collapsed="false">
      <c r="A501" s="23" t="n">
        <f aca="false">Daily_Returns_Raw_Data!A478</f>
        <v>43060</v>
      </c>
      <c r="B501" s="17" t="n">
        <f aca="false">SUMPRODUCT(Daily_Returns_Raw_Data!B478:X478,$AB$3:$AX$3)</f>
        <v>0.0219263917377043</v>
      </c>
      <c r="C501" s="17" t="n">
        <f aca="false">-B501</f>
        <v>-0.0219263917377043</v>
      </c>
      <c r="D501" s="17" t="n">
        <f aca="false">MAX(C501-$H$15,0)</f>
        <v>0</v>
      </c>
      <c r="E501" s="36" t="n">
        <v>0</v>
      </c>
      <c r="F501" s="17" t="n">
        <f aca="false">E501+$H$24-C501</f>
        <v>0.0356776007437043</v>
      </c>
    </row>
    <row r="502" customFormat="false" ht="15" hidden="false" customHeight="true" outlineLevel="0" collapsed="false">
      <c r="A502" s="23" t="n">
        <f aca="false">Daily_Returns_Raw_Data!A479</f>
        <v>43061</v>
      </c>
      <c r="B502" s="17" t="n">
        <f aca="false">SUMPRODUCT(Daily_Returns_Raw_Data!B479:X479,$AB$3:$AX$3)</f>
        <v>0.0214041315805907</v>
      </c>
      <c r="C502" s="17" t="n">
        <f aca="false">-B502</f>
        <v>-0.0214041315805907</v>
      </c>
      <c r="D502" s="17" t="n">
        <f aca="false">MAX(C502-$H$15,0)</f>
        <v>0</v>
      </c>
      <c r="E502" s="36" t="n">
        <v>0</v>
      </c>
      <c r="F502" s="17" t="n">
        <f aca="false">E502+$H$24-C502</f>
        <v>0.0351553405865907</v>
      </c>
    </row>
    <row r="503" customFormat="false" ht="15" hidden="false" customHeight="true" outlineLevel="0" collapsed="false">
      <c r="A503" s="23" t="n">
        <f aca="false">Daily_Returns_Raw_Data!A480</f>
        <v>43063</v>
      </c>
      <c r="B503" s="17" t="n">
        <f aca="false">SUMPRODUCT(Daily_Returns_Raw_Data!B480:X480,$AB$3:$AX$3)</f>
        <v>0.0224172628096301</v>
      </c>
      <c r="C503" s="17" t="n">
        <f aca="false">-B503</f>
        <v>-0.0224172628096301</v>
      </c>
      <c r="D503" s="17" t="n">
        <f aca="false">MAX(C503-$H$15,0)</f>
        <v>0</v>
      </c>
      <c r="E503" s="36" t="n">
        <v>0</v>
      </c>
      <c r="F503" s="17" t="n">
        <f aca="false">E503+$H$24-C503</f>
        <v>0.0361684718156301</v>
      </c>
    </row>
    <row r="504" customFormat="false" ht="15" hidden="false" customHeight="true" outlineLevel="0" collapsed="false">
      <c r="A504" s="23" t="n">
        <f aca="false">Daily_Returns_Raw_Data!A481</f>
        <v>43066</v>
      </c>
      <c r="B504" s="17" t="n">
        <f aca="false">SUMPRODUCT(Daily_Returns_Raw_Data!B481:X481,$AB$3:$AX$3)</f>
        <v>-0.00293345757007612</v>
      </c>
      <c r="C504" s="17" t="n">
        <f aca="false">-B504</f>
        <v>0.00293345757007612</v>
      </c>
      <c r="D504" s="17" t="n">
        <f aca="false">MAX(C504-$H$15,0)</f>
        <v>0</v>
      </c>
      <c r="E504" s="36" t="n">
        <v>0</v>
      </c>
      <c r="F504" s="17" t="n">
        <f aca="false">E504+$H$24-C504</f>
        <v>0.0108177514359239</v>
      </c>
    </row>
    <row r="505" customFormat="false" ht="15" hidden="false" customHeight="true" outlineLevel="0" collapsed="false">
      <c r="A505" s="23" t="n">
        <f aca="false">Daily_Returns_Raw_Data!A482</f>
        <v>43067</v>
      </c>
      <c r="B505" s="17" t="n">
        <f aca="false">SUMPRODUCT(Daily_Returns_Raw_Data!B482:X482,$AB$3:$AX$3)</f>
        <v>-0.0368452355908018</v>
      </c>
      <c r="C505" s="17" t="n">
        <f aca="false">-B505</f>
        <v>0.0368452355908018</v>
      </c>
      <c r="D505" s="17" t="n">
        <f aca="false">MAX(C505-$H$15,0)</f>
        <v>0.0230940265845516</v>
      </c>
      <c r="E505" s="36" t="n">
        <v>0.023094026585</v>
      </c>
      <c r="F505" s="17" t="n">
        <f aca="false">E505+$H$24-C505</f>
        <v>1.98237259940726E-013</v>
      </c>
    </row>
    <row r="506" customFormat="false" ht="15" hidden="false" customHeight="true" outlineLevel="0" collapsed="false">
      <c r="A506" s="23" t="n">
        <f aca="false">Daily_Returns_Raw_Data!A483</f>
        <v>43068</v>
      </c>
      <c r="B506" s="17" t="n">
        <f aca="false">SUMPRODUCT(Daily_Returns_Raw_Data!B483:X483,$AB$3:$AX$3)</f>
        <v>0.0272437716379449</v>
      </c>
      <c r="C506" s="17" t="n">
        <f aca="false">-B506</f>
        <v>-0.0272437716379449</v>
      </c>
      <c r="D506" s="17" t="n">
        <f aca="false">MAX(C506-$H$15,0)</f>
        <v>0</v>
      </c>
      <c r="E506" s="36" t="n">
        <v>0</v>
      </c>
      <c r="F506" s="17" t="n">
        <f aca="false">E506+$H$24-C506</f>
        <v>0.0409949806439449</v>
      </c>
    </row>
    <row r="507" customFormat="false" ht="15" hidden="false" customHeight="true" outlineLevel="0" collapsed="false">
      <c r="A507" s="23" t="n">
        <f aca="false">Daily_Returns_Raw_Data!A484</f>
        <v>43069</v>
      </c>
      <c r="B507" s="17" t="n">
        <f aca="false">SUMPRODUCT(Daily_Returns_Raw_Data!B484:X484,$AB$3:$AX$3)</f>
        <v>-0.000453206817458316</v>
      </c>
      <c r="C507" s="17" t="n">
        <f aca="false">-B507</f>
        <v>0.000453206817458316</v>
      </c>
      <c r="D507" s="17" t="n">
        <f aca="false">MAX(C507-$H$15,0)</f>
        <v>0</v>
      </c>
      <c r="E507" s="36" t="n">
        <v>0</v>
      </c>
      <c r="F507" s="17" t="n">
        <f aca="false">E507+$H$24-C507</f>
        <v>0.0132980021885417</v>
      </c>
    </row>
    <row r="508" customFormat="false" ht="15" hidden="false" customHeight="true" outlineLevel="0" collapsed="false">
      <c r="A508" s="23" t="n">
        <f aca="false">Daily_Returns_Raw_Data!A485</f>
        <v>43070</v>
      </c>
      <c r="B508" s="17" t="n">
        <f aca="false">SUMPRODUCT(Daily_Returns_Raw_Data!B485:X485,$AB$3:$AX$3)</f>
        <v>0.00944605087765529</v>
      </c>
      <c r="C508" s="17" t="n">
        <f aca="false">-B508</f>
        <v>-0.00944605087765529</v>
      </c>
      <c r="D508" s="17" t="n">
        <f aca="false">MAX(C508-$H$15,0)</f>
        <v>0</v>
      </c>
      <c r="E508" s="36" t="n">
        <v>0</v>
      </c>
      <c r="F508" s="17" t="n">
        <f aca="false">E508+$H$24-C508</f>
        <v>0.0231972598836553</v>
      </c>
    </row>
    <row r="509" customFormat="false" ht="15" hidden="false" customHeight="true" outlineLevel="0" collapsed="false">
      <c r="A509" s="23" t="n">
        <f aca="false">Daily_Returns_Raw_Data!A486</f>
        <v>43073</v>
      </c>
      <c r="B509" s="17" t="n">
        <f aca="false">SUMPRODUCT(Daily_Returns_Raw_Data!B486:X486,$AB$3:$AX$3)</f>
        <v>-0.00931478957499847</v>
      </c>
      <c r="C509" s="17" t="n">
        <f aca="false">-B509</f>
        <v>0.00931478957499847</v>
      </c>
      <c r="D509" s="17" t="n">
        <f aca="false">MAX(C509-$H$15,0)</f>
        <v>0</v>
      </c>
      <c r="E509" s="36" t="n">
        <v>0</v>
      </c>
      <c r="F509" s="17" t="n">
        <f aca="false">E509+$H$24-C509</f>
        <v>0.00443641943100153</v>
      </c>
    </row>
    <row r="510" customFormat="false" ht="15" hidden="false" customHeight="true" outlineLevel="0" collapsed="false">
      <c r="A510" s="23" t="n">
        <f aca="false">Daily_Returns_Raw_Data!A487</f>
        <v>43074</v>
      </c>
      <c r="B510" s="17" t="n">
        <f aca="false">SUMPRODUCT(Daily_Returns_Raw_Data!B487:X487,$AB$3:$AX$3)</f>
        <v>-0.013040830562938</v>
      </c>
      <c r="C510" s="17" t="n">
        <f aca="false">-B510</f>
        <v>0.013040830562938</v>
      </c>
      <c r="D510" s="17" t="n">
        <f aca="false">MAX(C510-$H$15,0)</f>
        <v>0</v>
      </c>
      <c r="E510" s="36" t="n">
        <v>0</v>
      </c>
      <c r="F510" s="17" t="n">
        <f aca="false">E510+$H$24-C510</f>
        <v>0.00071037844306196</v>
      </c>
    </row>
    <row r="511" customFormat="false" ht="15" hidden="false" customHeight="true" outlineLevel="0" collapsed="false">
      <c r="A511" s="23" t="n">
        <f aca="false">Daily_Returns_Raw_Data!A488</f>
        <v>43075</v>
      </c>
      <c r="B511" s="17" t="n">
        <f aca="false">SUMPRODUCT(Daily_Returns_Raw_Data!B488:X488,$AB$3:$AX$3)</f>
        <v>-0.0102390356704145</v>
      </c>
      <c r="C511" s="17" t="n">
        <f aca="false">-B511</f>
        <v>0.0102390356704145</v>
      </c>
      <c r="D511" s="17" t="n">
        <f aca="false">MAX(C511-$H$15,0)</f>
        <v>0</v>
      </c>
      <c r="E511" s="36" t="n">
        <v>0</v>
      </c>
      <c r="F511" s="17" t="n">
        <f aca="false">E511+$H$24-C511</f>
        <v>0.00351217333558554</v>
      </c>
    </row>
    <row r="512" customFormat="false" ht="15" hidden="false" customHeight="true" outlineLevel="0" collapsed="false">
      <c r="A512" s="23" t="n">
        <f aca="false">Daily_Returns_Raw_Data!A489</f>
        <v>43076</v>
      </c>
      <c r="B512" s="17" t="n">
        <f aca="false">SUMPRODUCT(Daily_Returns_Raw_Data!B489:X489,$AB$3:$AX$3)</f>
        <v>0.0154579380030204</v>
      </c>
      <c r="C512" s="17" t="n">
        <f aca="false">-B512</f>
        <v>-0.0154579380030204</v>
      </c>
      <c r="D512" s="17" t="n">
        <f aca="false">MAX(C512-$H$15,0)</f>
        <v>0</v>
      </c>
      <c r="E512" s="36" t="n">
        <v>0</v>
      </c>
      <c r="F512" s="17" t="n">
        <f aca="false">E512+$H$24-C512</f>
        <v>0.0292091470090204</v>
      </c>
    </row>
    <row r="513" customFormat="false" ht="15" hidden="false" customHeight="true" outlineLevel="0" collapsed="false">
      <c r="A513" s="23" t="n">
        <f aca="false">Daily_Returns_Raw_Data!A490</f>
        <v>43077</v>
      </c>
      <c r="B513" s="17" t="n">
        <f aca="false">SUMPRODUCT(Daily_Returns_Raw_Data!B490:X490,$AB$3:$AX$3)</f>
        <v>0.00671719853650086</v>
      </c>
      <c r="C513" s="17" t="n">
        <f aca="false">-B513</f>
        <v>-0.00671719853650086</v>
      </c>
      <c r="D513" s="17" t="n">
        <f aca="false">MAX(C513-$H$15,0)</f>
        <v>0</v>
      </c>
      <c r="E513" s="36" t="n">
        <v>0</v>
      </c>
      <c r="F513" s="17" t="n">
        <f aca="false">E513+$H$24-C513</f>
        <v>0.0204684075425009</v>
      </c>
    </row>
    <row r="514" customFormat="false" ht="15" hidden="false" customHeight="true" outlineLevel="0" collapsed="false">
      <c r="A514" s="23" t="n">
        <f aca="false">Daily_Returns_Raw_Data!A491</f>
        <v>43080</v>
      </c>
      <c r="B514" s="17" t="n">
        <f aca="false">SUMPRODUCT(Daily_Returns_Raw_Data!B491:X491,$AB$3:$AX$3)</f>
        <v>0.00566978503507642</v>
      </c>
      <c r="C514" s="17" t="n">
        <f aca="false">-B514</f>
        <v>-0.00566978503507642</v>
      </c>
      <c r="D514" s="17" t="n">
        <f aca="false">MAX(C514-$H$15,0)</f>
        <v>0</v>
      </c>
      <c r="E514" s="36" t="n">
        <v>0</v>
      </c>
      <c r="F514" s="17" t="n">
        <f aca="false">E514+$H$24-C514</f>
        <v>0.0194209940410764</v>
      </c>
    </row>
    <row r="515" customFormat="false" ht="15" hidden="false" customHeight="true" outlineLevel="0" collapsed="false">
      <c r="A515" s="23" t="n">
        <f aca="false">Daily_Returns_Raw_Data!A492</f>
        <v>43081</v>
      </c>
      <c r="B515" s="17" t="n">
        <f aca="false">SUMPRODUCT(Daily_Returns_Raw_Data!B492:X492,$AB$3:$AX$3)</f>
        <v>-0.00783081895568645</v>
      </c>
      <c r="C515" s="17" t="n">
        <f aca="false">-B515</f>
        <v>0.00783081895568645</v>
      </c>
      <c r="D515" s="17" t="n">
        <f aca="false">MAX(C515-$H$15,0)</f>
        <v>0</v>
      </c>
      <c r="E515" s="36" t="n">
        <v>0</v>
      </c>
      <c r="F515" s="17" t="n">
        <f aca="false">E515+$H$24-C515</f>
        <v>0.00592039005031355</v>
      </c>
    </row>
    <row r="516" customFormat="false" ht="15" hidden="false" customHeight="true" outlineLevel="0" collapsed="false">
      <c r="A516" s="23" t="n">
        <f aca="false">Daily_Returns_Raw_Data!A493</f>
        <v>43082</v>
      </c>
      <c r="B516" s="17" t="n">
        <f aca="false">SUMPRODUCT(Daily_Returns_Raw_Data!B493:X493,$AB$3:$AX$3)</f>
        <v>-0.00194517133441772</v>
      </c>
      <c r="C516" s="17" t="n">
        <f aca="false">-B516</f>
        <v>0.00194517133441772</v>
      </c>
      <c r="D516" s="17" t="n">
        <f aca="false">MAX(C516-$H$15,0)</f>
        <v>0</v>
      </c>
      <c r="E516" s="36" t="n">
        <v>0</v>
      </c>
      <c r="F516" s="17" t="n">
        <f aca="false">E516+$H$24-C516</f>
        <v>0.0118060376715823</v>
      </c>
    </row>
    <row r="517" customFormat="false" ht="15" hidden="false" customHeight="true" outlineLevel="0" collapsed="false">
      <c r="A517" s="23" t="n">
        <f aca="false">Daily_Returns_Raw_Data!A494</f>
        <v>43083</v>
      </c>
      <c r="B517" s="17" t="n">
        <f aca="false">SUMPRODUCT(Daily_Returns_Raw_Data!B494:X494,$AB$3:$AX$3)</f>
        <v>-0.00125802742458438</v>
      </c>
      <c r="C517" s="17" t="n">
        <f aca="false">-B517</f>
        <v>0.00125802742458438</v>
      </c>
      <c r="D517" s="17" t="n">
        <f aca="false">MAX(C517-$H$15,0)</f>
        <v>0</v>
      </c>
      <c r="E517" s="36" t="n">
        <v>0</v>
      </c>
      <c r="F517" s="17" t="n">
        <f aca="false">E517+$H$24-C517</f>
        <v>0.0124931815814156</v>
      </c>
    </row>
    <row r="518" customFormat="false" ht="15" hidden="false" customHeight="true" outlineLevel="0" collapsed="false">
      <c r="A518" s="23" t="n">
        <f aca="false">Daily_Returns_Raw_Data!A495</f>
        <v>43084</v>
      </c>
      <c r="B518" s="17" t="n">
        <f aca="false">SUMPRODUCT(Daily_Returns_Raw_Data!B495:X495,$AB$3:$AX$3)</f>
        <v>0.0107078017922742</v>
      </c>
      <c r="C518" s="17" t="n">
        <f aca="false">-B518</f>
        <v>-0.0107078017922742</v>
      </c>
      <c r="D518" s="17" t="n">
        <f aca="false">MAX(C518-$H$15,0)</f>
        <v>0</v>
      </c>
      <c r="E518" s="36" t="n">
        <v>0</v>
      </c>
      <c r="F518" s="17" t="n">
        <f aca="false">E518+$H$24-C518</f>
        <v>0.0244590107982742</v>
      </c>
    </row>
    <row r="519" customFormat="false" ht="15" hidden="false" customHeight="true" outlineLevel="0" collapsed="false">
      <c r="A519" s="23" t="n">
        <f aca="false">Daily_Returns_Raw_Data!A496</f>
        <v>43087</v>
      </c>
      <c r="B519" s="17" t="n">
        <f aca="false">SUMPRODUCT(Daily_Returns_Raw_Data!B496:X496,$AB$3:$AX$3)</f>
        <v>0.00571159799940597</v>
      </c>
      <c r="C519" s="17" t="n">
        <f aca="false">-B519</f>
        <v>-0.00571159799940597</v>
      </c>
      <c r="D519" s="17" t="n">
        <f aca="false">MAX(C519-$H$15,0)</f>
        <v>0</v>
      </c>
      <c r="E519" s="36" t="n">
        <v>0</v>
      </c>
      <c r="F519" s="17" t="n">
        <f aca="false">E519+$H$24-C519</f>
        <v>0.019462807005406</v>
      </c>
    </row>
    <row r="520" customFormat="false" ht="15" hidden="false" customHeight="true" outlineLevel="0" collapsed="false">
      <c r="A520" s="23" t="n">
        <f aca="false">Daily_Returns_Raw_Data!A497</f>
        <v>43088</v>
      </c>
      <c r="B520" s="17" t="n">
        <f aca="false">SUMPRODUCT(Daily_Returns_Raw_Data!B497:X497,$AB$3:$AX$3)</f>
        <v>-0.00280906449064491</v>
      </c>
      <c r="C520" s="17" t="n">
        <f aca="false">-B520</f>
        <v>0.00280906449064491</v>
      </c>
      <c r="D520" s="17" t="n">
        <f aca="false">MAX(C520-$H$15,0)</f>
        <v>0</v>
      </c>
      <c r="E520" s="36" t="n">
        <v>0</v>
      </c>
      <c r="F520" s="17" t="n">
        <f aca="false">E520+$H$24-C520</f>
        <v>0.0109421445153551</v>
      </c>
    </row>
    <row r="521" customFormat="false" ht="15" hidden="false" customHeight="true" outlineLevel="0" collapsed="false">
      <c r="A521" s="23" t="n">
        <f aca="false">Daily_Returns_Raw_Data!A498</f>
        <v>43089</v>
      </c>
      <c r="B521" s="17" t="n">
        <f aca="false">SUMPRODUCT(Daily_Returns_Raw_Data!B498:X498,$AB$3:$AX$3)</f>
        <v>0.000880896787259702</v>
      </c>
      <c r="C521" s="17" t="n">
        <f aca="false">-B521</f>
        <v>-0.000880896787259702</v>
      </c>
      <c r="D521" s="17" t="n">
        <f aca="false">MAX(C521-$H$15,0)</f>
        <v>0</v>
      </c>
      <c r="E521" s="36" t="n">
        <v>0</v>
      </c>
      <c r="F521" s="17" t="n">
        <f aca="false">E521+$H$24-C521</f>
        <v>0.0146321057932597</v>
      </c>
    </row>
    <row r="522" customFormat="false" ht="15" hidden="false" customHeight="true" outlineLevel="0" collapsed="false">
      <c r="A522" s="23" t="n">
        <f aca="false">Daily_Returns_Raw_Data!A499</f>
        <v>43090</v>
      </c>
      <c r="B522" s="17" t="n">
        <f aca="false">SUMPRODUCT(Daily_Returns_Raw_Data!B499:X499,$AB$3:$AX$3)</f>
        <v>0.00682734822300576</v>
      </c>
      <c r="C522" s="17" t="n">
        <f aca="false">-B522</f>
        <v>-0.00682734822300576</v>
      </c>
      <c r="D522" s="17" t="n">
        <f aca="false">MAX(C522-$H$15,0)</f>
        <v>0</v>
      </c>
      <c r="E522" s="36" t="n">
        <v>0</v>
      </c>
      <c r="F522" s="17" t="n">
        <f aca="false">E522+$H$24-C522</f>
        <v>0.0205785572290058</v>
      </c>
    </row>
    <row r="523" customFormat="false" ht="15" hidden="false" customHeight="true" outlineLevel="0" collapsed="false">
      <c r="A523" s="23" t="n">
        <f aca="false">Daily_Returns_Raw_Data!A500</f>
        <v>43091</v>
      </c>
      <c r="B523" s="17" t="n">
        <f aca="false">SUMPRODUCT(Daily_Returns_Raw_Data!B500:X500,$AB$3:$AX$3)</f>
        <v>0.0169648364819057</v>
      </c>
      <c r="C523" s="17" t="n">
        <f aca="false">-B523</f>
        <v>-0.0169648364819057</v>
      </c>
      <c r="D523" s="17" t="n">
        <f aca="false">MAX(C523-$H$15,0)</f>
        <v>0</v>
      </c>
      <c r="E523" s="36" t="n">
        <v>0</v>
      </c>
      <c r="F523" s="17" t="n">
        <f aca="false">E523+$H$24-C523</f>
        <v>0.0307160454879057</v>
      </c>
    </row>
    <row r="524" customFormat="false" ht="15" hidden="false" customHeight="true" outlineLevel="0" collapsed="false">
      <c r="A524" s="23" t="n">
        <f aca="false">Daily_Returns_Raw_Data!A501</f>
        <v>43095</v>
      </c>
      <c r="B524" s="17" t="n">
        <f aca="false">SUMPRODUCT(Daily_Returns_Raw_Data!B501:X501,$AB$3:$AX$3)</f>
        <v>0.00863667296049782</v>
      </c>
      <c r="C524" s="17" t="n">
        <f aca="false">-B524</f>
        <v>-0.00863667296049782</v>
      </c>
      <c r="D524" s="17" t="n">
        <f aca="false">MAX(C524-$H$15,0)</f>
        <v>0</v>
      </c>
      <c r="E524" s="36" t="n">
        <v>0</v>
      </c>
      <c r="F524" s="17" t="n">
        <f aca="false">E524+$H$24-C524</f>
        <v>0.0223878819664978</v>
      </c>
    </row>
    <row r="525" customFormat="false" ht="15" hidden="false" customHeight="true" outlineLevel="0" collapsed="false">
      <c r="A525" s="23" t="n">
        <f aca="false">Daily_Returns_Raw_Data!A502</f>
        <v>43096</v>
      </c>
      <c r="B525" s="17" t="n">
        <f aca="false">SUMPRODUCT(Daily_Returns_Raw_Data!B502:X502,$AB$3:$AX$3)</f>
        <v>0.0217502445911432</v>
      </c>
      <c r="C525" s="17" t="n">
        <f aca="false">-B525</f>
        <v>-0.0217502445911432</v>
      </c>
      <c r="D525" s="17" t="n">
        <f aca="false">MAX(C525-$H$15,0)</f>
        <v>0</v>
      </c>
      <c r="E525" s="36" t="n">
        <v>0</v>
      </c>
      <c r="F525" s="17" t="n">
        <f aca="false">E525+$H$24-C525</f>
        <v>0.0355014535971432</v>
      </c>
    </row>
    <row r="526" customFormat="false" ht="15" hidden="false" customHeight="true" outlineLevel="0" collapsed="false">
      <c r="A526" s="23" t="n">
        <f aca="false">Daily_Returns_Raw_Data!A503</f>
        <v>43097</v>
      </c>
      <c r="B526" s="17" t="n">
        <f aca="false">SUMPRODUCT(Daily_Returns_Raw_Data!B503:X503,$AB$3:$AX$3)</f>
        <v>0.00829512812995313</v>
      </c>
      <c r="C526" s="17" t="n">
        <f aca="false">-B526</f>
        <v>-0.00829512812995313</v>
      </c>
      <c r="D526" s="17" t="n">
        <f aca="false">MAX(C526-$H$15,0)</f>
        <v>0</v>
      </c>
      <c r="E526" s="36" t="n">
        <v>0</v>
      </c>
      <c r="F526" s="17" t="n">
        <f aca="false">E526+$H$24-C526</f>
        <v>0.0220463371359531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8"/>
  </cols>
  <sheetData>
    <row r="1" customFormat="false" ht="21.75" hidden="false" customHeight="true" outlineLevel="0" collapsed="false">
      <c r="B1" s="46" t="s">
        <v>189</v>
      </c>
    </row>
    <row r="2" customFormat="false" ht="7.5" hidden="false" customHeight="true" outlineLevel="0" collapsed="false">
      <c r="B2" s="31"/>
    </row>
    <row r="3" customFormat="false" ht="15.75" hidden="false" customHeight="true" outlineLevel="0" collapsed="false">
      <c r="B3" s="30" t="s">
        <v>190</v>
      </c>
    </row>
    <row r="4" customFormat="false" ht="15.75" hidden="false" customHeight="true" outlineLevel="0" collapsed="false">
      <c r="B4" s="31" t="s">
        <v>191</v>
      </c>
    </row>
    <row r="5" customFormat="false" ht="15.75" hidden="false" customHeight="true" outlineLevel="0" collapsed="false">
      <c r="B5" s="31" t="s">
        <v>192</v>
      </c>
    </row>
    <row r="6" customFormat="false" ht="7.5" hidden="false" customHeight="true" outlineLevel="0" collapsed="false">
      <c r="B6" s="31"/>
    </row>
    <row r="7" customFormat="false" ht="15.75" hidden="false" customHeight="true" outlineLevel="0" collapsed="false">
      <c r="B7" s="30" t="s">
        <v>193</v>
      </c>
    </row>
    <row r="8" customFormat="false" ht="15" hidden="false" customHeight="true" outlineLevel="0" collapsed="false">
      <c r="B8" s="31" t="s">
        <v>194</v>
      </c>
    </row>
    <row r="9" customFormat="false" ht="30" hidden="false" customHeight="true" outlineLevel="0" collapsed="false">
      <c r="B9" s="31" t="s">
        <v>195</v>
      </c>
    </row>
    <row r="10" customFormat="false" ht="15" hidden="false" customHeight="true" outlineLevel="0" collapsed="false">
      <c r="B10" s="31" t="s">
        <v>196</v>
      </c>
    </row>
    <row r="11" customFormat="false" ht="7.5" hidden="false" customHeight="true" outlineLevel="0" collapsed="false">
      <c r="B11" s="31"/>
    </row>
    <row r="12" customFormat="false" ht="15.75" hidden="false" customHeight="true" outlineLevel="0" collapsed="false">
      <c r="B12" s="30" t="s">
        <v>197</v>
      </c>
    </row>
    <row r="13" customFormat="false" ht="15" hidden="false" customHeight="true" outlineLevel="0" collapsed="false">
      <c r="B13" s="31" t="s">
        <v>198</v>
      </c>
    </row>
    <row r="14" customFormat="false" ht="30" hidden="false" customHeight="true" outlineLevel="0" collapsed="false">
      <c r="B14" s="31" t="s">
        <v>199</v>
      </c>
    </row>
    <row r="15" customFormat="false" ht="42" hidden="false" customHeight="true" outlineLevel="0" collapsed="false">
      <c r="B15" s="31" t="s">
        <v>200</v>
      </c>
    </row>
    <row r="16" customFormat="false" ht="15" hidden="false" customHeight="true" outlineLevel="0" collapsed="false">
      <c r="B16" s="31" t="s">
        <v>201</v>
      </c>
    </row>
    <row r="17" customFormat="false" ht="54.75" hidden="false" customHeight="true" outlineLevel="0" collapsed="false">
      <c r="B17" s="31" t="s">
        <v>202</v>
      </c>
    </row>
    <row r="18" customFormat="false" ht="7.5" hidden="false" customHeight="true" outlineLevel="0" collapsed="false">
      <c r="B18" s="31"/>
    </row>
    <row r="19" customFormat="false" ht="15.75" hidden="false" customHeight="true" outlineLevel="0" collapsed="false">
      <c r="B19" s="30" t="s">
        <v>203</v>
      </c>
    </row>
    <row r="20" customFormat="false" ht="15" hidden="false" customHeight="true" outlineLevel="0" collapsed="false">
      <c r="B20" s="31" t="s">
        <v>204</v>
      </c>
    </row>
    <row r="21" customFormat="false" ht="15" hidden="false" customHeight="true" outlineLevel="0" collapsed="false">
      <c r="B21" s="31" t="s">
        <v>205</v>
      </c>
    </row>
    <row r="22" customFormat="false" ht="30" hidden="false" customHeight="true" outlineLevel="0" collapsed="false">
      <c r="B22" s="31" t="s">
        <v>206</v>
      </c>
    </row>
    <row r="23" customFormat="false" ht="45" hidden="false" customHeight="true" outlineLevel="0" collapsed="false">
      <c r="B23" s="31" t="s">
        <v>207</v>
      </c>
    </row>
    <row r="24" customFormat="false" ht="7.5" hidden="false" customHeight="true" outlineLevel="0" collapsed="false">
      <c r="B24" s="31"/>
    </row>
    <row r="25" customFormat="false" ht="15.75" hidden="false" customHeight="true" outlineLevel="0" collapsed="false">
      <c r="B25" s="30" t="s">
        <v>208</v>
      </c>
    </row>
    <row r="26" customFormat="false" ht="15" hidden="false" customHeight="true" outlineLevel="0" collapsed="false">
      <c r="B26" s="31" t="s">
        <v>209</v>
      </c>
    </row>
    <row r="27" customFormat="false" ht="15" hidden="false" customHeight="true" outlineLevel="0" collapsed="false">
      <c r="B27" s="31" t="s">
        <v>210</v>
      </c>
    </row>
    <row r="28" customFormat="false" ht="15" hidden="false" customHeight="true" outlineLevel="0" collapsed="false">
      <c r="B28" s="31" t="s">
        <v>211</v>
      </c>
    </row>
    <row r="29" customFormat="false" ht="15" hidden="false" customHeight="true" outlineLevel="0" collapsed="false">
      <c r="B29" s="31" t="s">
        <v>212</v>
      </c>
    </row>
    <row r="30" customFormat="false" ht="30" hidden="false" customHeight="true" outlineLevel="0" collapsed="false">
      <c r="B30" s="31" t="s">
        <v>213</v>
      </c>
    </row>
    <row r="31" customFormat="false" ht="15" hidden="false" customHeight="true" outlineLevel="0" collapsed="false">
      <c r="B31" s="31" t="s">
        <v>214</v>
      </c>
    </row>
    <row r="32" customFormat="false" ht="7.5" hidden="false" customHeight="true" outlineLevel="0" collapsed="false">
      <c r="B32" s="31"/>
    </row>
    <row r="33" customFormat="false" ht="15.75" hidden="false" customHeight="true" outlineLevel="0" collapsed="false">
      <c r="B33" s="30" t="s">
        <v>215</v>
      </c>
    </row>
    <row r="34" customFormat="false" ht="15" hidden="false" customHeight="true" outlineLevel="0" collapsed="false">
      <c r="B34" s="31" t="s">
        <v>216</v>
      </c>
    </row>
    <row r="35" customFormat="false" ht="45" hidden="false" customHeight="true" outlineLevel="0" collapsed="false">
      <c r="B35" s="31" t="s">
        <v>217</v>
      </c>
    </row>
    <row r="36" customFormat="false" ht="45" hidden="false" customHeight="true" outlineLevel="0" collapsed="false">
      <c r="B36" s="31" t="s">
        <v>218</v>
      </c>
    </row>
    <row r="37" customFormat="false" ht="30" hidden="false" customHeight="true" outlineLevel="0" collapsed="false">
      <c r="B37" s="31" t="s">
        <v>219</v>
      </c>
    </row>
    <row r="38" customFormat="false" ht="45" hidden="false" customHeight="true" outlineLevel="0" collapsed="false">
      <c r="B38" s="31" t="s">
        <v>220</v>
      </c>
    </row>
    <row r="39" customFormat="false" ht="45" hidden="false" customHeight="true" outlineLevel="0" collapsed="false">
      <c r="B39" s="31" t="s">
        <v>221</v>
      </c>
    </row>
    <row r="40" customFormat="false" ht="45" hidden="false" customHeight="true" outlineLevel="0" collapsed="false">
      <c r="B40" s="31" t="s">
        <v>222</v>
      </c>
    </row>
    <row r="41" customFormat="false" ht="7.5" hidden="false" customHeight="true" outlineLevel="0" collapsed="false">
      <c r="B41" s="31"/>
    </row>
    <row r="42" customFormat="false" ht="15.75" hidden="false" customHeight="true" outlineLevel="0" collapsed="false">
      <c r="B42" s="30" t="s">
        <v>223</v>
      </c>
    </row>
    <row r="43" customFormat="false" ht="30" hidden="false" customHeight="true" outlineLevel="0" collapsed="false">
      <c r="B43" s="31" t="s">
        <v>224</v>
      </c>
    </row>
    <row r="44" customFormat="false" ht="45" hidden="false" customHeight="true" outlineLevel="0" collapsed="false">
      <c r="B44" s="31" t="s">
        <v>225</v>
      </c>
    </row>
    <row r="45" customFormat="false" ht="7.5" hidden="false" customHeight="true" outlineLevel="0" collapsed="false">
      <c r="B45" s="31"/>
    </row>
    <row r="46" customFormat="false" ht="15.75" hidden="false" customHeight="true" outlineLevel="0" collapsed="false">
      <c r="B46" s="30" t="s">
        <v>226</v>
      </c>
    </row>
    <row r="47" customFormat="false" ht="45" hidden="false" customHeight="true" outlineLevel="0" collapsed="false">
      <c r="B47" s="31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03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7" activeCellId="0" sqref="E37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12.56"/>
    <col collapsed="false" customWidth="true" hidden="false" outlineLevel="0" max="3" min="3" style="1" width="16.22"/>
    <col collapsed="false" customWidth="true" hidden="false" outlineLevel="0" max="25" min="25" style="1" width="13.33"/>
  </cols>
  <sheetData>
    <row r="1" customFormat="false" ht="13.5" hidden="false" customHeight="true" outlineLevel="0" collapsed="false">
      <c r="A1" s="20" t="s">
        <v>88</v>
      </c>
      <c r="B1" s="20" t="s">
        <v>43</v>
      </c>
      <c r="C1" s="20" t="s">
        <v>44</v>
      </c>
      <c r="D1" s="20" t="s">
        <v>45</v>
      </c>
      <c r="E1" s="20" t="s">
        <v>46</v>
      </c>
      <c r="F1" s="20" t="s">
        <v>47</v>
      </c>
      <c r="G1" s="20" t="s">
        <v>48</v>
      </c>
      <c r="H1" s="20" t="s">
        <v>49</v>
      </c>
      <c r="I1" s="20" t="s">
        <v>50</v>
      </c>
      <c r="J1" s="20" t="s">
        <v>51</v>
      </c>
      <c r="K1" s="20" t="s">
        <v>52</v>
      </c>
      <c r="L1" s="20" t="s">
        <v>53</v>
      </c>
      <c r="M1" s="20" t="s">
        <v>54</v>
      </c>
      <c r="N1" s="20" t="s">
        <v>55</v>
      </c>
      <c r="O1" s="20" t="s">
        <v>56</v>
      </c>
      <c r="P1" s="20" t="s">
        <v>57</v>
      </c>
      <c r="Q1" s="20" t="s">
        <v>58</v>
      </c>
      <c r="R1" s="20" t="s">
        <v>59</v>
      </c>
      <c r="S1" s="20" t="s">
        <v>60</v>
      </c>
      <c r="T1" s="20" t="s">
        <v>61</v>
      </c>
      <c r="U1" s="20" t="s">
        <v>62</v>
      </c>
      <c r="V1" s="20" t="s">
        <v>63</v>
      </c>
      <c r="W1" s="20" t="s">
        <v>64</v>
      </c>
      <c r="X1" s="20" t="s">
        <v>65</v>
      </c>
    </row>
    <row r="2" customFormat="false" ht="13.5" hidden="false" customHeight="true" outlineLevel="0" collapsed="false">
      <c r="A2" s="47" t="n">
        <v>42373</v>
      </c>
      <c r="B2" s="20" t="n">
        <v>-0.00073576783013074</v>
      </c>
      <c r="C2" s="20" t="n">
        <v>0.000976358963923562</v>
      </c>
      <c r="D2" s="20" t="n">
        <v>0.0148523252267223</v>
      </c>
      <c r="E2" s="20" t="n">
        <v>-0.0180575506228359</v>
      </c>
      <c r="F2" s="20" t="n">
        <v>0</v>
      </c>
      <c r="G2" s="20" t="n">
        <v>0.0223432791490956</v>
      </c>
      <c r="H2" s="20" t="n">
        <v>0.0080064403284199</v>
      </c>
      <c r="I2" s="20" t="n">
        <v>-0.023028694104485</v>
      </c>
      <c r="J2" s="20" t="n">
        <v>-0.0101781950360004</v>
      </c>
      <c r="K2" s="20" t="n">
        <v>0.0466285176182188</v>
      </c>
      <c r="L2" s="20" t="n">
        <v>-0.00316957164751419</v>
      </c>
      <c r="M2" s="20" t="n">
        <v>0.00717294634492349</v>
      </c>
      <c r="N2" s="20" t="n">
        <v>-0.00479046178868047</v>
      </c>
      <c r="O2" s="20" t="n">
        <v>0.0069626531135607</v>
      </c>
      <c r="P2" s="20" t="n">
        <v>0.0269246774431644</v>
      </c>
      <c r="Q2" s="20" t="n">
        <v>0.013953701620875</v>
      </c>
      <c r="R2" s="20" t="n">
        <v>0.00289854016309121</v>
      </c>
      <c r="S2" s="20" t="n">
        <v>-0.0323353485892234</v>
      </c>
      <c r="T2" s="20" t="n">
        <v>-0.00455404696542904</v>
      </c>
      <c r="U2" s="20" t="n">
        <v>0.0200110155280475</v>
      </c>
      <c r="V2" s="20" t="n">
        <v>0.0195012786868975</v>
      </c>
      <c r="W2" s="20" t="n">
        <v>-0.000378080494256138</v>
      </c>
      <c r="X2" s="20" t="n">
        <v>0.00186745690988709</v>
      </c>
    </row>
    <row r="3" customFormat="false" ht="13.5" hidden="false" customHeight="true" outlineLevel="0" collapsed="false">
      <c r="A3" s="47" t="n">
        <v>42374</v>
      </c>
      <c r="B3" s="20" t="n">
        <v>-0.00501814885127416</v>
      </c>
      <c r="C3" s="20" t="n">
        <v>-0.0160685338587165</v>
      </c>
      <c r="D3" s="20" t="n">
        <v>-0.00632119430335542</v>
      </c>
      <c r="E3" s="20" t="n">
        <v>-0.0454793701727251</v>
      </c>
      <c r="F3" s="20" t="n">
        <v>-0.0215326916173066</v>
      </c>
      <c r="G3" s="20" t="n">
        <v>-0.00095081813242448</v>
      </c>
      <c r="H3" s="20" t="n">
        <v>-0.0080064403284199</v>
      </c>
      <c r="I3" s="20" t="n">
        <v>0.0188039952227585</v>
      </c>
      <c r="J3" s="20" t="n">
        <v>-0.00512821135084795</v>
      </c>
      <c r="K3" s="20" t="n">
        <v>-0.00685721768289493</v>
      </c>
      <c r="L3" s="20" t="n">
        <v>-0.0792493724344336</v>
      </c>
      <c r="M3" s="20" t="n">
        <v>-0.0178716055112975</v>
      </c>
      <c r="N3" s="20" t="n">
        <v>-0.0108631308753563</v>
      </c>
      <c r="O3" s="20" t="n">
        <v>-0.015440911806106</v>
      </c>
      <c r="P3" s="20" t="n">
        <v>-0.062642820885711</v>
      </c>
      <c r="Q3" s="20" t="n">
        <v>-0.0116144657802028</v>
      </c>
      <c r="R3" s="20" t="n">
        <v>-0.0122726484034565</v>
      </c>
      <c r="S3" s="20" t="n">
        <v>-0.0567442794451098</v>
      </c>
      <c r="T3" s="20" t="n">
        <v>-0.0107075853056328</v>
      </c>
      <c r="U3" s="20" t="n">
        <v>0.0105335487297786</v>
      </c>
      <c r="V3" s="20" t="n">
        <v>-0.0177125951527834</v>
      </c>
      <c r="W3" s="20" t="n">
        <v>-0.0192808935014383</v>
      </c>
      <c r="X3" s="20" t="n">
        <v>-0.0159853025508502</v>
      </c>
    </row>
    <row r="4" customFormat="false" ht="13.5" hidden="false" customHeight="true" outlineLevel="0" collapsed="false">
      <c r="A4" s="47" t="n">
        <v>42375</v>
      </c>
      <c r="B4" s="20" t="n">
        <v>-0.0172372851183864</v>
      </c>
      <c r="C4" s="20" t="n">
        <v>-0.0432353360487631</v>
      </c>
      <c r="D4" s="20" t="n">
        <v>-0.0263061183581605</v>
      </c>
      <c r="E4" s="20" t="n">
        <v>-0.0317732931417027</v>
      </c>
      <c r="F4" s="20" t="n">
        <v>-0.036736235080971</v>
      </c>
      <c r="G4" s="20" t="n">
        <v>-0.0235814477374893</v>
      </c>
      <c r="H4" s="20" t="n">
        <v>-0.0310228661195657</v>
      </c>
      <c r="I4" s="20" t="n">
        <v>0.07422891316491</v>
      </c>
      <c r="J4" s="20" t="n">
        <v>-0.0129368403501153</v>
      </c>
      <c r="K4" s="20" t="n">
        <v>-0.061485068312721</v>
      </c>
      <c r="L4" s="20" t="n">
        <v>-0.0712044617104996</v>
      </c>
      <c r="M4" s="20" t="n">
        <v>-0.00666566477084851</v>
      </c>
      <c r="N4" s="20" t="n">
        <v>-0.0204338950379732</v>
      </c>
      <c r="O4" s="20" t="n">
        <v>-0.0162798638936179</v>
      </c>
      <c r="P4" s="20" t="n">
        <v>-0.0496996219208312</v>
      </c>
      <c r="Q4" s="20" t="n">
        <v>-0.0405299976209474</v>
      </c>
      <c r="R4" s="20" t="n">
        <v>-0.0145464488534425</v>
      </c>
      <c r="S4" s="20" t="n">
        <v>0.00988882251184897</v>
      </c>
      <c r="T4" s="20" t="n">
        <v>-0.0233382969332835</v>
      </c>
      <c r="U4" s="20" t="n">
        <v>-0.0175607411101754</v>
      </c>
      <c r="V4" s="20" t="n">
        <v>-0.028090046471668</v>
      </c>
      <c r="W4" s="20" t="n">
        <v>-0.0289421746837343</v>
      </c>
      <c r="X4" s="20" t="n">
        <v>-0.0308013427848568</v>
      </c>
    </row>
    <row r="5" customFormat="false" ht="13.5" hidden="false" customHeight="true" outlineLevel="0" collapsed="false">
      <c r="A5" s="47" t="n">
        <v>42376</v>
      </c>
      <c r="B5" s="20" t="n">
        <v>-0.00930095329874181</v>
      </c>
      <c r="C5" s="20" t="n">
        <v>-0.0181126506312971</v>
      </c>
      <c r="D5" s="20" t="n">
        <v>-0.00196733935957116</v>
      </c>
      <c r="E5" s="20" t="n">
        <v>-0.0126784462833007</v>
      </c>
      <c r="F5" s="20" t="n">
        <v>-0.0195446086213166</v>
      </c>
      <c r="G5" s="20" t="n">
        <v>-0.00659585782722249</v>
      </c>
      <c r="H5" s="20" t="n">
        <v>0</v>
      </c>
      <c r="I5" s="20" t="n">
        <v>-0.0182472730925278</v>
      </c>
      <c r="J5" s="20" t="n">
        <v>-0.00784317012777724</v>
      </c>
      <c r="K5" s="20" t="n">
        <v>0.0264756917676975</v>
      </c>
      <c r="L5" s="20" t="n">
        <v>-0.0414372406203288</v>
      </c>
      <c r="M5" s="20" t="n">
        <v>-0.0128206762803437</v>
      </c>
      <c r="N5" s="20" t="n">
        <v>-0.0103756899743387</v>
      </c>
      <c r="O5" s="20" t="n">
        <v>0.000894932030960582</v>
      </c>
      <c r="P5" s="20" t="n">
        <v>0.0375043600557498</v>
      </c>
      <c r="Q5" s="20" t="n">
        <v>0.0168881444759496</v>
      </c>
      <c r="R5" s="20" t="n">
        <v>-0.00660493243432736</v>
      </c>
      <c r="S5" s="20" t="n">
        <v>0.0110093039172518</v>
      </c>
      <c r="T5" s="20" t="n">
        <v>-0.025105887416378</v>
      </c>
      <c r="U5" s="20" t="n">
        <v>0.00171854807549198</v>
      </c>
      <c r="V5" s="20" t="n">
        <v>-0.0257538251899696</v>
      </c>
      <c r="W5" s="20" t="n">
        <v>-0.016807120882091</v>
      </c>
      <c r="X5" s="20" t="n">
        <v>-0.0177518817326745</v>
      </c>
    </row>
    <row r="6" customFormat="false" ht="13.5" hidden="false" customHeight="true" outlineLevel="0" collapsed="false">
      <c r="A6" s="47" t="n">
        <v>42377</v>
      </c>
      <c r="B6" s="20" t="n">
        <v>0.0120819323715117</v>
      </c>
      <c r="C6" s="20" t="n">
        <v>0.00455901178300566</v>
      </c>
      <c r="D6" s="20" t="n">
        <v>-0.0121349108868873</v>
      </c>
      <c r="E6" s="20" t="n">
        <v>0.0181751737284985</v>
      </c>
      <c r="F6" s="20" t="n">
        <v>0.00721082177372212</v>
      </c>
      <c r="G6" s="20" t="n">
        <v>0.0116960288913907</v>
      </c>
      <c r="H6" s="20" t="n">
        <v>-0.00165974979280991</v>
      </c>
      <c r="I6" s="20" t="n">
        <v>-0.0559816400723822</v>
      </c>
      <c r="J6" s="20" t="n">
        <v>0.00262123102266009</v>
      </c>
      <c r="K6" s="20" t="n">
        <v>-0.00237816268748713</v>
      </c>
      <c r="L6" s="20" t="n">
        <v>-0.0233473423357023</v>
      </c>
      <c r="M6" s="20" t="n">
        <v>0.00225550909760885</v>
      </c>
      <c r="N6" s="20" t="n">
        <v>0.00623838685281619</v>
      </c>
      <c r="O6" s="20" t="n">
        <v>0.0121500927855047</v>
      </c>
      <c r="P6" s="20" t="n">
        <v>-0.0353835210366795</v>
      </c>
      <c r="Q6" s="20" t="n">
        <v>-0.0168881444759496</v>
      </c>
      <c r="R6" s="20" t="n">
        <v>0.0144314966556313</v>
      </c>
      <c r="S6" s="20" t="n">
        <v>0.0120919765999905</v>
      </c>
      <c r="T6" s="20" t="n">
        <v>0.019581035604347</v>
      </c>
      <c r="U6" s="20" t="n">
        <v>0.0207313694643271</v>
      </c>
      <c r="V6" s="20" t="n">
        <v>-0.0102678656265657</v>
      </c>
      <c r="W6" s="20" t="n">
        <v>0.0106373059451936</v>
      </c>
      <c r="X6" s="20" t="n">
        <v>0.00496280813281524</v>
      </c>
    </row>
    <row r="7" customFormat="false" ht="13.5" hidden="false" customHeight="true" outlineLevel="0" collapsed="false">
      <c r="A7" s="47" t="n">
        <v>42380</v>
      </c>
      <c r="B7" s="20" t="n">
        <v>-0.00248000611023702</v>
      </c>
      <c r="C7" s="20" t="n">
        <v>0.00209714288466633</v>
      </c>
      <c r="D7" s="20" t="n">
        <v>0.00161828484055437</v>
      </c>
      <c r="E7" s="20" t="n">
        <v>0.00624513513633839</v>
      </c>
      <c r="F7" s="20" t="n">
        <v>0</v>
      </c>
      <c r="G7" s="20" t="n">
        <v>-0.000969391753280923</v>
      </c>
      <c r="H7" s="20" t="n">
        <v>0.0148394994243399</v>
      </c>
      <c r="I7" s="20" t="n">
        <v>-0.0318307164680269</v>
      </c>
      <c r="J7" s="20" t="n">
        <v>-0.00788439611360569</v>
      </c>
      <c r="K7" s="20" t="n">
        <v>0.011834516917728</v>
      </c>
      <c r="L7" s="20" t="n">
        <v>-0.0692741591522204</v>
      </c>
      <c r="M7" s="20" t="n">
        <v>-0.00225550909760885</v>
      </c>
      <c r="N7" s="20" t="n">
        <v>-0.0303054005915415</v>
      </c>
      <c r="O7" s="20" t="n">
        <v>-0.00147381707956784</v>
      </c>
      <c r="P7" s="20" t="n">
        <v>-0.0322955126777644</v>
      </c>
      <c r="Q7" s="20" t="n">
        <v>0.0216614188828596</v>
      </c>
      <c r="R7" s="20" t="n">
        <v>0.00807941302781589</v>
      </c>
      <c r="S7" s="20" t="n">
        <v>0.0190481776689099</v>
      </c>
      <c r="T7" s="20" t="n">
        <v>0.00316080557029874</v>
      </c>
      <c r="U7" s="20" t="n">
        <v>-0.00134631484917768</v>
      </c>
      <c r="V7" s="20" t="n">
        <v>0.00727734727502671</v>
      </c>
      <c r="W7" s="20" t="n">
        <v>0.0250382808496976</v>
      </c>
      <c r="X7" s="20" t="n">
        <v>0.00788957948385782</v>
      </c>
    </row>
    <row r="8" customFormat="false" ht="13.5" hidden="false" customHeight="true" outlineLevel="0" collapsed="false">
      <c r="A8" s="47" t="n">
        <v>42381</v>
      </c>
      <c r="B8" s="20" t="n">
        <v>-0.0131027419259197</v>
      </c>
      <c r="C8" s="20" t="n">
        <v>-0.0140649131821772</v>
      </c>
      <c r="D8" s="20" t="n">
        <v>-0.0137760280390066</v>
      </c>
      <c r="E8" s="20" t="n">
        <v>-0.0519079049223827</v>
      </c>
      <c r="F8" s="20" t="n">
        <v>-0.0271450497281882</v>
      </c>
      <c r="G8" s="20" t="n">
        <v>-0.0507319335895712</v>
      </c>
      <c r="H8" s="20" t="n">
        <v>-0.0248563338050762</v>
      </c>
      <c r="I8" s="20" t="n">
        <v>-0.0247800059914551</v>
      </c>
      <c r="J8" s="20" t="n">
        <v>-0.0213341221276242</v>
      </c>
      <c r="K8" s="20" t="n">
        <v>-0.0359320459979385</v>
      </c>
      <c r="L8" s="20" t="n">
        <v>-0.0608883128345711</v>
      </c>
      <c r="M8" s="20" t="n">
        <v>-0.0205318977938575</v>
      </c>
      <c r="N8" s="20" t="n">
        <v>-0.0163725828823175</v>
      </c>
      <c r="O8" s="20" t="n">
        <v>-0.00473093253267009</v>
      </c>
      <c r="P8" s="20" t="n">
        <v>-0.0796781641384762</v>
      </c>
      <c r="Q8" s="20" t="n">
        <v>-0.0143887242888924</v>
      </c>
      <c r="R8" s="20" t="n">
        <v>-0.0166495079486654</v>
      </c>
      <c r="S8" s="20" t="n">
        <v>-0.0226604312766061</v>
      </c>
      <c r="T8" s="20" t="n">
        <v>-0.030032286640091</v>
      </c>
      <c r="U8" s="20" t="n">
        <v>-0.0273148134120608</v>
      </c>
      <c r="V8" s="20" t="n">
        <v>-0.034641050167262</v>
      </c>
      <c r="W8" s="20" t="n">
        <v>-0.0322513077438308</v>
      </c>
      <c r="X8" s="20" t="n">
        <v>-0.0431577560905949</v>
      </c>
    </row>
    <row r="9" customFormat="false" ht="13.5" hidden="false" customHeight="true" outlineLevel="0" collapsed="false">
      <c r="A9" s="47" t="n">
        <v>42382</v>
      </c>
      <c r="B9" s="20" t="n">
        <v>0.0131780571188899</v>
      </c>
      <c r="C9" s="20" t="n">
        <v>0.0286232501580179</v>
      </c>
      <c r="D9" s="20" t="n">
        <v>0.0400448682918517</v>
      </c>
      <c r="E9" s="20" t="n">
        <v>-0.000820027035052906</v>
      </c>
      <c r="F9" s="20" t="n">
        <v>0.00602210949611992</v>
      </c>
      <c r="G9" s="20" t="n">
        <v>-0.00434621634265663</v>
      </c>
      <c r="H9" s="20" t="n">
        <v>0.0215776455150391</v>
      </c>
      <c r="I9" s="20" t="n">
        <v>-0.067649645008311</v>
      </c>
      <c r="J9" s="20" t="n">
        <v>0.00269178907443068</v>
      </c>
      <c r="K9" s="20" t="n">
        <v>-0.0347429451398459</v>
      </c>
      <c r="L9" s="20" t="n">
        <v>0.0899964687309577</v>
      </c>
      <c r="M9" s="20" t="n">
        <v>0.0240740238374006</v>
      </c>
      <c r="N9" s="20" t="n">
        <v>0.037096512610093</v>
      </c>
      <c r="O9" s="20" t="n">
        <v>0.0164612050638508</v>
      </c>
      <c r="P9" s="20" t="n">
        <v>-0.0239819427457881</v>
      </c>
      <c r="Q9" s="20" t="n">
        <v>0.0215062419799185</v>
      </c>
      <c r="R9" s="20" t="n">
        <v>0.0147666590570008</v>
      </c>
      <c r="S9" s="20" t="n">
        <v>0.00601327012092633</v>
      </c>
      <c r="T9" s="20" t="n">
        <v>0.00243603310331419</v>
      </c>
      <c r="U9" s="20" t="n">
        <v>0.00758628537320493</v>
      </c>
      <c r="V9" s="20" t="n">
        <v>0.0357438418742512</v>
      </c>
      <c r="W9" s="20" t="n">
        <v>0.018133402261498</v>
      </c>
      <c r="X9" s="20" t="n">
        <v>0.0102042089021319</v>
      </c>
    </row>
    <row r="10" customFormat="false" ht="13.5" hidden="false" customHeight="true" outlineLevel="0" collapsed="false">
      <c r="A10" s="47" t="n">
        <v>42383</v>
      </c>
      <c r="B10" s="20" t="n">
        <v>-0.0219070513111718</v>
      </c>
      <c r="C10" s="20" t="n">
        <v>-0.0198095680213001</v>
      </c>
      <c r="D10" s="20" t="n">
        <v>-0.0158753249994783</v>
      </c>
      <c r="E10" s="20" t="n">
        <v>-0.0182123671920999</v>
      </c>
      <c r="F10" s="20" t="n">
        <v>-0.0359970774768161</v>
      </c>
      <c r="G10" s="20" t="n">
        <v>-0.0139320390129804</v>
      </c>
      <c r="H10" s="20" t="n">
        <v>-0.0419173107643804</v>
      </c>
      <c r="I10" s="20" t="n">
        <v>-0.0106025677899839</v>
      </c>
      <c r="J10" s="20" t="n">
        <v>-0.0244909961727946</v>
      </c>
      <c r="K10" s="20" t="n">
        <v>-0.0706175947475111</v>
      </c>
      <c r="L10" s="20" t="n">
        <v>-0.0291081558963866</v>
      </c>
      <c r="M10" s="20" t="n">
        <v>-0.0096900352540179</v>
      </c>
      <c r="N10" s="20" t="n">
        <v>-0.0254358125831668</v>
      </c>
      <c r="O10" s="20" t="n">
        <v>-0.0090789188395437</v>
      </c>
      <c r="P10" s="20" t="n">
        <v>-0.110226662025177</v>
      </c>
      <c r="Q10" s="20" t="n">
        <v>-0.0410190380473529</v>
      </c>
      <c r="R10" s="20" t="n">
        <v>-0.0170005739489509</v>
      </c>
      <c r="S10" s="20" t="n">
        <v>-0.0279654088725065</v>
      </c>
      <c r="T10" s="20" t="n">
        <v>-0.0430886452486882</v>
      </c>
      <c r="U10" s="20" t="n">
        <v>-0.0176750475606981</v>
      </c>
      <c r="V10" s="20" t="n">
        <v>-0.0115608154168302</v>
      </c>
      <c r="W10" s="20" t="n">
        <v>-0.0366017070693911</v>
      </c>
      <c r="X10" s="20" t="n">
        <v>-0.027793909892996</v>
      </c>
    </row>
    <row r="11" customFormat="false" ht="13.5" hidden="false" customHeight="true" outlineLevel="0" collapsed="false">
      <c r="A11" s="47" t="n">
        <v>42384</v>
      </c>
      <c r="B11" s="20" t="n">
        <v>-0.0148759090427512</v>
      </c>
      <c r="C11" s="20" t="n">
        <v>0</v>
      </c>
      <c r="D11" s="20" t="n">
        <v>0.0242001896743389</v>
      </c>
      <c r="E11" s="20" t="n">
        <v>-0.00167227946160952</v>
      </c>
      <c r="F11" s="20" t="n">
        <v>-0.0153313294580548</v>
      </c>
      <c r="G11" s="20" t="n">
        <v>-0.00782484562553653</v>
      </c>
      <c r="H11" s="20" t="n">
        <v>-0.0137933090342832</v>
      </c>
      <c r="I11" s="20" t="n">
        <v>-0.0476280039110585</v>
      </c>
      <c r="J11" s="20" t="n">
        <v>0.00823049106109974</v>
      </c>
      <c r="K11" s="20" t="n">
        <v>0.0372383426096194</v>
      </c>
      <c r="L11" s="20" t="n">
        <v>-0.0170216720263053</v>
      </c>
      <c r="M11" s="20" t="n">
        <v>-0.00390240924134488</v>
      </c>
      <c r="N11" s="20" t="n">
        <v>-0.00301017650769042</v>
      </c>
      <c r="O11" s="20" t="n">
        <v>0.0151826753835795</v>
      </c>
      <c r="P11" s="20" t="n">
        <v>-0.120836494483043</v>
      </c>
      <c r="Q11" s="20" t="n">
        <v>0.0170944751626742</v>
      </c>
      <c r="R11" s="20" t="n">
        <v>0.0122778430388121</v>
      </c>
      <c r="S11" s="20" t="n">
        <v>-0.0428276638692626</v>
      </c>
      <c r="T11" s="20" t="n">
        <v>0.00969038702904567</v>
      </c>
      <c r="U11" s="20" t="n">
        <v>0.0207620042383904</v>
      </c>
      <c r="V11" s="20" t="n">
        <v>0.00682597003063989</v>
      </c>
      <c r="W11" s="20" t="n">
        <v>-0.0125736092866461</v>
      </c>
      <c r="X11" s="20" t="n">
        <v>-0.0104933160392697</v>
      </c>
    </row>
    <row r="12" customFormat="false" ht="13.5" hidden="false" customHeight="true" outlineLevel="0" collapsed="false">
      <c r="A12" s="47" t="n">
        <v>42388</v>
      </c>
      <c r="B12" s="20" t="n">
        <v>-0.0500164248036423</v>
      </c>
      <c r="C12" s="20" t="n">
        <v>-0.017348617098706</v>
      </c>
      <c r="D12" s="20" t="n">
        <v>-0.00735608487905192</v>
      </c>
      <c r="E12" s="20" t="n">
        <v>-0.00419289435523939</v>
      </c>
      <c r="F12" s="20" t="n">
        <v>-0.0393892812616392</v>
      </c>
      <c r="G12" s="20" t="n">
        <v>-0.00894272570836918</v>
      </c>
      <c r="H12" s="20" t="n">
        <v>-0.0157483417910306</v>
      </c>
      <c r="I12" s="20" t="n">
        <v>0.00203040722373026</v>
      </c>
      <c r="J12" s="20" t="n">
        <v>-0.0165293518931715</v>
      </c>
      <c r="K12" s="20" t="n">
        <v>-0.0426730686138266</v>
      </c>
      <c r="L12" s="20" t="n">
        <v>0</v>
      </c>
      <c r="M12" s="20" t="n">
        <v>-0.000978017566432676</v>
      </c>
      <c r="N12" s="20" t="n">
        <v>-0.0431214876075163</v>
      </c>
      <c r="O12" s="20" t="n">
        <v>-0.0178340290752165</v>
      </c>
      <c r="P12" s="20" t="n">
        <v>0.0679729894190765</v>
      </c>
      <c r="Q12" s="20" t="n">
        <v>-0.0245110066623908</v>
      </c>
      <c r="R12" s="20" t="n">
        <v>-0.00993765246220501</v>
      </c>
      <c r="S12" s="20" t="n">
        <v>0.0178576005642616</v>
      </c>
      <c r="T12" s="20" t="n">
        <v>-0.0406473394267608</v>
      </c>
      <c r="U12" s="20" t="n">
        <v>-0.0204124070067761</v>
      </c>
      <c r="V12" s="20" t="n">
        <v>0.00536448362981456</v>
      </c>
      <c r="W12" s="20" t="n">
        <v>-0.00707746833554168</v>
      </c>
      <c r="X12" s="20" t="n">
        <v>-0.0234801946042733</v>
      </c>
    </row>
    <row r="13" customFormat="false" ht="13.5" hidden="false" customHeight="true" outlineLevel="0" collapsed="false">
      <c r="A13" s="47" t="n">
        <v>42389</v>
      </c>
      <c r="B13" s="20" t="n">
        <v>0.00857956019295969</v>
      </c>
      <c r="C13" s="20" t="n">
        <v>0.0208525230694727</v>
      </c>
      <c r="D13" s="20" t="n">
        <v>-0.0148765234582315</v>
      </c>
      <c r="E13" s="20" t="n">
        <v>0.00920128708829315</v>
      </c>
      <c r="F13" s="20" t="n">
        <v>-0.0244004662383394</v>
      </c>
      <c r="G13" s="20" t="n">
        <v>-0.0186671273323915</v>
      </c>
      <c r="H13" s="20" t="n">
        <v>-0.032260902027031</v>
      </c>
      <c r="I13" s="20" t="n">
        <v>-0.00406504250538075</v>
      </c>
      <c r="J13" s="20" t="n">
        <v>0.0165293518931715</v>
      </c>
      <c r="K13" s="20" t="n">
        <v>-0.00546450537360354</v>
      </c>
      <c r="L13" s="20" t="n">
        <v>-0.0574108527947399</v>
      </c>
      <c r="M13" s="20" t="n">
        <v>-0.00261267046087443</v>
      </c>
      <c r="N13" s="20" t="n">
        <v>0.0169420486984295</v>
      </c>
      <c r="O13" s="20" t="n">
        <v>0.018703039827244</v>
      </c>
      <c r="P13" s="20" t="n">
        <v>0.0874874366474083</v>
      </c>
      <c r="Q13" s="20" t="n">
        <v>-0.037931244889952</v>
      </c>
      <c r="R13" s="20" t="n">
        <v>0.00381761437886751</v>
      </c>
      <c r="S13" s="20" t="n">
        <v>0.0249700633050009</v>
      </c>
      <c r="T13" s="20" t="n">
        <v>0</v>
      </c>
      <c r="U13" s="20" t="n">
        <v>0.00401150861935661</v>
      </c>
      <c r="V13" s="20" t="n">
        <v>-0.00663087633128967</v>
      </c>
      <c r="W13" s="20" t="n">
        <v>0.00292030649048768</v>
      </c>
      <c r="X13" s="20" t="n">
        <v>-0.0284794960391292</v>
      </c>
    </row>
    <row r="14" customFormat="false" ht="13.5" hidden="false" customHeight="true" outlineLevel="0" collapsed="false">
      <c r="A14" s="47" t="n">
        <v>42390</v>
      </c>
      <c r="B14" s="20" t="n">
        <v>-0.00334138003715533</v>
      </c>
      <c r="C14" s="20" t="n">
        <v>-0.0123175881074844</v>
      </c>
      <c r="D14" s="20" t="n">
        <v>0.0131805886547384</v>
      </c>
      <c r="E14" s="20" t="n">
        <v>0.0107661587621477</v>
      </c>
      <c r="F14" s="20" t="n">
        <v>0.0148591710467451</v>
      </c>
      <c r="G14" s="20" t="n">
        <v>-0.000807933093880386</v>
      </c>
      <c r="H14" s="20" t="n">
        <v>0.046271625582404</v>
      </c>
      <c r="I14" s="20" t="n">
        <v>0.0320669407318856</v>
      </c>
      <c r="J14" s="20" t="n">
        <v>0.0189450679049769</v>
      </c>
      <c r="K14" s="20" t="n">
        <v>0.094064030353773</v>
      </c>
      <c r="L14" s="20" t="n">
        <v>0.0313224410522081</v>
      </c>
      <c r="M14" s="20" t="n">
        <v>0.00424210663468427</v>
      </c>
      <c r="N14" s="20" t="n">
        <v>0.050851040831787</v>
      </c>
      <c r="O14" s="20" t="n">
        <v>0.0172219661649868</v>
      </c>
      <c r="P14" s="20" t="n">
        <v>0.0682946022194859</v>
      </c>
      <c r="Q14" s="20" t="n">
        <v>0.0575878778631357</v>
      </c>
      <c r="R14" s="20" t="n">
        <v>0.0122029287886302</v>
      </c>
      <c r="S14" s="20" t="n">
        <v>0.00859436212814923</v>
      </c>
      <c r="T14" s="20" t="n">
        <v>0.0203162905593532</v>
      </c>
      <c r="U14" s="20" t="n">
        <v>0.0143439428066898</v>
      </c>
      <c r="V14" s="20" t="n">
        <v>0.0199175475052477</v>
      </c>
      <c r="W14" s="20" t="n">
        <v>0.020819099856197</v>
      </c>
      <c r="X14" s="20" t="n">
        <v>0.0165292602605289</v>
      </c>
    </row>
    <row r="15" customFormat="false" ht="13.5" hidden="false" customHeight="true" outlineLevel="0" collapsed="false">
      <c r="A15" s="47" t="n">
        <v>42391</v>
      </c>
      <c r="B15" s="20" t="n">
        <v>-0.00343444744982512</v>
      </c>
      <c r="C15" s="20" t="n">
        <v>-0.00710737751346091</v>
      </c>
      <c r="D15" s="20" t="n">
        <v>-0.00937949821665196</v>
      </c>
      <c r="E15" s="20" t="n">
        <v>-0.0132672594349991</v>
      </c>
      <c r="F15" s="20" t="n">
        <v>-0.0452566195898658</v>
      </c>
      <c r="G15" s="20" t="n">
        <v>-0.0121969469934257</v>
      </c>
      <c r="H15" s="20" t="n">
        <v>-0.0228681687476641</v>
      </c>
      <c r="I15" s="20" t="n">
        <v>0.0127390364920683</v>
      </c>
      <c r="J15" s="20" t="n">
        <v>-0.0216810450467959</v>
      </c>
      <c r="K15" s="20" t="n">
        <v>-0.0252538433715338</v>
      </c>
      <c r="L15" s="20" t="n">
        <v>-0.0543119365943789</v>
      </c>
      <c r="M15" s="20" t="n">
        <v>-0.00686162102733778</v>
      </c>
      <c r="N15" s="20" t="n">
        <v>-0.00168204449363074</v>
      </c>
      <c r="O15" s="20" t="n">
        <v>-0.003992003900398</v>
      </c>
      <c r="P15" s="20" t="n">
        <v>-0.124837264076801</v>
      </c>
      <c r="Q15" s="20" t="n">
        <v>-0.00487805363113702</v>
      </c>
      <c r="R15" s="20" t="n">
        <v>-0.016551953468638</v>
      </c>
      <c r="S15" s="20" t="n">
        <v>0</v>
      </c>
      <c r="T15" s="20" t="n">
        <v>-0.00859484272440536</v>
      </c>
      <c r="U15" s="20" t="n">
        <v>0.00205695558072971</v>
      </c>
      <c r="V15" s="20" t="n">
        <v>-0.023249607715317</v>
      </c>
      <c r="W15" s="20" t="n">
        <v>-0.0281359189692667</v>
      </c>
      <c r="X15" s="20" t="n">
        <v>-0.0390020944381714</v>
      </c>
    </row>
    <row r="16" customFormat="false" ht="13.5" hidden="false" customHeight="true" outlineLevel="0" collapsed="false">
      <c r="A16" s="47" t="n">
        <v>42394</v>
      </c>
      <c r="B16" s="20" t="n">
        <v>0.00416884169912279</v>
      </c>
      <c r="C16" s="20" t="n">
        <v>0.00958302083963724</v>
      </c>
      <c r="D16" s="20" t="n">
        <v>0.00305493000826029</v>
      </c>
      <c r="E16" s="20" t="n">
        <v>0.0231033947004113</v>
      </c>
      <c r="F16" s="20" t="n">
        <v>0.0266479700658757</v>
      </c>
      <c r="G16" s="20" t="n">
        <v>0.00299525383693888</v>
      </c>
      <c r="H16" s="20" t="n">
        <v>0.0246057869833218</v>
      </c>
      <c r="I16" s="20" t="n">
        <v>0.0438164454672032</v>
      </c>
      <c r="J16" s="20" t="n">
        <v>0.0216810450467959</v>
      </c>
      <c r="K16" s="20" t="n">
        <v>-0.00512822675175495</v>
      </c>
      <c r="L16" s="20" t="n">
        <v>0.0320393222751633</v>
      </c>
      <c r="M16" s="20" t="n">
        <v>0.0055582970003698</v>
      </c>
      <c r="N16" s="20" t="n">
        <v>0.0331155774064062</v>
      </c>
      <c r="O16" s="20" t="n">
        <v>0.0113638017542383</v>
      </c>
      <c r="P16" s="20" t="n">
        <v>0.0433672531151783</v>
      </c>
      <c r="Q16" s="20" t="n">
        <v>0.0169700302311275</v>
      </c>
      <c r="R16" s="20" t="n">
        <v>-0.000318949332346996</v>
      </c>
      <c r="S16" s="20" t="n">
        <v>0.016970030231127</v>
      </c>
      <c r="T16" s="20" t="n">
        <v>0.0234602034444937</v>
      </c>
      <c r="U16" s="20" t="n">
        <v>0.00954331639089645</v>
      </c>
      <c r="V16" s="20" t="n">
        <v>-0.00366212570894752</v>
      </c>
      <c r="W16" s="20" t="n">
        <v>0.0125105569482126</v>
      </c>
      <c r="X16" s="20" t="n">
        <v>-0.0890796280343333</v>
      </c>
    </row>
    <row r="17" customFormat="false" ht="13.5" hidden="false" customHeight="true" outlineLevel="0" collapsed="false">
      <c r="A17" s="47" t="n">
        <v>42395</v>
      </c>
      <c r="B17" s="20" t="n">
        <v>-0.0133855193717007</v>
      </c>
      <c r="C17" s="20" t="n">
        <v>-0.0110105782881646</v>
      </c>
      <c r="D17" s="20" t="n">
        <v>-0.00244315961682506</v>
      </c>
      <c r="E17" s="20" t="n">
        <v>-0.0340140494043792</v>
      </c>
      <c r="F17" s="20" t="n">
        <v>0.00374947847724493</v>
      </c>
      <c r="G17" s="20" t="n">
        <v>0.0183194865889539</v>
      </c>
      <c r="H17" s="20" t="n">
        <v>0.00173460415508897</v>
      </c>
      <c r="I17" s="20" t="n">
        <v>0.033901628704362</v>
      </c>
      <c r="J17" s="20" t="n">
        <v>-0.0271755589660767</v>
      </c>
      <c r="K17" s="20" t="n">
        <v>-0.0103360304240164</v>
      </c>
      <c r="L17" s="20" t="n">
        <v>0.0397402909912616</v>
      </c>
      <c r="M17" s="20" t="n">
        <v>-0.00490275919867011</v>
      </c>
      <c r="N17" s="20" t="n">
        <v>0.00284609652489598</v>
      </c>
      <c r="O17" s="20" t="n">
        <v>0.0022572812957069</v>
      </c>
      <c r="P17" s="20" t="n">
        <v>0.00529101262853148</v>
      </c>
      <c r="Q17" s="20" t="n">
        <v>0.0400524868011598</v>
      </c>
      <c r="R17" s="20" t="n">
        <v>0.0031850056305327</v>
      </c>
      <c r="S17" s="20" t="n">
        <v>-0.0157483715236086</v>
      </c>
      <c r="T17" s="20" t="n">
        <v>-0.0123012796368633</v>
      </c>
      <c r="U17" s="20" t="n">
        <v>0</v>
      </c>
      <c r="V17" s="20" t="n">
        <v>-0.0157559458828036</v>
      </c>
      <c r="W17" s="20" t="n">
        <v>0.00640302465722131</v>
      </c>
      <c r="X17" s="20" t="n">
        <v>0.0257525001183078</v>
      </c>
    </row>
    <row r="18" customFormat="false" ht="13.5" hidden="false" customHeight="true" outlineLevel="0" collapsed="false">
      <c r="A18" s="47" t="n">
        <v>42396</v>
      </c>
      <c r="B18" s="20" t="n">
        <v>0.0103628045921428</v>
      </c>
      <c r="C18" s="20" t="n">
        <v>0.00747202573783623</v>
      </c>
      <c r="D18" s="20" t="n">
        <v>-0.0624533443578725</v>
      </c>
      <c r="E18" s="20" t="n">
        <v>-0.0118847189054109</v>
      </c>
      <c r="F18" s="20" t="n">
        <v>0.0126442800359543</v>
      </c>
      <c r="G18" s="20" t="n">
        <v>0.00956438258533687</v>
      </c>
      <c r="H18" s="20" t="n">
        <v>0.00862817302316032</v>
      </c>
      <c r="I18" s="20" t="n">
        <v>-0.00180346825152755</v>
      </c>
      <c r="J18" s="20" t="n">
        <v>0.00275103066529447</v>
      </c>
      <c r="K18" s="20" t="n">
        <v>0.00259407909541431</v>
      </c>
      <c r="L18" s="20" t="n">
        <v>-0.017467676672046</v>
      </c>
      <c r="M18" s="20" t="n">
        <v>-0.010540271771346</v>
      </c>
      <c r="N18" s="20" t="n">
        <v>0.00768458942208161</v>
      </c>
      <c r="O18" s="20" t="n">
        <v>0.00140823113660681</v>
      </c>
      <c r="P18" s="20" t="n">
        <v>0.144682741487247</v>
      </c>
      <c r="Q18" s="20" t="n">
        <v>0.0160370382040819</v>
      </c>
      <c r="R18" s="20" t="n">
        <v>-0.00905078318451568</v>
      </c>
      <c r="S18" s="20" t="n">
        <v>0.0229340815206993</v>
      </c>
      <c r="T18" s="20" t="n">
        <v>-0.013751814847704</v>
      </c>
      <c r="U18" s="20" t="n">
        <v>0.0112995886942535</v>
      </c>
      <c r="V18" s="20" t="n">
        <v>-0.00895259893104682</v>
      </c>
      <c r="W18" s="20" t="n">
        <v>0.00718022331496071</v>
      </c>
      <c r="X18" s="20" t="n">
        <v>0.0262857805796934</v>
      </c>
    </row>
    <row r="19" customFormat="false" ht="13.5" hidden="false" customHeight="true" outlineLevel="0" collapsed="false">
      <c r="A19" s="47" t="n">
        <v>42397</v>
      </c>
      <c r="B19" s="20" t="n">
        <v>0.020809622401785</v>
      </c>
      <c r="C19" s="20" t="n">
        <v>0.0310616806249623</v>
      </c>
      <c r="D19" s="20" t="n">
        <v>0.0293780472575182</v>
      </c>
      <c r="E19" s="20" t="n">
        <v>0.0194508919534115</v>
      </c>
      <c r="F19" s="20" t="n">
        <v>0.0440982623020351</v>
      </c>
      <c r="G19" s="20" t="n">
        <v>0.0258399256046457</v>
      </c>
      <c r="H19" s="20" t="n">
        <v>0.0776608008019752</v>
      </c>
      <c r="I19" s="20" t="n">
        <v>0.0231946373219256</v>
      </c>
      <c r="J19" s="20" t="n">
        <v>0.0163491220691924</v>
      </c>
      <c r="K19" s="20" t="n">
        <v>-0.0156661484403516</v>
      </c>
      <c r="L19" s="20" t="n">
        <v>0.0763082209284822</v>
      </c>
      <c r="M19" s="20" t="n">
        <v>0.00955680384966006</v>
      </c>
      <c r="N19" s="20" t="n">
        <v>0.0238865012817415</v>
      </c>
      <c r="O19" s="20" t="n">
        <v>0.014806880182705</v>
      </c>
      <c r="P19" s="20" t="n">
        <v>-0.00228576759677245</v>
      </c>
      <c r="Q19" s="20" t="n">
        <v>0.0595545254192073</v>
      </c>
      <c r="R19" s="20" t="n">
        <v>0.0326207224238483</v>
      </c>
      <c r="S19" s="20" t="n">
        <v>0.0545695739733353</v>
      </c>
      <c r="T19" s="20" t="n">
        <v>0.0289999121015691</v>
      </c>
      <c r="U19" s="20" t="n">
        <v>0.0245167078471819</v>
      </c>
      <c r="V19" s="20" t="n">
        <v>0.0162183250386673</v>
      </c>
      <c r="W19" s="20" t="n">
        <v>0.0264261752592025</v>
      </c>
      <c r="X19" s="20" t="n">
        <v>0.0117235087855576</v>
      </c>
    </row>
    <row r="20" customFormat="false" ht="13.5" hidden="false" customHeight="true" outlineLevel="0" collapsed="false">
      <c r="A20" s="47" t="n">
        <v>42398</v>
      </c>
      <c r="B20" s="20" t="n">
        <v>0.000320494475039012</v>
      </c>
      <c r="C20" s="20" t="n">
        <v>-0.015933858218633</v>
      </c>
      <c r="D20" s="20" t="n">
        <v>-0.00888890866399982</v>
      </c>
      <c r="E20" s="20" t="n">
        <v>0.0108289370049354</v>
      </c>
      <c r="F20" s="20" t="n">
        <v>-0.0128115846818603</v>
      </c>
      <c r="G20" s="20" t="n">
        <v>0.0329477142331109</v>
      </c>
      <c r="H20" s="20" t="n">
        <v>0.0220135082917609</v>
      </c>
      <c r="I20" s="20" t="n">
        <v>0.0174829460189953</v>
      </c>
      <c r="J20" s="20" t="n">
        <v>0.00539084343830764</v>
      </c>
      <c r="K20" s="20" t="n">
        <v>0.0412429656637913</v>
      </c>
      <c r="L20" s="20" t="n">
        <v>-0.0331981371596451</v>
      </c>
      <c r="M20" s="20" t="n">
        <v>-0.010550697793608</v>
      </c>
      <c r="N20" s="20" t="n">
        <v>0.0187066852142878</v>
      </c>
      <c r="O20" s="20" t="n">
        <v>0.00332223254340879</v>
      </c>
      <c r="P20" s="20" t="n">
        <v>-0.0022908949361331</v>
      </c>
      <c r="Q20" s="20" t="n">
        <v>-0.00860219520243577</v>
      </c>
      <c r="R20" s="20" t="n">
        <v>0.00752933650228104</v>
      </c>
      <c r="S20" s="20" t="n">
        <v>0.00899892693886572</v>
      </c>
      <c r="T20" s="20" t="n">
        <v>-0.0131163873345725</v>
      </c>
      <c r="U20" s="20" t="n">
        <v>-0.00278577787214651</v>
      </c>
      <c r="V20" s="20" t="n">
        <v>-0.0217930263731007</v>
      </c>
      <c r="W20" s="20" t="n">
        <v>-0.00579019129579316</v>
      </c>
      <c r="X20" s="20" t="n">
        <v>0.00696871794459053</v>
      </c>
    </row>
    <row r="21" customFormat="false" ht="13.5" hidden="false" customHeight="true" outlineLevel="0" collapsed="false">
      <c r="A21" s="47" t="n">
        <v>42401</v>
      </c>
      <c r="B21" s="20" t="n">
        <v>-0.0152563749939647</v>
      </c>
      <c r="C21" s="20" t="n">
        <v>-0.0140649131821772</v>
      </c>
      <c r="D21" s="20" t="n">
        <v>-0.0271509685318669</v>
      </c>
      <c r="E21" s="20" t="n">
        <v>-0.0475067672063458</v>
      </c>
      <c r="F21" s="20" t="n">
        <v>-0.0537091565403824</v>
      </c>
      <c r="G21" s="20" t="n">
        <v>0.000996783398321987</v>
      </c>
      <c r="H21" s="20" t="n">
        <v>-0.108302482116896</v>
      </c>
      <c r="I21" s="20" t="n">
        <v>-0.0227880353771774</v>
      </c>
      <c r="J21" s="20" t="n">
        <v>-0.0411580988839259</v>
      </c>
      <c r="K21" s="20" t="n">
        <v>0.0050378042408945</v>
      </c>
      <c r="L21" s="20" t="n">
        <v>-0.0927816454272287</v>
      </c>
      <c r="M21" s="20" t="n">
        <v>-0.000994882751971904</v>
      </c>
      <c r="N21" s="20" t="n">
        <v>-0.0270022490931425</v>
      </c>
      <c r="O21" s="20" t="n">
        <v>-0.00332223254340879</v>
      </c>
      <c r="P21" s="20" t="n">
        <v>-0.0911902638948327</v>
      </c>
      <c r="Q21" s="20" t="n">
        <v>-0.044157347508106</v>
      </c>
      <c r="R21" s="20" t="n">
        <v>-0.0247593759410991</v>
      </c>
      <c r="S21" s="20" t="n">
        <v>-0.0295476294704131</v>
      </c>
      <c r="T21" s="20" t="n">
        <v>-0.0280735182641223</v>
      </c>
      <c r="U21" s="20" t="n">
        <v>-0.00741166115576774</v>
      </c>
      <c r="V21" s="20" t="n">
        <v>-0.0325870723349863</v>
      </c>
      <c r="W21" s="20" t="n">
        <v>-0.0224773417806796</v>
      </c>
      <c r="X21" s="20" t="n">
        <v>-0.0269811667111619</v>
      </c>
    </row>
    <row r="22" customFormat="false" ht="13.5" hidden="false" customHeight="true" outlineLevel="0" collapsed="false">
      <c r="A22" s="47" t="n">
        <v>42402</v>
      </c>
      <c r="B22" s="20" t="n">
        <v>0.0143747831996892</v>
      </c>
      <c r="C22" s="20" t="n">
        <v>0.0151118722682936</v>
      </c>
      <c r="D22" s="20" t="n">
        <v>-0.00275617622746171</v>
      </c>
      <c r="E22" s="20" t="n">
        <v>-0.00435352800396815</v>
      </c>
      <c r="F22" s="20" t="n">
        <v>-0.0152325728830664</v>
      </c>
      <c r="G22" s="20" t="n">
        <v>0.00074688858477856</v>
      </c>
      <c r="H22" s="20" t="n">
        <v>0.07348881114363</v>
      </c>
      <c r="I22" s="20" t="n">
        <v>0.0962768602510166</v>
      </c>
      <c r="J22" s="20" t="n">
        <v>-0.0198026085966831</v>
      </c>
      <c r="K22" s="20" t="n">
        <v>-0.0126423812209444</v>
      </c>
      <c r="L22" s="20" t="n">
        <v>0.0714588954710594</v>
      </c>
      <c r="M22" s="20" t="n">
        <v>-0.015716736073652</v>
      </c>
      <c r="N22" s="20" t="n">
        <v>0.033928029249282</v>
      </c>
      <c r="O22" s="20" t="n">
        <v>0.0181373431371678</v>
      </c>
      <c r="P22" s="20" t="n">
        <v>0.129440161721571</v>
      </c>
      <c r="Q22" s="20" t="n">
        <v>0.0463147921562103</v>
      </c>
      <c r="R22" s="20" t="n">
        <v>0.00451895355161902</v>
      </c>
      <c r="S22" s="20" t="n">
        <v>0.0669146293667433</v>
      </c>
      <c r="T22" s="20" t="n">
        <v>0.011757176841713</v>
      </c>
      <c r="U22" s="20" t="n">
        <v>-0.0108037536505092</v>
      </c>
      <c r="V22" s="20" t="n">
        <v>0.0210109422218414</v>
      </c>
      <c r="W22" s="20" t="n">
        <v>-0.0255121863910341</v>
      </c>
      <c r="X22" s="20" t="n">
        <v>0.0129949387281222</v>
      </c>
    </row>
    <row r="23" customFormat="false" ht="13.5" hidden="false" customHeight="true" outlineLevel="0" collapsed="false">
      <c r="A23" s="47" t="n">
        <v>42403</v>
      </c>
      <c r="B23" s="20" t="n">
        <v>0.0232209211040368</v>
      </c>
      <c r="C23" s="20" t="n">
        <v>0.0176322104423167</v>
      </c>
      <c r="D23" s="20" t="n">
        <v>-0.0240750820090758</v>
      </c>
      <c r="E23" s="20" t="n">
        <v>0.00608959650618734</v>
      </c>
      <c r="F23" s="20" t="n">
        <v>0.0167431817888625</v>
      </c>
      <c r="G23" s="20" t="n">
        <v>-0.0308339117068321</v>
      </c>
      <c r="H23" s="20" t="n">
        <v>0.0238674589958181</v>
      </c>
      <c r="I23" s="20" t="n">
        <v>0.0502460733300376</v>
      </c>
      <c r="J23" s="20" t="n">
        <v>0.00285306626538561</v>
      </c>
      <c r="K23" s="20" t="n">
        <v>0.0151517605471828</v>
      </c>
      <c r="L23" s="20" t="n">
        <v>0.147974057981731</v>
      </c>
      <c r="M23" s="20" t="n">
        <v>-0.0228406068876734</v>
      </c>
      <c r="N23" s="20" t="n">
        <v>0.017484329267122</v>
      </c>
      <c r="O23" s="20" t="n">
        <v>-0.00518779160510352</v>
      </c>
      <c r="P23" s="20" t="n">
        <v>-0.0382498978267382</v>
      </c>
      <c r="Q23" s="20" t="n">
        <v>0.0213227499561692</v>
      </c>
      <c r="R23" s="20" t="n">
        <v>-0.00778957089433607</v>
      </c>
      <c r="S23" s="20" t="n">
        <v>0.00323099170937801</v>
      </c>
      <c r="T23" s="20" t="n">
        <v>0.0188685066829514</v>
      </c>
      <c r="U23" s="20" t="n">
        <v>-0.00603422232029249</v>
      </c>
      <c r="V23" s="20" t="n">
        <v>-0.00701051394027452</v>
      </c>
      <c r="W23" s="20" t="n">
        <v>0.0135630986039005</v>
      </c>
      <c r="X23" s="20" t="n">
        <v>0.0174524050228601</v>
      </c>
    </row>
    <row r="24" customFormat="false" ht="13.5" hidden="false" customHeight="true" outlineLevel="0" collapsed="false">
      <c r="A24" s="47" t="n">
        <v>42404</v>
      </c>
      <c r="B24" s="20" t="n">
        <v>0.00718140442182768</v>
      </c>
      <c r="C24" s="20" t="n">
        <v>-0.0221768781676909</v>
      </c>
      <c r="D24" s="20" t="n">
        <v>0.000538370348643901</v>
      </c>
      <c r="E24" s="20" t="n">
        <v>-0.0069625977793053</v>
      </c>
      <c r="F24" s="20" t="n">
        <v>-0.0229017790152452</v>
      </c>
      <c r="G24" s="20" t="n">
        <v>-0.0347338222851543</v>
      </c>
      <c r="H24" s="20" t="n">
        <v>-0.00630916332106101</v>
      </c>
      <c r="I24" s="20" t="n">
        <v>0.0500290304612804</v>
      </c>
      <c r="J24" s="20" t="n">
        <v>-0.0259754613780689</v>
      </c>
      <c r="K24" s="20" t="n">
        <v>-0.0514251629321091</v>
      </c>
      <c r="L24" s="20" t="n">
        <v>-0.0301910337438627</v>
      </c>
      <c r="M24" s="20" t="n">
        <v>0.00103397170302699</v>
      </c>
      <c r="N24" s="20" t="n">
        <v>0.00263404452632931</v>
      </c>
      <c r="O24" s="20" t="n">
        <v>0.00953562025956733</v>
      </c>
      <c r="P24" s="20" t="n">
        <v>0.0204319653328686</v>
      </c>
      <c r="Q24" s="20" t="n">
        <v>-0.029980804656678</v>
      </c>
      <c r="R24" s="20" t="n">
        <v>-0.0163003536023644</v>
      </c>
      <c r="S24" s="20" t="n">
        <v>-0.0372441894240211</v>
      </c>
      <c r="T24" s="20" t="n">
        <v>-0.0280010334246156</v>
      </c>
      <c r="U24" s="20" t="n">
        <v>0.00536553430254027</v>
      </c>
      <c r="V24" s="20" t="n">
        <v>-0.00117321213071708</v>
      </c>
      <c r="W24" s="20" t="n">
        <v>-0.00811573255191433</v>
      </c>
      <c r="X24" s="20" t="n">
        <v>-0.010434894984411</v>
      </c>
    </row>
    <row r="25" customFormat="false" ht="13.5" hidden="false" customHeight="true" outlineLevel="0" collapsed="false">
      <c r="A25" s="47" t="n">
        <v>42405</v>
      </c>
      <c r="B25" s="20" t="n">
        <v>-0.0124439398839202</v>
      </c>
      <c r="C25" s="20" t="n">
        <v>-0.0130490623093755</v>
      </c>
      <c r="D25" s="20" t="n">
        <v>-0.00175068729042493</v>
      </c>
      <c r="E25" s="20" t="n">
        <v>0.0121529571749565</v>
      </c>
      <c r="F25" s="20" t="n">
        <v>-0.0539384773866138</v>
      </c>
      <c r="G25" s="20" t="n">
        <v>-0.021760465473402</v>
      </c>
      <c r="H25" s="20" t="n">
        <v>-0.0305244292711244</v>
      </c>
      <c r="I25" s="20" t="n">
        <v>0.0696239450017932</v>
      </c>
      <c r="J25" s="20" t="n">
        <v>-0.0176996306290528</v>
      </c>
      <c r="K25" s="20" t="n">
        <v>0.0438779793649762</v>
      </c>
      <c r="L25" s="20" t="n">
        <v>-0.0350912871869426</v>
      </c>
      <c r="M25" s="20" t="n">
        <v>-0.0163226829176141</v>
      </c>
      <c r="N25" s="20" t="n">
        <v>-0.0375236002947256</v>
      </c>
      <c r="O25" s="20" t="n">
        <v>0.0062170638692951</v>
      </c>
      <c r="P25" s="20" t="n">
        <v>-0.0554413965610522</v>
      </c>
      <c r="Q25" s="20" t="n">
        <v>-0.00873367178505035</v>
      </c>
      <c r="R25" s="20" t="n">
        <v>-0.0377609508218022</v>
      </c>
      <c r="S25" s="20" t="n">
        <v>-0.0123527291205527</v>
      </c>
      <c r="T25" s="20" t="n">
        <v>0.00174600287890624</v>
      </c>
      <c r="U25" s="20" t="n">
        <v>0.00533689891998534</v>
      </c>
      <c r="V25" s="20" t="n">
        <v>0.0181143321437859</v>
      </c>
      <c r="W25" s="20" t="n">
        <v>-0.02882778263977</v>
      </c>
      <c r="X25" s="20" t="n">
        <v>-0.0200124487665713</v>
      </c>
    </row>
    <row r="26" customFormat="false" ht="13.5" hidden="false" customHeight="true" outlineLevel="0" collapsed="false">
      <c r="A26" s="47" t="n">
        <v>42408</v>
      </c>
      <c r="B26" s="20" t="n">
        <v>-0.0231837001839414</v>
      </c>
      <c r="C26" s="20" t="n">
        <v>0.00389729153482765</v>
      </c>
      <c r="D26" s="20" t="n">
        <v>-0.00608403927268508</v>
      </c>
      <c r="E26" s="20" t="n">
        <v>-0.0209248929800596</v>
      </c>
      <c r="F26" s="20" t="n">
        <v>-0.00572135992516642</v>
      </c>
      <c r="G26" s="20" t="n">
        <v>-0.0024473201479771</v>
      </c>
      <c r="H26" s="20" t="n">
        <v>-0.00983613536152505</v>
      </c>
      <c r="I26" s="20" t="n">
        <v>-0.0387860539516813</v>
      </c>
      <c r="J26" s="20" t="n">
        <v>-0.00298062538454724</v>
      </c>
      <c r="K26" s="20" t="n">
        <v>0.0846938709916625</v>
      </c>
      <c r="L26" s="20" t="n">
        <v>-0.0200407317315135</v>
      </c>
      <c r="M26" s="20" t="n">
        <v>0.018731068514485</v>
      </c>
      <c r="N26" s="20" t="n">
        <v>-0.0325167314539887</v>
      </c>
      <c r="O26" s="20" t="n">
        <v>-0.0124730215531339</v>
      </c>
      <c r="P26" s="20" t="n">
        <v>-0.0945978734828643</v>
      </c>
      <c r="Q26" s="20" t="n">
        <v>-0.0244185576615674</v>
      </c>
      <c r="R26" s="20" t="n">
        <v>0.00954714836968584</v>
      </c>
      <c r="S26" s="20" t="n">
        <v>-0.0170944983867706</v>
      </c>
      <c r="T26" s="20" t="n">
        <v>-0.0122862750917183</v>
      </c>
      <c r="U26" s="20" t="n">
        <v>0.00547404256341543</v>
      </c>
      <c r="V26" s="20" t="n">
        <v>0.00492853359920619</v>
      </c>
      <c r="W26" s="20" t="n">
        <v>-0.00107583090850171</v>
      </c>
      <c r="X26" s="20" t="n">
        <v>0.00474496295567794</v>
      </c>
    </row>
    <row r="27" customFormat="false" ht="13.5" hidden="false" customHeight="true" outlineLevel="0" collapsed="false">
      <c r="A27" s="47" t="n">
        <v>42409</v>
      </c>
      <c r="B27" s="20" t="n">
        <v>-0.0317720757174857</v>
      </c>
      <c r="C27" s="20" t="n">
        <v>0.000706931250965325</v>
      </c>
      <c r="D27" s="20" t="n">
        <v>-0.00912748220959169</v>
      </c>
      <c r="E27" s="20" t="n">
        <v>-0.000881465781750634</v>
      </c>
      <c r="F27" s="20" t="n">
        <v>-0.0181973816285601</v>
      </c>
      <c r="G27" s="20" t="n">
        <v>0.00326172985886596</v>
      </c>
      <c r="H27" s="20" t="n">
        <v>0.0276215508254806</v>
      </c>
      <c r="I27" s="20" t="n">
        <v>0.0285435217720313</v>
      </c>
      <c r="J27" s="20" t="n">
        <v>0.0148151423022753</v>
      </c>
      <c r="K27" s="20" t="n">
        <v>-0.0597549460004629</v>
      </c>
      <c r="L27" s="20" t="n">
        <v>0.0512932461246796</v>
      </c>
      <c r="M27" s="20" t="n">
        <v>0.0133130277794757</v>
      </c>
      <c r="N27" s="20" t="n">
        <v>-0.0089069137444242</v>
      </c>
      <c r="O27" s="20" t="n">
        <v>-0.00602085056894541</v>
      </c>
      <c r="P27" s="20" t="n">
        <v>-0.0929630443255373</v>
      </c>
      <c r="Q27" s="20" t="n">
        <v>0.00894859746187082</v>
      </c>
      <c r="R27" s="20" t="n">
        <v>0.0283212310143774</v>
      </c>
      <c r="S27" s="20" t="n">
        <v>-0.0138890991291877</v>
      </c>
      <c r="T27" s="20" t="n">
        <v>-0.00620017000046457</v>
      </c>
      <c r="U27" s="20" t="n">
        <v>-0.00663905386087915</v>
      </c>
      <c r="V27" s="20" t="n">
        <v>0.000982823538019594</v>
      </c>
      <c r="W27" s="20" t="n">
        <v>-0.00604628482488278</v>
      </c>
      <c r="X27" s="20" t="n">
        <v>-0.00951254796827516</v>
      </c>
    </row>
    <row r="28" customFormat="false" ht="13.5" hidden="false" customHeight="true" outlineLevel="0" collapsed="false">
      <c r="A28" s="47" t="n">
        <v>42410</v>
      </c>
      <c r="B28" s="20" t="n">
        <v>-0.0196612278430832</v>
      </c>
      <c r="C28" s="20" t="n">
        <v>-0.0304956646543992</v>
      </c>
      <c r="D28" s="20" t="n">
        <v>-0.0228399650981812</v>
      </c>
      <c r="E28" s="20" t="n">
        <v>-0.0151046918439639</v>
      </c>
      <c r="F28" s="20" t="n">
        <v>-0.0709026111962307</v>
      </c>
      <c r="G28" s="20" t="n">
        <v>-0.0114629578299867</v>
      </c>
      <c r="H28" s="20" t="n">
        <v>-0.0408887307860899</v>
      </c>
      <c r="I28" s="20" t="n">
        <v>0.029085601840586</v>
      </c>
      <c r="J28" s="20" t="n">
        <v>-0.00589971631817332</v>
      </c>
      <c r="K28" s="20" t="n">
        <v>0</v>
      </c>
      <c r="L28" s="20" t="n">
        <v>-0.0884108725798528</v>
      </c>
      <c r="M28" s="20" t="n">
        <v>-0.0122826729044396</v>
      </c>
      <c r="N28" s="20" t="n">
        <v>0.104180505834951</v>
      </c>
      <c r="O28" s="20" t="n">
        <v>-0.00605732090379484</v>
      </c>
      <c r="P28" s="20" t="n">
        <v>-0.0115274940822918</v>
      </c>
      <c r="Q28" s="20" t="n">
        <v>-0.0111982614466277</v>
      </c>
      <c r="R28" s="20" t="n">
        <v>0.0081292791527181</v>
      </c>
      <c r="S28" s="20" t="n">
        <v>-0.0200124487665713</v>
      </c>
      <c r="T28" s="20" t="n">
        <v>0.0920335463158461</v>
      </c>
      <c r="U28" s="20" t="n">
        <v>-0.000999626176811041</v>
      </c>
      <c r="V28" s="20" t="n">
        <v>-0.0258721121126477</v>
      </c>
      <c r="W28" s="20" t="n">
        <v>-0.022118460957293</v>
      </c>
      <c r="X28" s="20" t="n">
        <v>-0.0439630811738553</v>
      </c>
    </row>
    <row r="29" customFormat="false" ht="13.5" hidden="false" customHeight="true" outlineLevel="0" collapsed="false">
      <c r="A29" s="47" t="n">
        <v>42411</v>
      </c>
      <c r="B29" s="20" t="n">
        <v>0.0267084606094369</v>
      </c>
      <c r="C29" s="20" t="n">
        <v>0.0290812318545268</v>
      </c>
      <c r="D29" s="20" t="n">
        <v>-0.00210248211631736</v>
      </c>
      <c r="E29" s="20" t="n">
        <v>0.0334538335702792</v>
      </c>
      <c r="F29" s="20" t="n">
        <v>0.0683953191360284</v>
      </c>
      <c r="G29" s="20" t="n">
        <v>0.0508403077657426</v>
      </c>
      <c r="H29" s="20" t="n">
        <v>0.0149132692683717</v>
      </c>
      <c r="I29" s="20" t="n">
        <v>0.0417815559665375</v>
      </c>
      <c r="J29" s="20" t="n">
        <v>0.0233928567415828</v>
      </c>
      <c r="K29" s="20" t="n">
        <v>0.0527700719964064</v>
      </c>
      <c r="L29" s="20" t="n">
        <v>0.0998833539355278</v>
      </c>
      <c r="M29" s="20" t="n">
        <v>0.00786468237344761</v>
      </c>
      <c r="N29" s="20" t="n">
        <v>0.0472359601271876</v>
      </c>
      <c r="O29" s="20" t="n">
        <v>0.00715473979829717</v>
      </c>
      <c r="P29" s="20" t="n">
        <v>0.0257524715050669</v>
      </c>
      <c r="Q29" s="20" t="n">
        <v>0.0111982614466277</v>
      </c>
      <c r="R29" s="20" t="n">
        <v>0.0209779244902756</v>
      </c>
      <c r="S29" s="20" t="n">
        <v>0.0235028227235232</v>
      </c>
      <c r="T29" s="20" t="n">
        <v>0.0172729860741105</v>
      </c>
      <c r="U29" s="20" t="n">
        <v>-0.000333452108463028</v>
      </c>
      <c r="V29" s="20" t="n">
        <v>0.0113599667724297</v>
      </c>
      <c r="W29" s="20" t="n">
        <v>0.0465099827679234</v>
      </c>
      <c r="X29" s="20" t="n">
        <v>0.0522914692354676</v>
      </c>
    </row>
    <row r="30" customFormat="false" ht="13.5" hidden="false" customHeight="true" outlineLevel="0" collapsed="false">
      <c r="A30" s="47" t="n">
        <v>42412</v>
      </c>
      <c r="B30" s="20" t="n">
        <v>0.013947202512492</v>
      </c>
      <c r="C30" s="20" t="n">
        <v>0.0210091868882034</v>
      </c>
      <c r="D30" s="20" t="n">
        <v>0.028494392663628</v>
      </c>
      <c r="E30" s="20" t="n">
        <v>0.0273287454987438</v>
      </c>
      <c r="F30" s="20" t="n">
        <v>0.0247946745742928</v>
      </c>
      <c r="G30" s="20" t="n">
        <v>0.0041655837402601</v>
      </c>
      <c r="H30" s="20" t="n">
        <v>0.00655739420278544</v>
      </c>
      <c r="I30" s="20" t="n">
        <v>-0.0558804829252799</v>
      </c>
      <c r="J30" s="20" t="n">
        <v>0.00863313885215744</v>
      </c>
      <c r="K30" s="20" t="n">
        <v>0.0389510632695948</v>
      </c>
      <c r="L30" s="20" t="n">
        <v>0.0518634236101828</v>
      </c>
      <c r="M30" s="20" t="n">
        <v>0.0152106652397394</v>
      </c>
      <c r="N30" s="20" t="n">
        <v>0.0107770715331443</v>
      </c>
      <c r="O30" s="20" t="n">
        <v>0.00492343167444309</v>
      </c>
      <c r="P30" s="20" t="n">
        <v>0.0168071026014087</v>
      </c>
      <c r="Q30" s="20" t="n">
        <v>-0.0157129374275715</v>
      </c>
      <c r="R30" s="20" t="n">
        <v>0.0112034555033453</v>
      </c>
      <c r="S30" s="20" t="n">
        <v>0.0575455129731392</v>
      </c>
      <c r="T30" s="20" t="n">
        <v>0.0286574873429006</v>
      </c>
      <c r="U30" s="20" t="n">
        <v>0.00548763354509596</v>
      </c>
      <c r="V30" s="20" t="n">
        <v>0.0323610445503605</v>
      </c>
      <c r="W30" s="20" t="n">
        <v>0.019466868542461</v>
      </c>
      <c r="X30" s="20" t="n">
        <v>0.0349279045893444</v>
      </c>
    </row>
    <row r="31" customFormat="false" ht="13.5" hidden="false" customHeight="true" outlineLevel="0" collapsed="false">
      <c r="A31" s="47" t="n">
        <v>42416</v>
      </c>
      <c r="B31" s="20" t="n">
        <v>0.0270069513138944</v>
      </c>
      <c r="C31" s="20" t="n">
        <v>0.0164952141684326</v>
      </c>
      <c r="D31" s="20" t="n">
        <v>0.0182424956841975</v>
      </c>
      <c r="E31" s="20" t="n">
        <v>0.0331430970499848</v>
      </c>
      <c r="F31" s="20" t="n">
        <v>0.0249912574582888</v>
      </c>
      <c r="G31" s="20" t="n">
        <v>0.0238747443711617</v>
      </c>
      <c r="H31" s="20" t="n">
        <v>0.028987509324887</v>
      </c>
      <c r="I31" s="20" t="n">
        <v>0.00942135784807174</v>
      </c>
      <c r="J31" s="20" t="n">
        <v>0.0226638381451242</v>
      </c>
      <c r="K31" s="20" t="n">
        <v>0.0418102573585212</v>
      </c>
      <c r="L31" s="20" t="n">
        <v>0.0995675839512808</v>
      </c>
      <c r="M31" s="20" t="n">
        <v>-0.00605655651289493</v>
      </c>
      <c r="N31" s="20" t="n">
        <v>0.0276232216839735</v>
      </c>
      <c r="O31" s="20" t="n">
        <v>-0.000272946818600683</v>
      </c>
      <c r="P31" s="20" t="n">
        <v>0.0723206584992826</v>
      </c>
      <c r="Q31" s="20" t="n">
        <v>0.0355592681173466</v>
      </c>
      <c r="R31" s="20" t="n">
        <v>0.00770696905426948</v>
      </c>
      <c r="S31" s="20" t="n">
        <v>0.0195446291304413</v>
      </c>
      <c r="T31" s="20" t="n">
        <v>0.0237104392668752</v>
      </c>
      <c r="U31" s="20" t="n">
        <v>0.0016570391229207</v>
      </c>
      <c r="V31" s="20" t="n">
        <v>0.0275988632734325</v>
      </c>
      <c r="W31" s="20" t="n">
        <v>-0.00228288170570278</v>
      </c>
      <c r="X31" s="20" t="n">
        <v>0.00342669510104132</v>
      </c>
    </row>
    <row r="32" customFormat="false" ht="13.5" hidden="false" customHeight="true" outlineLevel="0" collapsed="false">
      <c r="A32" s="47" t="n">
        <v>42417</v>
      </c>
      <c r="B32" s="20" t="n">
        <v>0.0491299618069218</v>
      </c>
      <c r="C32" s="20" t="n">
        <v>-0.00890112009601518</v>
      </c>
      <c r="D32" s="20" t="n">
        <v>-0.0163351465127945</v>
      </c>
      <c r="E32" s="20" t="n">
        <v>-0.00081534685331519</v>
      </c>
      <c r="F32" s="20" t="n">
        <v>-0.0258079360643415</v>
      </c>
      <c r="G32" s="20" t="n">
        <v>-0.0351093573244147</v>
      </c>
      <c r="H32" s="20" t="n">
        <v>-0.0454623305119008</v>
      </c>
      <c r="I32" s="20" t="n">
        <v>0.0547367980109068</v>
      </c>
      <c r="J32" s="20" t="n">
        <v>0.00279720200939959</v>
      </c>
      <c r="K32" s="20" t="n">
        <v>0.0297261781152711</v>
      </c>
      <c r="L32" s="20" t="n">
        <v>-0.0606245633805093</v>
      </c>
      <c r="M32" s="20" t="n">
        <v>-0.0027036152281874</v>
      </c>
      <c r="N32" s="20" t="n">
        <v>0.0196509290963655</v>
      </c>
      <c r="O32" s="20" t="n">
        <v>0.0095071280727299</v>
      </c>
      <c r="P32" s="20" t="n">
        <v>-0.0947934932789917</v>
      </c>
      <c r="Q32" s="20" t="n">
        <v>-0.0154017772035883</v>
      </c>
      <c r="R32" s="20" t="n">
        <v>-0.00822291655872931</v>
      </c>
      <c r="S32" s="20" t="n">
        <v>-0.0021529026448821</v>
      </c>
      <c r="T32" s="20" t="n">
        <v>-0.00113438392361508</v>
      </c>
      <c r="U32" s="20" t="n">
        <v>0.00363572380614307</v>
      </c>
      <c r="V32" s="20" t="n">
        <v>-0.0094310426187496</v>
      </c>
      <c r="W32" s="20" t="n">
        <v>-0.00834558408020003</v>
      </c>
      <c r="X32" s="20" t="n">
        <v>-0.0289204640112785</v>
      </c>
    </row>
    <row r="33" customFormat="false" ht="13.5" hidden="false" customHeight="true" outlineLevel="0" collapsed="false">
      <c r="A33" s="47" t="n">
        <v>42418</v>
      </c>
      <c r="B33" s="20" t="n">
        <v>0.00474527223207843</v>
      </c>
      <c r="C33" s="20" t="n">
        <v>-0.00206537893000025</v>
      </c>
      <c r="D33" s="20" t="n">
        <v>-0.0117745144491294</v>
      </c>
      <c r="E33" s="20" t="n">
        <v>-0.0131364650479381</v>
      </c>
      <c r="F33" s="20" t="n">
        <v>-0.00902752599418921</v>
      </c>
      <c r="G33" s="20" t="n">
        <v>-0.00632584278912062</v>
      </c>
      <c r="H33" s="20" t="n">
        <v>-0.00332778682531054</v>
      </c>
      <c r="I33" s="20" t="n">
        <v>-0.0205004390039902</v>
      </c>
      <c r="J33" s="20" t="n">
        <v>0.011111215122715</v>
      </c>
      <c r="K33" s="20" t="n">
        <v>-0.0603631452934579</v>
      </c>
      <c r="L33" s="20" t="n">
        <v>0.0206192669290476</v>
      </c>
      <c r="M33" s="20" t="n">
        <v>-0.0020325029676651</v>
      </c>
      <c r="N33" s="20" t="n">
        <v>-0.0196509290963655</v>
      </c>
      <c r="O33" s="20" t="n">
        <v>-0.0114194274042791</v>
      </c>
      <c r="P33" s="20" t="n">
        <v>-0.117427943076746</v>
      </c>
      <c r="Q33" s="20" t="n">
        <v>-0.0022198074881643</v>
      </c>
      <c r="R33" s="20" t="n">
        <v>0.00719868353042763</v>
      </c>
      <c r="S33" s="20" t="n">
        <v>-0.0130153559954808</v>
      </c>
      <c r="T33" s="20" t="n">
        <v>0.004529978789233</v>
      </c>
      <c r="U33" s="20" t="n">
        <v>-0.000990222204078961</v>
      </c>
      <c r="V33" s="20" t="n">
        <v>0.00755194819921367</v>
      </c>
      <c r="W33" s="20" t="n">
        <v>0.00751413703542169</v>
      </c>
      <c r="X33" s="20" t="n">
        <v>0.0174524050228601</v>
      </c>
    </row>
    <row r="34" customFormat="false" ht="13.5" hidden="false" customHeight="true" outlineLevel="0" collapsed="false">
      <c r="A34" s="47" t="n">
        <v>42419</v>
      </c>
      <c r="B34" s="20" t="n">
        <v>0.00517147433702369</v>
      </c>
      <c r="C34" s="20" t="n">
        <v>0.0133495048309595</v>
      </c>
      <c r="D34" s="20" t="n">
        <v>0.00549378552937263</v>
      </c>
      <c r="E34" s="20" t="n">
        <v>0.0373117103199063</v>
      </c>
      <c r="F34" s="20" t="n">
        <v>0.0332417997722571</v>
      </c>
      <c r="G34" s="20" t="n">
        <v>0.0118282562378868</v>
      </c>
      <c r="H34" s="20" t="n">
        <v>0.0582688524554868</v>
      </c>
      <c r="I34" s="20" t="n">
        <v>-0.0215906278159128</v>
      </c>
      <c r="J34" s="20" t="n">
        <v>0.0218588383135036</v>
      </c>
      <c r="K34" s="20" t="n">
        <v>-0.00445429299173616</v>
      </c>
      <c r="L34" s="20" t="n">
        <v>0.127561180477466</v>
      </c>
      <c r="M34" s="20" t="n">
        <v>0.0188114205263683</v>
      </c>
      <c r="N34" s="20" t="n">
        <v>0.00870736351633816</v>
      </c>
      <c r="O34" s="20" t="n">
        <v>0.007898744984006</v>
      </c>
      <c r="P34" s="20" t="n">
        <v>0.0528894129081687</v>
      </c>
      <c r="Q34" s="20" t="n">
        <v>0.043485071357852</v>
      </c>
      <c r="R34" s="20" t="n">
        <v>-0.00133296360642987</v>
      </c>
      <c r="S34" s="20" t="n">
        <v>0.0151682586403629</v>
      </c>
      <c r="T34" s="20" t="n">
        <v>0.00300864935925693</v>
      </c>
      <c r="U34" s="20" t="n">
        <v>0.0106759281000963</v>
      </c>
      <c r="V34" s="20" t="n">
        <v>-0.00156860383725643</v>
      </c>
      <c r="W34" s="20" t="n">
        <v>0.0226160644266184</v>
      </c>
      <c r="X34" s="20" t="n">
        <v>0.0194180943184116</v>
      </c>
    </row>
    <row r="35" customFormat="false" ht="13.5" hidden="false" customHeight="true" outlineLevel="0" collapsed="false">
      <c r="A35" s="47" t="n">
        <v>42422</v>
      </c>
      <c r="B35" s="20" t="n">
        <v>-0.0102943418425054</v>
      </c>
      <c r="C35" s="20" t="n">
        <v>-0.00648138788469232</v>
      </c>
      <c r="D35" s="20" t="n">
        <v>0.00628072891975683</v>
      </c>
      <c r="E35" s="20" t="n">
        <v>-0.0112091118008623</v>
      </c>
      <c r="F35" s="20" t="n">
        <v>-0.0307716681730769</v>
      </c>
      <c r="G35" s="20" t="n">
        <v>0.0132383069378247</v>
      </c>
      <c r="H35" s="20" t="n">
        <v>-0.0254790613575484</v>
      </c>
      <c r="I35" s="20" t="n">
        <v>0.0202953229706066</v>
      </c>
      <c r="J35" s="20" t="n">
        <v>-0.0246250892522086</v>
      </c>
      <c r="K35" s="20" t="n">
        <v>0.00888889914388912</v>
      </c>
      <c r="L35" s="20" t="n">
        <v>-0.0713480888309014</v>
      </c>
      <c r="M35" s="20" t="n">
        <v>-0.00299950750152033</v>
      </c>
      <c r="N35" s="20" t="n">
        <v>-0.0249844114511135</v>
      </c>
      <c r="O35" s="20" t="n">
        <v>-0.00326084332834364</v>
      </c>
      <c r="P35" s="20" t="n">
        <v>-0.0919823784303923</v>
      </c>
      <c r="Q35" s="20" t="n">
        <v>-0.028049225665349</v>
      </c>
      <c r="R35" s="20" t="n">
        <v>-0.0073116961115911</v>
      </c>
      <c r="S35" s="20" t="n">
        <v>-0.00431034729298618</v>
      </c>
      <c r="T35" s="20" t="n">
        <v>-0.0193370317731096</v>
      </c>
      <c r="U35" s="20" t="n">
        <v>0.00505177273245482</v>
      </c>
      <c r="V35" s="20" t="n">
        <v>-0.0259217990462667</v>
      </c>
      <c r="W35" s="20" t="n">
        <v>-0.0224081775004938</v>
      </c>
      <c r="X35" s="20" t="n">
        <v>-0.0263626153458709</v>
      </c>
    </row>
    <row r="36" customFormat="false" ht="13.5" hidden="false" customHeight="true" outlineLevel="0" collapsed="false">
      <c r="A36" s="47" t="n">
        <v>42423</v>
      </c>
      <c r="B36" s="20" t="n">
        <v>0.00301666261859079</v>
      </c>
      <c r="C36" s="20" t="n">
        <v>-0.00893783899256961</v>
      </c>
      <c r="D36" s="20" t="n">
        <v>0.00853833546270976</v>
      </c>
      <c r="E36" s="20" t="n">
        <v>-0.0277568964572179</v>
      </c>
      <c r="F36" s="20" t="n">
        <v>-0.00247013159918019</v>
      </c>
      <c r="G36" s="20" t="n">
        <v>-0.00206499858692499</v>
      </c>
      <c r="H36" s="20" t="n">
        <v>-0.00161420381697796</v>
      </c>
      <c r="I36" s="20" t="n">
        <v>0.0224296123426004</v>
      </c>
      <c r="J36" s="20" t="n">
        <v>-0.00277392431435008</v>
      </c>
      <c r="K36" s="20" t="n">
        <v>-0.0710493196821447</v>
      </c>
      <c r="L36" s="20" t="n">
        <v>-0.0596202466468926</v>
      </c>
      <c r="M36" s="20" t="n">
        <v>0.00200071336324336</v>
      </c>
      <c r="N36" s="20" t="n">
        <v>0.0256510934012625</v>
      </c>
      <c r="O36" s="20" t="n">
        <v>0.00975080301260122</v>
      </c>
      <c r="P36" s="20" t="n">
        <v>0.200972694728952</v>
      </c>
      <c r="Q36" s="20" t="n">
        <v>-0.00438596758616882</v>
      </c>
      <c r="R36" s="20" t="n">
        <v>0.00134273898459369</v>
      </c>
      <c r="S36" s="20" t="n">
        <v>0.0245345151282747</v>
      </c>
      <c r="T36" s="20" t="n">
        <v>0.00762775832414641</v>
      </c>
      <c r="U36" s="20" t="n">
        <v>-0.00260416563221976</v>
      </c>
      <c r="V36" s="20" t="n">
        <v>0.00257441571620731</v>
      </c>
      <c r="W36" s="20" t="n">
        <v>-0.0102393093624146</v>
      </c>
      <c r="X36" s="20" t="n">
        <v>-0.00816327523113447</v>
      </c>
    </row>
    <row r="37" customFormat="false" ht="13.5" hidden="false" customHeight="true" outlineLevel="0" collapsed="false">
      <c r="A37" s="47" t="n">
        <v>42424</v>
      </c>
      <c r="B37" s="20" t="n">
        <v>0.0127199390194565</v>
      </c>
      <c r="C37" s="20" t="n">
        <v>0.009280064002811</v>
      </c>
      <c r="D37" s="20" t="n">
        <v>0.00966971313131725</v>
      </c>
      <c r="E37" s="20" t="n">
        <v>0.0253385371597714</v>
      </c>
      <c r="F37" s="20" t="n">
        <v>0.0155422009441177</v>
      </c>
      <c r="G37" s="20" t="n">
        <v>0.0194478576431325</v>
      </c>
      <c r="H37" s="20" t="n">
        <v>0</v>
      </c>
      <c r="I37" s="20" t="n">
        <v>0.00694670365908889</v>
      </c>
      <c r="J37" s="20" t="n">
        <v>0.0246926545882244</v>
      </c>
      <c r="K37" s="20" t="n">
        <v>0.0188240533986718</v>
      </c>
      <c r="L37" s="20" t="n">
        <v>-0.0453830456617441</v>
      </c>
      <c r="M37" s="20" t="n">
        <v>0.0188093216970353</v>
      </c>
      <c r="N37" s="20" t="n">
        <v>0.013240829592457</v>
      </c>
      <c r="O37" s="20" t="n">
        <v>0.00725128643065708</v>
      </c>
      <c r="P37" s="20" t="n">
        <v>0.018843069660936</v>
      </c>
      <c r="Q37" s="20" t="n">
        <v>-0.0199785002975028</v>
      </c>
      <c r="R37" s="20" t="n">
        <v>0.0155677486706222</v>
      </c>
      <c r="S37" s="20" t="n">
        <v>0.00630258596125221</v>
      </c>
      <c r="T37" s="20" t="n">
        <v>0.0105821352663282</v>
      </c>
      <c r="U37" s="20" t="n">
        <v>0.0164865612963156</v>
      </c>
      <c r="V37" s="20" t="n">
        <v>0.0127735929328709</v>
      </c>
      <c r="W37" s="20" t="n">
        <v>0.00293623090049299</v>
      </c>
      <c r="X37" s="20" t="n">
        <v>0.0116416192187731</v>
      </c>
    </row>
    <row r="38" customFormat="false" ht="13.5" hidden="false" customHeight="true" outlineLevel="0" collapsed="false">
      <c r="A38" s="47" t="n">
        <v>42425</v>
      </c>
      <c r="B38" s="20" t="n">
        <v>-0.0185350387964335</v>
      </c>
      <c r="C38" s="20" t="n">
        <v>0.00579903275959869</v>
      </c>
      <c r="D38" s="20" t="n">
        <v>-0.0164402198384205</v>
      </c>
      <c r="E38" s="20" t="n">
        <v>0.00643605775492606</v>
      </c>
      <c r="F38" s="20" t="n">
        <v>0.0303780451114401</v>
      </c>
      <c r="G38" s="20" t="n">
        <v>-0.000253410761779981</v>
      </c>
      <c r="H38" s="20" t="n">
        <v>-0.00811033677451278</v>
      </c>
      <c r="I38" s="20" t="n">
        <v>-0.136683033163843</v>
      </c>
      <c r="J38" s="20" t="n">
        <v>0</v>
      </c>
      <c r="K38" s="20" t="n">
        <v>0.0697696114815926</v>
      </c>
      <c r="L38" s="20" t="n">
        <v>-0.0326707511832764</v>
      </c>
      <c r="M38" s="20" t="n">
        <v>-0.0118383695023029</v>
      </c>
      <c r="N38" s="20" t="n">
        <v>-0.00792344097181363</v>
      </c>
      <c r="O38" s="20" t="n">
        <v>-0.00644291795933948</v>
      </c>
      <c r="P38" s="20" t="n">
        <v>0.0519597510025378</v>
      </c>
      <c r="Q38" s="20" t="n">
        <v>-0.0203857916654601</v>
      </c>
      <c r="R38" s="20" t="n">
        <v>-0.00754872343303336</v>
      </c>
      <c r="S38" s="20" t="n">
        <v>-0.00104769300331497</v>
      </c>
      <c r="T38" s="20" t="n">
        <v>-0.00716850959723514</v>
      </c>
      <c r="U38" s="20" t="n">
        <v>-0.0135573435315325</v>
      </c>
      <c r="V38" s="20" t="n">
        <v>-0.0124522488131839</v>
      </c>
      <c r="W38" s="20" t="n">
        <v>0.00667920863055959</v>
      </c>
      <c r="X38" s="20" t="n">
        <v>0.0352508884232127</v>
      </c>
    </row>
    <row r="39" customFormat="false" ht="13.5" hidden="false" customHeight="true" outlineLevel="0" collapsed="false">
      <c r="A39" s="47" t="n">
        <v>42426</v>
      </c>
      <c r="B39" s="20" t="n">
        <v>-0.00760286494517714</v>
      </c>
      <c r="C39" s="20" t="n">
        <v>-0.00888287385542518</v>
      </c>
      <c r="D39" s="20" t="n">
        <v>-0.0219788859867247</v>
      </c>
      <c r="E39" s="20" t="n">
        <v>0.00320256166908761</v>
      </c>
      <c r="F39" s="20" t="n">
        <v>-0.0142745762115068</v>
      </c>
      <c r="G39" s="20" t="n">
        <v>0.0115928486060563</v>
      </c>
      <c r="H39" s="20" t="n">
        <v>0.0257248668307636</v>
      </c>
      <c r="I39" s="20" t="n">
        <v>0.0326501712303461</v>
      </c>
      <c r="J39" s="20" t="n">
        <v>0.00809720241664191</v>
      </c>
      <c r="K39" s="20" t="n">
        <v>-0.0286679199439894</v>
      </c>
      <c r="L39" s="20" t="n">
        <v>0.0814609518453481</v>
      </c>
      <c r="M39" s="20" t="n">
        <v>-0.0186983567745238</v>
      </c>
      <c r="N39" s="20" t="n">
        <v>0.0138251074512028</v>
      </c>
      <c r="O39" s="20" t="n">
        <v>-0.00485962891379632</v>
      </c>
      <c r="P39" s="20" t="n">
        <v>0.0825711330630001</v>
      </c>
      <c r="Q39" s="20" t="n">
        <v>-0.00688859964883237</v>
      </c>
      <c r="R39" s="20" t="n">
        <v>-0.00503009312455393</v>
      </c>
      <c r="S39" s="20" t="n">
        <v>0.00104769300331497</v>
      </c>
      <c r="T39" s="20" t="n">
        <v>-0.00874694839280243</v>
      </c>
      <c r="U39" s="20" t="n">
        <v>0.000487349195709363</v>
      </c>
      <c r="V39" s="20" t="n">
        <v>-0.00515381546709381</v>
      </c>
      <c r="W39" s="20" t="n">
        <v>-0.0242142907970608</v>
      </c>
      <c r="X39" s="20" t="n">
        <v>-0.0225998106060827</v>
      </c>
    </row>
    <row r="40" customFormat="false" ht="13.5" hidden="false" customHeight="true" outlineLevel="0" collapsed="false">
      <c r="A40" s="47" t="n">
        <v>42429</v>
      </c>
      <c r="B40" s="20" t="n">
        <v>0.0251708572484732</v>
      </c>
      <c r="C40" s="20" t="n">
        <v>0.0250776215559307</v>
      </c>
      <c r="D40" s="20" t="n">
        <v>0.0102252911747573</v>
      </c>
      <c r="E40" s="20" t="n">
        <v>0.0453202488039075</v>
      </c>
      <c r="F40" s="20" t="n">
        <v>0.0521315326814324</v>
      </c>
      <c r="G40" s="20" t="n">
        <v>0.0176336146195916</v>
      </c>
      <c r="H40" s="20" t="n">
        <v>0.0615578957953868</v>
      </c>
      <c r="I40" s="20" t="n">
        <v>-0.0297683275285609</v>
      </c>
      <c r="J40" s="20" t="n">
        <v>0.010695278889458</v>
      </c>
      <c r="K40" s="20" t="n">
        <v>-0.0112487018261372</v>
      </c>
      <c r="L40" s="20" t="n">
        <v>0.0847412238935105</v>
      </c>
      <c r="M40" s="20" t="n">
        <v>0.0123934204987281</v>
      </c>
      <c r="N40" s="20" t="n">
        <v>0.0171775631268702</v>
      </c>
      <c r="O40" s="20" t="n">
        <v>0.0118376046229986</v>
      </c>
      <c r="P40" s="20" t="n">
        <v>0.00232834300860318</v>
      </c>
      <c r="Q40" s="20" t="n">
        <v>0.0625202970520726</v>
      </c>
      <c r="R40" s="20" t="n">
        <v>0.0115620551909492</v>
      </c>
      <c r="S40" s="20" t="n">
        <v>0.0207261105448801</v>
      </c>
      <c r="T40" s="20" t="n">
        <v>0.024524889455344</v>
      </c>
      <c r="U40" s="20" t="n">
        <v>0.0025952950236725</v>
      </c>
      <c r="V40" s="20" t="n">
        <v>0.0363099877917907</v>
      </c>
      <c r="W40" s="20" t="n">
        <v>0.0376456636968862</v>
      </c>
      <c r="X40" s="20" t="n">
        <v>0.0479735375064245</v>
      </c>
    </row>
    <row r="41" customFormat="false" ht="13.5" hidden="false" customHeight="true" outlineLevel="0" collapsed="false">
      <c r="A41" s="47" t="n">
        <v>42430</v>
      </c>
      <c r="B41" s="20" t="n">
        <v>0.0142612085437363</v>
      </c>
      <c r="C41" s="20" t="n">
        <v>0.00999003209938287</v>
      </c>
      <c r="D41" s="20" t="n">
        <v>0.0174438714154856</v>
      </c>
      <c r="E41" s="20" t="n">
        <v>0.00988226304375361</v>
      </c>
      <c r="F41" s="20" t="n">
        <v>0.0165417509989449</v>
      </c>
      <c r="G41" s="20" t="n">
        <v>0.000738343673881036</v>
      </c>
      <c r="H41" s="20" t="n">
        <v>0.0380719128553699</v>
      </c>
      <c r="I41" s="20" t="n">
        <v>0.0339495475584592</v>
      </c>
      <c r="J41" s="20" t="n">
        <v>0.0158314502773411</v>
      </c>
      <c r="K41" s="20" t="n">
        <v>0.0179376704198539</v>
      </c>
      <c r="L41" s="20" t="n">
        <v>0.12608185509634</v>
      </c>
      <c r="M41" s="20" t="n">
        <v>-0.00199937996739274</v>
      </c>
      <c r="N41" s="20" t="n">
        <v>0.000963506709398487</v>
      </c>
      <c r="O41" s="20" t="n">
        <v>0.00799149817746425</v>
      </c>
      <c r="P41" s="20" t="n">
        <v>0.0652649902595416</v>
      </c>
      <c r="Q41" s="20" t="n">
        <v>0.0064725597855042</v>
      </c>
      <c r="R41" s="20" t="n">
        <v>0.00335138892010444</v>
      </c>
      <c r="S41" s="20" t="n">
        <v>0.0192996934437661</v>
      </c>
      <c r="T41" s="20" t="n">
        <v>0.00260561083283583</v>
      </c>
      <c r="U41" s="20" t="n">
        <v>-0.00373285417775282</v>
      </c>
      <c r="V41" s="20" t="n">
        <v>0.0105329395517621</v>
      </c>
      <c r="W41" s="20" t="n">
        <v>0.017296157418897</v>
      </c>
      <c r="X41" s="20" t="n">
        <v>0.0119113108435593</v>
      </c>
    </row>
    <row r="42" customFormat="false" ht="13.5" hidden="false" customHeight="true" outlineLevel="0" collapsed="false">
      <c r="A42" s="47" t="n">
        <v>42431</v>
      </c>
      <c r="B42" s="20" t="n">
        <v>0.0109450196333487</v>
      </c>
      <c r="C42" s="20" t="n">
        <v>0.00132450859427901</v>
      </c>
      <c r="D42" s="20" t="n">
        <v>-0.0104570337091214</v>
      </c>
      <c r="E42" s="20" t="n">
        <v>0.0239174100443841</v>
      </c>
      <c r="F42" s="20" t="n">
        <v>0.006688999529461</v>
      </c>
      <c r="G42" s="20" t="n">
        <v>-0.072689791088857</v>
      </c>
      <c r="H42" s="20" t="n">
        <v>0.116505081367344</v>
      </c>
      <c r="I42" s="20" t="n">
        <v>0.0402098560178925</v>
      </c>
      <c r="J42" s="20" t="n">
        <v>0.013004072327617</v>
      </c>
      <c r="K42" s="20" t="n">
        <v>0</v>
      </c>
      <c r="L42" s="20" t="n">
        <v>0.124190381190216</v>
      </c>
      <c r="M42" s="20" t="n">
        <v>-0.00300652152956182</v>
      </c>
      <c r="N42" s="20" t="n">
        <v>0.0070378159680815</v>
      </c>
      <c r="O42" s="20" t="n">
        <v>0.00792824053877749</v>
      </c>
      <c r="P42" s="20" t="n">
        <v>0.071458895918844</v>
      </c>
      <c r="Q42" s="20" t="n">
        <v>0.0400475121465737</v>
      </c>
      <c r="R42" s="20" t="n">
        <v>0.0075754114184301</v>
      </c>
      <c r="S42" s="20" t="n">
        <v>-0.0141845733142549</v>
      </c>
      <c r="T42" s="20" t="n">
        <v>-0.00111581856626319</v>
      </c>
      <c r="U42" s="20" t="n">
        <v>0.011800016412657</v>
      </c>
      <c r="V42" s="20" t="n">
        <v>0.00153962267436114</v>
      </c>
      <c r="W42" s="20" t="n">
        <v>0.00402659619202383</v>
      </c>
      <c r="X42" s="20" t="n">
        <v>0.0328245894907124</v>
      </c>
    </row>
    <row r="43" customFormat="false" ht="13.5" hidden="false" customHeight="true" outlineLevel="0" collapsed="false">
      <c r="A43" s="47" t="n">
        <v>42432</v>
      </c>
      <c r="B43" s="20" t="n">
        <v>0</v>
      </c>
      <c r="C43" s="20" t="n">
        <v>0.00791042087805049</v>
      </c>
      <c r="D43" s="20" t="n">
        <v>0.00476675710560314</v>
      </c>
      <c r="E43" s="20" t="n">
        <v>0.00368597472423104</v>
      </c>
      <c r="F43" s="20" t="n">
        <v>0.0029585792223914</v>
      </c>
      <c r="G43" s="20" t="n">
        <v>-0.0257248669129444</v>
      </c>
      <c r="H43" s="20" t="n">
        <v>0.0727369494555412</v>
      </c>
      <c r="I43" s="20" t="n">
        <v>0.0106313190949731</v>
      </c>
      <c r="J43" s="20" t="n">
        <v>0.0102829184784634</v>
      </c>
      <c r="K43" s="20" t="n">
        <v>-0.00892858233594506</v>
      </c>
      <c r="L43" s="20" t="n">
        <v>0.0636256895230185</v>
      </c>
      <c r="M43" s="20" t="n">
        <v>-0.00604029721686627</v>
      </c>
      <c r="N43" s="20" t="n">
        <v>0.00698857068892833</v>
      </c>
      <c r="O43" s="20" t="n">
        <v>-0.00158064763476861</v>
      </c>
      <c r="P43" s="20" t="n">
        <v>0.103939624842854</v>
      </c>
      <c r="Q43" s="20" t="n">
        <v>0.0483964943169337</v>
      </c>
      <c r="R43" s="20" t="n">
        <v>-0.00100672993621131</v>
      </c>
      <c r="S43" s="20" t="n">
        <v>-0.0051151201295112</v>
      </c>
      <c r="T43" s="20" t="n">
        <v>-0.00260859481157904</v>
      </c>
      <c r="U43" s="20" t="n">
        <v>0.0119800171793515</v>
      </c>
      <c r="V43" s="20" t="n">
        <v>-0.00447153497462071</v>
      </c>
      <c r="W43" s="20" t="n">
        <v>0.00680819908382313</v>
      </c>
      <c r="X43" s="20" t="n">
        <v>0.00726517914473978</v>
      </c>
    </row>
    <row r="44" customFormat="false" ht="13.5" hidden="false" customHeight="true" outlineLevel="0" collapsed="false">
      <c r="A44" s="47" t="n">
        <v>42433</v>
      </c>
      <c r="B44" s="20" t="n">
        <v>0.0169098533350755</v>
      </c>
      <c r="C44" s="20" t="n">
        <v>-0.0055967274373212</v>
      </c>
      <c r="D44" s="20" t="n">
        <v>-0.0027210485937692</v>
      </c>
      <c r="E44" s="20" t="n">
        <v>0.00220505292794337</v>
      </c>
      <c r="F44" s="20" t="n">
        <v>-0.000738842220132429</v>
      </c>
      <c r="G44" s="20" t="n">
        <v>0.00568411562092352</v>
      </c>
      <c r="H44" s="20" t="n">
        <v>-0.0192082554946415</v>
      </c>
      <c r="I44" s="20" t="n">
        <v>0.0508966498444647</v>
      </c>
      <c r="J44" s="20" t="n">
        <v>-0.00256081836006871</v>
      </c>
      <c r="K44" s="20" t="n">
        <v>-0.0482297769638058</v>
      </c>
      <c r="L44" s="20" t="n">
        <v>0.059818489591972</v>
      </c>
      <c r="M44" s="20" t="n">
        <v>0.0026891387988428</v>
      </c>
      <c r="N44" s="20" t="n">
        <v>0.00568184304584873</v>
      </c>
      <c r="O44" s="20" t="n">
        <v>0.00525903813536521</v>
      </c>
      <c r="P44" s="20" t="n">
        <v>0.109010177467559</v>
      </c>
      <c r="Q44" s="20" t="n">
        <v>-0.00790517205746388</v>
      </c>
      <c r="R44" s="20" t="n">
        <v>-0.00870011176745855</v>
      </c>
      <c r="S44" s="20" t="n">
        <v>0.0421749325525753</v>
      </c>
      <c r="T44" s="20" t="n">
        <v>0.0126067728687986</v>
      </c>
      <c r="U44" s="20" t="n">
        <v>-0.0187520225153567</v>
      </c>
      <c r="V44" s="20" t="n">
        <v>0.0271357933647493</v>
      </c>
      <c r="W44" s="20" t="n">
        <v>-0.000798580904997514</v>
      </c>
      <c r="X44" s="20" t="n">
        <v>-0.00935073333606739</v>
      </c>
    </row>
    <row r="45" customFormat="false" ht="13.5" hidden="false" customHeight="true" outlineLevel="0" collapsed="false">
      <c r="A45" s="47" t="n">
        <v>42436</v>
      </c>
      <c r="B45" s="20" t="n">
        <v>-0.00773577790470003</v>
      </c>
      <c r="C45" s="20" t="n">
        <v>-0.00762222040987481</v>
      </c>
      <c r="D45" s="20" t="n">
        <v>-0.00546451526061986</v>
      </c>
      <c r="E45" s="20" t="n">
        <v>-0.0290523487925145</v>
      </c>
      <c r="F45" s="20" t="n">
        <v>-0.0353552664684424</v>
      </c>
      <c r="G45" s="20" t="n">
        <v>-0.000810011639278851</v>
      </c>
      <c r="H45" s="20" t="n">
        <v>0.0239532184503195</v>
      </c>
      <c r="I45" s="20" t="n">
        <v>-0.022872639490671</v>
      </c>
      <c r="J45" s="20" t="n">
        <v>-0.00514139445852457</v>
      </c>
      <c r="K45" s="20" t="n">
        <v>0.0301296987057493</v>
      </c>
      <c r="L45" s="20" t="n">
        <v>-0.150572878988499</v>
      </c>
      <c r="M45" s="20" t="n">
        <v>-0.0145395729230419</v>
      </c>
      <c r="N45" s="20" t="n">
        <v>-0.00821749965713447</v>
      </c>
      <c r="O45" s="20" t="n">
        <v>-0.00104961738543973</v>
      </c>
      <c r="P45" s="20" t="n">
        <v>-0.155791393843884</v>
      </c>
      <c r="Q45" s="20" t="n">
        <v>-0.00796816208033313</v>
      </c>
      <c r="R45" s="20" t="n">
        <v>0.00627980134696848</v>
      </c>
      <c r="S45" s="20" t="n">
        <v>-0.03298649099127</v>
      </c>
      <c r="T45" s="20" t="n">
        <v>-0.00332165483001434</v>
      </c>
      <c r="U45" s="20" t="n">
        <v>0.00789622765806363</v>
      </c>
      <c r="V45" s="20" t="n">
        <v>-0.00346509917389425</v>
      </c>
      <c r="W45" s="20" t="n">
        <v>-0.0205818497898198</v>
      </c>
      <c r="X45" s="20" t="n">
        <v>-0.0243011999193956</v>
      </c>
    </row>
    <row r="46" customFormat="false" ht="13.5" hidden="false" customHeight="true" outlineLevel="0" collapsed="false">
      <c r="A46" s="47" t="n">
        <v>42437</v>
      </c>
      <c r="B46" s="20" t="n">
        <v>0.00958928405187631</v>
      </c>
      <c r="C46" s="20" t="n">
        <v>-0.000332774114855549</v>
      </c>
      <c r="D46" s="20" t="n">
        <v>0.00737004717411426</v>
      </c>
      <c r="E46" s="20" t="n">
        <v>-0.00302800861045726</v>
      </c>
      <c r="F46" s="20" t="n">
        <v>0.00610688320632712</v>
      </c>
      <c r="G46" s="20" t="n">
        <v>0.0211153347130235</v>
      </c>
      <c r="H46" s="20" t="n">
        <v>-0.0119048913553942</v>
      </c>
      <c r="I46" s="20" t="n">
        <v>0.00959390897782741</v>
      </c>
      <c r="J46" s="20" t="n">
        <v>0.0178804078545937</v>
      </c>
      <c r="K46" s="20" t="n">
        <v>-0.0419642156234774</v>
      </c>
      <c r="L46" s="20" t="n">
        <v>-0.0176549182521554</v>
      </c>
      <c r="M46" s="20" t="n">
        <v>0.0128597088010593</v>
      </c>
      <c r="N46" s="20" t="n">
        <v>0.000634532301531542</v>
      </c>
      <c r="O46" s="20" t="n">
        <v>-0.00289209116511202</v>
      </c>
      <c r="P46" s="20" t="n">
        <v>0.0412817096849418</v>
      </c>
      <c r="Q46" s="20" t="n">
        <v>0</v>
      </c>
      <c r="R46" s="20" t="n">
        <v>0.0148328610994106</v>
      </c>
      <c r="S46" s="20" t="n">
        <v>0.00304411527950421</v>
      </c>
      <c r="T46" s="20" t="n">
        <v>0.0204910709605359</v>
      </c>
      <c r="U46" s="20" t="n">
        <v>0.00815290478331132</v>
      </c>
      <c r="V46" s="20" t="n">
        <v>-0.0109257718722171</v>
      </c>
      <c r="W46" s="20" t="n">
        <v>-0.00531477786465384</v>
      </c>
      <c r="X46" s="20" t="n">
        <v>-0.00107011552171165</v>
      </c>
    </row>
    <row r="47" customFormat="false" ht="13.5" hidden="false" customHeight="true" outlineLevel="0" collapsed="false">
      <c r="A47" s="47" t="n">
        <v>42438</v>
      </c>
      <c r="B47" s="20" t="n">
        <v>-0.00156807741266717</v>
      </c>
      <c r="C47" s="20" t="n">
        <v>-0.00366724642647753</v>
      </c>
      <c r="D47" s="20" t="n">
        <v>-0.00709615806781194</v>
      </c>
      <c r="E47" s="20" t="n">
        <v>-0.00303720530130924</v>
      </c>
      <c r="F47" s="20" t="n">
        <v>0.00984484365572013</v>
      </c>
      <c r="G47" s="20" t="n">
        <v>-0.00211813238008096</v>
      </c>
      <c r="H47" s="20" t="n">
        <v>0.052490223844968</v>
      </c>
      <c r="I47" s="20" t="n">
        <v>0.0496688170995343</v>
      </c>
      <c r="J47" s="20" t="n">
        <v>-0.0178804078545937</v>
      </c>
      <c r="K47" s="20" t="n">
        <v>-0.0119761799328258</v>
      </c>
      <c r="L47" s="20" t="n">
        <v>-0.0128042597374715</v>
      </c>
      <c r="M47" s="20" t="n">
        <v>-0.00505646176705854</v>
      </c>
      <c r="N47" s="20" t="n">
        <v>0.00569256434387588</v>
      </c>
      <c r="O47" s="20" t="n">
        <v>0.0086513012279763</v>
      </c>
      <c r="P47" s="20" t="n">
        <v>-0.0223057357655893</v>
      </c>
      <c r="Q47" s="20" t="n">
        <v>0.0198026085966831</v>
      </c>
      <c r="R47" s="20" t="n">
        <v>-0.0118084064649082</v>
      </c>
      <c r="S47" s="20" t="n">
        <v>0.0130852511434804</v>
      </c>
      <c r="T47" s="20" t="n">
        <v>-0.00836525883926775</v>
      </c>
      <c r="U47" s="20" t="n">
        <v>0.0030204080610332</v>
      </c>
      <c r="V47" s="20" t="n">
        <v>-0.00919685297015604</v>
      </c>
      <c r="W47" s="20" t="n">
        <v>-0.00575546493570122</v>
      </c>
      <c r="X47" s="20" t="n">
        <v>0.0211872128837762</v>
      </c>
    </row>
    <row r="48" customFormat="false" ht="13.5" hidden="false" customHeight="true" outlineLevel="0" collapsed="false">
      <c r="A48" s="47" t="n">
        <v>42439</v>
      </c>
      <c r="B48" s="20" t="n">
        <v>0.0153604021339468</v>
      </c>
      <c r="C48" s="20" t="n">
        <v>0.0132715797739186</v>
      </c>
      <c r="D48" s="20" t="n">
        <v>0.0220772141709471</v>
      </c>
      <c r="E48" s="20" t="n">
        <v>0.0105901402401338</v>
      </c>
      <c r="F48" s="20" t="n">
        <v>0.0384378061986852</v>
      </c>
      <c r="G48" s="20" t="n">
        <v>0.0238324717048681</v>
      </c>
      <c r="H48" s="20" t="n">
        <v>0.0180184879405957</v>
      </c>
      <c r="I48" s="20" t="n">
        <v>-0.00851582914567039</v>
      </c>
      <c r="J48" s="20" t="n">
        <v>0.00770221281859329</v>
      </c>
      <c r="K48" s="20" t="n">
        <v>0</v>
      </c>
      <c r="L48" s="20" t="n">
        <v>-0.0129703998577992</v>
      </c>
      <c r="M48" s="20" t="n">
        <v>0.0302902120445094</v>
      </c>
      <c r="N48" s="20" t="n">
        <v>0.00503309508389149</v>
      </c>
      <c r="O48" s="20" t="n">
        <v>0.00130427136702326</v>
      </c>
      <c r="P48" s="20" t="n">
        <v>0.0530774077132352</v>
      </c>
      <c r="Q48" s="20" t="n">
        <v>-0.0218046571354606</v>
      </c>
      <c r="R48" s="20" t="n">
        <v>0.0102154547650386</v>
      </c>
      <c r="S48" s="20" t="n">
        <v>0.0276151410574079</v>
      </c>
      <c r="T48" s="20" t="n">
        <v>0.0173792010504958</v>
      </c>
      <c r="U48" s="20" t="n">
        <v>-0.0158390910974253</v>
      </c>
      <c r="V48" s="20" t="n">
        <v>0.000307877490214991</v>
      </c>
      <c r="W48" s="20" t="n">
        <v>0.0316520925901748</v>
      </c>
      <c r="X48" s="20" t="n">
        <v>0.0289276098278499</v>
      </c>
    </row>
    <row r="49" customFormat="false" ht="13.5" hidden="false" customHeight="true" outlineLevel="0" collapsed="false">
      <c r="A49" s="47" t="n">
        <v>42440</v>
      </c>
      <c r="B49" s="20" t="n">
        <v>0.00294591059540305</v>
      </c>
      <c r="C49" s="20" t="n">
        <v>-0.00230981058286028</v>
      </c>
      <c r="D49" s="20" t="n">
        <v>-0.00996235808062007</v>
      </c>
      <c r="E49" s="20" t="n">
        <v>-0.00150598701455484</v>
      </c>
      <c r="F49" s="20" t="n">
        <v>-0.0109370114533269</v>
      </c>
      <c r="G49" s="20" t="n">
        <v>-0.00649100043447514</v>
      </c>
      <c r="H49" s="20" t="n">
        <v>-0.0191554966088125</v>
      </c>
      <c r="I49" s="20" t="n">
        <v>-0.0341754996005874</v>
      </c>
      <c r="J49" s="20" t="n">
        <v>0.00255427731625523</v>
      </c>
      <c r="K49" s="20" t="n">
        <v>0.0562209368482313</v>
      </c>
      <c r="L49" s="20" t="n">
        <v>-0.0291411072964871</v>
      </c>
      <c r="M49" s="20" t="n">
        <v>-0.013201499185123</v>
      </c>
      <c r="N49" s="20" t="n">
        <v>0.00250704994044648</v>
      </c>
      <c r="O49" s="20" t="n">
        <v>-0.00104332078760105</v>
      </c>
      <c r="P49" s="20" t="n">
        <v>-0.0234456388934762</v>
      </c>
      <c r="Q49" s="20" t="n">
        <v>-0.0161619531658574</v>
      </c>
      <c r="R49" s="20" t="n">
        <v>0.0065547562296766</v>
      </c>
      <c r="S49" s="20" t="n">
        <v>-0.00194737200065953</v>
      </c>
      <c r="T49" s="20" t="n">
        <v>-0.00575954952323565</v>
      </c>
      <c r="U49" s="20" t="n">
        <v>0</v>
      </c>
      <c r="V49" s="20" t="n">
        <v>-0.0130153111833335</v>
      </c>
      <c r="W49" s="20" t="n">
        <v>-0.00380187802133757</v>
      </c>
      <c r="X49" s="20" t="n">
        <v>-0.0081799971341292</v>
      </c>
    </row>
    <row r="50" customFormat="false" ht="13.5" hidden="false" customHeight="true" outlineLevel="0" collapsed="false">
      <c r="A50" s="47" t="n">
        <v>42443</v>
      </c>
      <c r="B50" s="20" t="n">
        <v>0.00125994228965264</v>
      </c>
      <c r="C50" s="20" t="n">
        <v>0.000330290407942079</v>
      </c>
      <c r="D50" s="20" t="n">
        <v>-0.0367937579099502</v>
      </c>
      <c r="E50" s="20" t="n">
        <v>-0.00301893931381247</v>
      </c>
      <c r="F50" s="20" t="n">
        <v>-0.0051452262278322</v>
      </c>
      <c r="G50" s="20" t="n">
        <v>-0.00653340894464626</v>
      </c>
      <c r="H50" s="20" t="n">
        <v>-0.0792845731764946</v>
      </c>
      <c r="I50" s="20" t="n">
        <v>0.0125630271657208</v>
      </c>
      <c r="J50" s="20" t="n">
        <v>-0.00511509567632395</v>
      </c>
      <c r="K50" s="20" t="n">
        <v>-0.0183913601437993</v>
      </c>
      <c r="L50" s="20" t="n">
        <v>-0.049596959606275</v>
      </c>
      <c r="M50" s="20" t="n">
        <v>-0.0187798763322084</v>
      </c>
      <c r="N50" s="20" t="n">
        <v>-0.0199153433239089</v>
      </c>
      <c r="O50" s="20" t="n">
        <v>0.00520565367493475</v>
      </c>
      <c r="P50" s="20" t="n">
        <v>-0.00365630769704883</v>
      </c>
      <c r="Q50" s="20" t="n">
        <v>-0.0184999470525635</v>
      </c>
      <c r="R50" s="20" t="n">
        <v>0.0015826280704374</v>
      </c>
      <c r="S50" s="20" t="n">
        <v>-0.00390625114717257</v>
      </c>
      <c r="T50" s="20" t="n">
        <v>-0.00144512001617513</v>
      </c>
      <c r="U50" s="20" t="n">
        <v>-0.00242185817052398</v>
      </c>
      <c r="V50" s="20" t="n">
        <v>-0.00688582424791839</v>
      </c>
      <c r="W50" s="20" t="n">
        <v>0.00200277402233606</v>
      </c>
      <c r="X50" s="20" t="n">
        <v>-0.00824746172670298</v>
      </c>
    </row>
    <row r="51" customFormat="false" ht="13.5" hidden="false" customHeight="true" outlineLevel="0" collapsed="false">
      <c r="A51" s="47" t="n">
        <v>42444</v>
      </c>
      <c r="B51" s="20" t="n">
        <v>0.012719452609212</v>
      </c>
      <c r="C51" s="20" t="n">
        <v>-0.00363940568877874</v>
      </c>
      <c r="D51" s="20" t="n">
        <v>0.017256279614962</v>
      </c>
      <c r="E51" s="20" t="n">
        <v>0.0202027419179486</v>
      </c>
      <c r="F51" s="20" t="n">
        <v>-0.0193457874243301</v>
      </c>
      <c r="G51" s="20" t="n">
        <v>0.0122477419149182</v>
      </c>
      <c r="H51" s="20" t="n">
        <v>-0.0274673677174026</v>
      </c>
      <c r="I51" s="20" t="n">
        <v>0.0587869519975545</v>
      </c>
      <c r="J51" s="20" t="n">
        <v>0.0127390133960691</v>
      </c>
      <c r="K51" s="20" t="n">
        <v>0.00923795974203189</v>
      </c>
      <c r="L51" s="20" t="n">
        <v>0.117155107718977</v>
      </c>
      <c r="M51" s="20" t="n">
        <v>-0.0170710866130159</v>
      </c>
      <c r="N51" s="20" t="n">
        <v>0.0267774229540482</v>
      </c>
      <c r="O51" s="20" t="n">
        <v>0.00646916467628289</v>
      </c>
      <c r="P51" s="20" t="n">
        <v>0.102609506825734</v>
      </c>
      <c r="Q51" s="20" t="n">
        <v>-0.00207689145537748</v>
      </c>
      <c r="R51" s="20" t="n">
        <v>-0.0019786012056393</v>
      </c>
      <c r="S51" s="20" t="n">
        <v>0.00488045760974298</v>
      </c>
      <c r="T51" s="20" t="n">
        <v>0.00792223507063649</v>
      </c>
      <c r="U51" s="20" t="n">
        <v>0.00338899838533901</v>
      </c>
      <c r="V51" s="20" t="n">
        <v>-0.0164665043897125</v>
      </c>
      <c r="W51" s="20" t="n">
        <v>-0.0088424737060877</v>
      </c>
      <c r="X51" s="20" t="n">
        <v>-0.0188093644489564</v>
      </c>
    </row>
    <row r="52" customFormat="false" ht="13.5" hidden="false" customHeight="true" outlineLevel="0" collapsed="false">
      <c r="A52" s="47" t="n">
        <v>42445</v>
      </c>
      <c r="B52" s="20" t="n">
        <v>0.0154202425235938</v>
      </c>
      <c r="C52" s="20" t="n">
        <v>0.0258479811520691</v>
      </c>
      <c r="D52" s="20" t="n">
        <v>-0.0483350514401452</v>
      </c>
      <c r="E52" s="20" t="n">
        <v>-0.00222467519814628</v>
      </c>
      <c r="F52" s="20" t="n">
        <v>0.00673901455553194</v>
      </c>
      <c r="G52" s="20" t="n">
        <v>-0.0135595415877705</v>
      </c>
      <c r="H52" s="20" t="n">
        <v>0.127022885509747</v>
      </c>
      <c r="I52" s="20" t="n">
        <v>-0.00827424277475508</v>
      </c>
      <c r="J52" s="20" t="n">
        <v>-0.00253485315205592</v>
      </c>
      <c r="K52" s="20" t="n">
        <v>-0.035091356513638</v>
      </c>
      <c r="L52" s="20" t="n">
        <v>0.0585532542416213</v>
      </c>
      <c r="M52" s="20" t="n">
        <v>0.010277556432495</v>
      </c>
      <c r="N52" s="20" t="n">
        <v>-0.0274162111618072</v>
      </c>
      <c r="O52" s="20" t="n">
        <v>0.00898705437305702</v>
      </c>
      <c r="P52" s="20" t="n">
        <v>0.0196405467134301</v>
      </c>
      <c r="Q52" s="20" t="n">
        <v>0.0486912088350233</v>
      </c>
      <c r="R52" s="20" t="n">
        <v>0.00128652846550014</v>
      </c>
      <c r="S52" s="20" t="n">
        <v>0</v>
      </c>
      <c r="T52" s="20" t="n">
        <v>0.0110577682802581</v>
      </c>
      <c r="U52" s="20" t="n">
        <v>0.00418010468861673</v>
      </c>
      <c r="V52" s="20" t="n">
        <v>-0.0188547711613127</v>
      </c>
      <c r="W52" s="20" t="n">
        <v>0.00382792097988549</v>
      </c>
      <c r="X52" s="20" t="n">
        <v>0.00735690648525366</v>
      </c>
    </row>
    <row r="53" customFormat="false" ht="13.5" hidden="false" customHeight="true" outlineLevel="0" collapsed="false">
      <c r="A53" s="47" t="n">
        <v>42446</v>
      </c>
      <c r="B53" s="20" t="n">
        <v>0.000340006486950983</v>
      </c>
      <c r="C53" s="20" t="n">
        <v>-0.00129276582145632</v>
      </c>
      <c r="D53" s="20" t="n">
        <v>0.0269997039833684</v>
      </c>
      <c r="E53" s="20" t="n">
        <v>0.0125416673393683</v>
      </c>
      <c r="F53" s="20" t="n">
        <v>0.0286890105499573</v>
      </c>
      <c r="G53" s="20" t="n">
        <v>0.012263720860242</v>
      </c>
      <c r="H53" s="20" t="n">
        <v>0.0187746914497943</v>
      </c>
      <c r="I53" s="20" t="n">
        <v>0.00118626686744161</v>
      </c>
      <c r="J53" s="20" t="n">
        <v>0.00253485315205592</v>
      </c>
      <c r="K53" s="20" t="n">
        <v>0.00947876336755737</v>
      </c>
      <c r="L53" s="20" t="n">
        <v>-0.0119190242236808</v>
      </c>
      <c r="M53" s="20" t="n">
        <v>0.00374215808834499</v>
      </c>
      <c r="N53" s="20" t="n">
        <v>0.0126986317796804</v>
      </c>
      <c r="O53" s="20" t="n">
        <v>-0.014418312506319</v>
      </c>
      <c r="P53" s="20" t="n">
        <v>-0.0179890596437004</v>
      </c>
      <c r="Q53" s="20" t="n">
        <v>0.00788957948385782</v>
      </c>
      <c r="R53" s="20" t="n">
        <v>0.00463764425902102</v>
      </c>
      <c r="S53" s="20" t="n">
        <v>0.00968994269230272</v>
      </c>
      <c r="T53" s="20" t="n">
        <v>0.00495398707842831</v>
      </c>
      <c r="U53" s="20" t="n">
        <v>-0.0127554954266955</v>
      </c>
      <c r="V53" s="20" t="n">
        <v>0.0218834247804196</v>
      </c>
      <c r="W53" s="20" t="n">
        <v>0.0161567565532871</v>
      </c>
      <c r="X53" s="20" t="n">
        <v>0.0124871428900834</v>
      </c>
    </row>
    <row r="54" customFormat="false" ht="13.5" hidden="false" customHeight="true" outlineLevel="0" collapsed="false">
      <c r="A54" s="47" t="n">
        <v>42447</v>
      </c>
      <c r="B54" s="20" t="n">
        <v>0.0104154095787505</v>
      </c>
      <c r="C54" s="20" t="n">
        <v>0.00548294129424231</v>
      </c>
      <c r="D54" s="20" t="n">
        <v>-0.00991505237939982</v>
      </c>
      <c r="E54" s="20" t="n">
        <v>0.00146516538662178</v>
      </c>
      <c r="F54" s="20" t="n">
        <v>0.00361927217572732</v>
      </c>
      <c r="G54" s="20" t="n">
        <v>-0.0112141034748023</v>
      </c>
      <c r="H54" s="20" t="n">
        <v>-0.00219057930330057</v>
      </c>
      <c r="I54" s="20" t="n">
        <v>-0.00237394263546164</v>
      </c>
      <c r="J54" s="20" t="n">
        <v>-0.0101781950360004</v>
      </c>
      <c r="K54" s="20" t="n">
        <v>0</v>
      </c>
      <c r="L54" s="20" t="n">
        <v>0.014285943460665</v>
      </c>
      <c r="M54" s="20" t="n">
        <v>0.0208340508477338</v>
      </c>
      <c r="N54" s="20" t="n">
        <v>0</v>
      </c>
      <c r="O54" s="20" t="n">
        <v>0.00929270491443912</v>
      </c>
      <c r="P54" s="20" t="n">
        <v>-0.0132892194868163</v>
      </c>
      <c r="Q54" s="20" t="n">
        <v>0.00977519295110296</v>
      </c>
      <c r="R54" s="20" t="n">
        <v>0.00157383499882168</v>
      </c>
      <c r="S54" s="20" t="n">
        <v>0.0105516240074878</v>
      </c>
      <c r="T54" s="20" t="n">
        <v>-0.00495398707842831</v>
      </c>
      <c r="U54" s="20" t="n">
        <v>0.00292066250219669</v>
      </c>
      <c r="V54" s="20" t="n">
        <v>-0.00207123575088719</v>
      </c>
      <c r="W54" s="20" t="n">
        <v>0.00256886327600369</v>
      </c>
      <c r="X54" s="20" t="n">
        <v>0.00206606524361774</v>
      </c>
    </row>
    <row r="55" customFormat="false" ht="13.5" hidden="false" customHeight="true" outlineLevel="0" collapsed="false">
      <c r="A55" s="47" t="n">
        <v>42450</v>
      </c>
      <c r="B55" s="20" t="n">
        <v>-0.00357226652705922</v>
      </c>
      <c r="C55" s="20" t="n">
        <v>-0.000965362164429439</v>
      </c>
      <c r="D55" s="20" t="n">
        <v>0.0234940564899055</v>
      </c>
      <c r="E55" s="20" t="n">
        <v>-0.00513760358122139</v>
      </c>
      <c r="F55" s="20" t="n">
        <v>-0.00579711207560817</v>
      </c>
      <c r="G55" s="20" t="n">
        <v>-0.00473187793649021</v>
      </c>
      <c r="H55" s="20" t="n">
        <v>-0.0199341957940653</v>
      </c>
      <c r="I55" s="20" t="n">
        <v>-0.0119547609296954</v>
      </c>
      <c r="J55" s="20" t="n">
        <v>0.00255427731625523</v>
      </c>
      <c r="K55" s="20" t="n">
        <v>-0.0118625240703706</v>
      </c>
      <c r="L55" s="20" t="n">
        <v>0</v>
      </c>
      <c r="M55" s="20" t="n">
        <v>0.0102564826914983</v>
      </c>
      <c r="N55" s="20" t="n">
        <v>-0.0025268466281787</v>
      </c>
      <c r="O55" s="20" t="n">
        <v>-0.00747900594309758</v>
      </c>
      <c r="P55" s="20" t="n">
        <v>0.0182275356252015</v>
      </c>
      <c r="Q55" s="20" t="n">
        <v>0.00194367970208397</v>
      </c>
      <c r="R55" s="20" t="n">
        <v>0.00196391046367772</v>
      </c>
      <c r="S55" s="20" t="n">
        <v>-0.00670176724409632</v>
      </c>
      <c r="T55" s="20" t="n">
        <v>0.00318754123767073</v>
      </c>
      <c r="U55" s="20" t="n">
        <v>-0.0117341830997288</v>
      </c>
      <c r="V55" s="20" t="n">
        <v>0.00159360151846765</v>
      </c>
      <c r="W55" s="20" t="n">
        <v>-0.00593824479878346</v>
      </c>
      <c r="X55" s="20" t="n">
        <v>0.00103148324737212</v>
      </c>
    </row>
    <row r="56" customFormat="false" ht="13.5" hidden="false" customHeight="true" outlineLevel="0" collapsed="false">
      <c r="A56" s="47" t="n">
        <v>42451</v>
      </c>
      <c r="B56" s="20" t="n">
        <v>-0.0183992393638696</v>
      </c>
      <c r="C56" s="20" t="n">
        <v>0.000321890946370473</v>
      </c>
      <c r="D56" s="20" t="n">
        <v>-0.0104830091204819</v>
      </c>
      <c r="E56" s="20" t="n">
        <v>-0.0245822373722162</v>
      </c>
      <c r="F56" s="20" t="n">
        <v>-0.0102265568201023</v>
      </c>
      <c r="G56" s="20" t="n">
        <v>-0.00953146231009061</v>
      </c>
      <c r="H56" s="20" t="n">
        <v>-0.0575533164476509</v>
      </c>
      <c r="I56" s="20" t="n">
        <v>-0.0761916033096583</v>
      </c>
      <c r="J56" s="20" t="n">
        <v>-0.0154245169656201</v>
      </c>
      <c r="K56" s="20" t="n">
        <v>0.00238376070281332</v>
      </c>
      <c r="L56" s="20" t="n">
        <v>-0.0967296533193915</v>
      </c>
      <c r="M56" s="20" t="n">
        <v>-0.00627370813445882</v>
      </c>
      <c r="N56" s="20" t="n">
        <v>-0.0191576858171043</v>
      </c>
      <c r="O56" s="20" t="n">
        <v>-0.00233251758660912</v>
      </c>
      <c r="P56" s="20" t="n">
        <v>-0.0487901563395938</v>
      </c>
      <c r="Q56" s="20" t="n">
        <v>-0.00779730284991631</v>
      </c>
      <c r="R56" s="20" t="n">
        <v>-0.0118415097492192</v>
      </c>
      <c r="S56" s="20" t="n">
        <v>-0.0115943218302896</v>
      </c>
      <c r="T56" s="20" t="n">
        <v>-0.016040292512252</v>
      </c>
      <c r="U56" s="20" t="n">
        <v>0.00669882168325663</v>
      </c>
      <c r="V56" s="20" t="n">
        <v>-0.00735178453857265</v>
      </c>
      <c r="W56" s="20" t="n">
        <v>-0.0121843238524967</v>
      </c>
      <c r="X56" s="20" t="n">
        <v>-0.00724262815212295</v>
      </c>
    </row>
    <row r="57" customFormat="false" ht="13.5" hidden="false" customHeight="true" outlineLevel="0" collapsed="false">
      <c r="A57" s="47" t="n">
        <v>42452</v>
      </c>
      <c r="B57" s="20" t="n">
        <v>0.0173858350972579</v>
      </c>
      <c r="C57" s="20" t="n">
        <v>0.00128659240937567</v>
      </c>
      <c r="D57" s="20" t="n">
        <v>-0.00070272575864827</v>
      </c>
      <c r="E57" s="20" t="n">
        <v>-0.0151978460405897</v>
      </c>
      <c r="F57" s="20" t="n">
        <v>0.00439564218362553</v>
      </c>
      <c r="G57" s="20" t="n">
        <v>0.0015949331385392</v>
      </c>
      <c r="H57" s="20" t="n">
        <v>-0.0107207596973792</v>
      </c>
      <c r="I57" s="20" t="n">
        <v>0.0237266590656006</v>
      </c>
      <c r="J57" s="20" t="n">
        <v>0.00258732117090154</v>
      </c>
      <c r="K57" s="20" t="n">
        <v>-0.0339015492288568</v>
      </c>
      <c r="L57" s="20" t="n">
        <v>0.0507723382828451</v>
      </c>
      <c r="M57" s="20" t="n">
        <v>-0.00365026486336095</v>
      </c>
      <c r="N57" s="20" t="n">
        <v>0.00450304360018982</v>
      </c>
      <c r="O57" s="20" t="n">
        <v>0.00878332032286755</v>
      </c>
      <c r="P57" s="20" t="n">
        <v>0.0238511925699331</v>
      </c>
      <c r="Q57" s="20" t="n">
        <v>0.00195498635599822</v>
      </c>
      <c r="R57" s="20" t="n">
        <v>0.00682598928451838</v>
      </c>
      <c r="S57" s="20" t="n">
        <v>-0.00487094887914985</v>
      </c>
      <c r="T57" s="20" t="n">
        <v>0.00466031182505499</v>
      </c>
      <c r="U57" s="20" t="n">
        <v>-0.00866795475853798</v>
      </c>
      <c r="V57" s="20" t="n">
        <v>0.00288323608828822</v>
      </c>
      <c r="W57" s="20" t="n">
        <v>-0.0174339870147841</v>
      </c>
      <c r="X57" s="20" t="n">
        <v>-0.00416233288733325</v>
      </c>
    </row>
    <row r="58" customFormat="false" ht="13.5" hidden="false" customHeight="true" outlineLevel="0" collapsed="false">
      <c r="A58" s="47" t="n">
        <v>42453</v>
      </c>
      <c r="B58" s="20" t="n">
        <v>0.00303693138520255</v>
      </c>
      <c r="C58" s="20" t="n">
        <v>0.0121407386809946</v>
      </c>
      <c r="D58" s="20" t="n">
        <v>-0.0070552004319806</v>
      </c>
      <c r="E58" s="20" t="n">
        <v>0.00229443560043707</v>
      </c>
      <c r="F58" s="20" t="n">
        <v>-0.00439564218362553</v>
      </c>
      <c r="G58" s="20" t="n">
        <v>0.010830903176374</v>
      </c>
      <c r="H58" s="20" t="n">
        <v>0.0399114540871787</v>
      </c>
      <c r="I58" s="20" t="n">
        <v>-0.00253807004790607</v>
      </c>
      <c r="J58" s="20" t="n">
        <v>0.0102829184784634</v>
      </c>
      <c r="K58" s="20" t="n">
        <v>0.0243321500665639</v>
      </c>
      <c r="L58" s="20" t="n">
        <v>0.0220327521518677</v>
      </c>
      <c r="M58" s="20" t="n">
        <v>-0.0100234462321382</v>
      </c>
      <c r="N58" s="20" t="n">
        <v>-0.00257069306094548</v>
      </c>
      <c r="O58" s="20" t="n">
        <v>0.00487489419164122</v>
      </c>
      <c r="P58" s="20" t="n">
        <v>-0.0255768580111472</v>
      </c>
      <c r="Q58" s="20" t="n">
        <v>0.0288759422343392</v>
      </c>
      <c r="R58" s="20" t="n">
        <v>0.00403400989307289</v>
      </c>
      <c r="S58" s="20" t="n">
        <v>-0.00489479120425073</v>
      </c>
      <c r="T58" s="20" t="n">
        <v>-0.00214820946685634</v>
      </c>
      <c r="U58" s="20" t="n">
        <v>0.0122440512072143</v>
      </c>
      <c r="V58" s="20" t="n">
        <v>0.00399074674700283</v>
      </c>
      <c r="W58" s="20" t="n">
        <v>-0.00409838193024159</v>
      </c>
      <c r="X58" s="20" t="n">
        <v>-0.00627621516019472</v>
      </c>
    </row>
    <row r="59" customFormat="false" ht="13.5" hidden="false" customHeight="true" outlineLevel="0" collapsed="false">
      <c r="A59" s="47" t="n">
        <v>42457</v>
      </c>
      <c r="B59" s="20" t="n">
        <v>0.00624734472651056</v>
      </c>
      <c r="C59" s="20" t="n">
        <v>-0.000317660028949617</v>
      </c>
      <c r="D59" s="20" t="n">
        <v>0.0151772756500534</v>
      </c>
      <c r="E59" s="20" t="n">
        <v>0.00836822356407696</v>
      </c>
      <c r="F59" s="20" t="n">
        <v>-0.014793155090321</v>
      </c>
      <c r="G59" s="20" t="n">
        <v>-0.000788608108525767</v>
      </c>
      <c r="H59" s="20" t="n">
        <v>0.00459242601097686</v>
      </c>
      <c r="I59" s="20" t="n">
        <v>0.0435121936654456</v>
      </c>
      <c r="J59" s="20" t="n">
        <v>0.00764334188394455</v>
      </c>
      <c r="K59" s="20" t="n">
        <v>-0.039220718884497</v>
      </c>
      <c r="L59" s="20" t="n">
        <v>-0.0024242990980936</v>
      </c>
      <c r="M59" s="20" t="n">
        <v>0.00902558527908326</v>
      </c>
      <c r="N59" s="20" t="n">
        <v>0.0162760965995665</v>
      </c>
      <c r="O59" s="20" t="n">
        <v>0.00967916537530744</v>
      </c>
      <c r="P59" s="20" t="n">
        <v>0.0103093599451598</v>
      </c>
      <c r="Q59" s="20" t="n">
        <v>0</v>
      </c>
      <c r="R59" s="20" t="n">
        <v>0.00616716643470116</v>
      </c>
      <c r="S59" s="20" t="n">
        <v>0.0117075326734696</v>
      </c>
      <c r="T59" s="20" t="n">
        <v>0.00714291476056505</v>
      </c>
      <c r="U59" s="20" t="n">
        <v>0.00646933700054397</v>
      </c>
      <c r="V59" s="20" t="n">
        <v>0.0223702137355905</v>
      </c>
      <c r="W59" s="20" t="n">
        <v>-0.0134369262163827</v>
      </c>
      <c r="X59" s="20" t="n">
        <v>0</v>
      </c>
    </row>
    <row r="60" customFormat="false" ht="13.5" hidden="false" customHeight="true" outlineLevel="0" collapsed="false">
      <c r="A60" s="47" t="n">
        <v>42458</v>
      </c>
      <c r="B60" s="20" t="n">
        <v>-0.00617989574762756</v>
      </c>
      <c r="C60" s="20" t="n">
        <v>0.0110568755906572</v>
      </c>
      <c r="D60" s="20" t="n">
        <v>0.00111516367058417</v>
      </c>
      <c r="E60" s="20" t="n">
        <v>0.0112995982780552</v>
      </c>
      <c r="F60" s="20" t="n">
        <v>0.00446093429680249</v>
      </c>
      <c r="G60" s="20" t="n">
        <v>0.00157649465475362</v>
      </c>
      <c r="H60" s="20" t="n">
        <v>0.00798634374681239</v>
      </c>
      <c r="I60" s="20" t="n">
        <v>-0.00243611054348669</v>
      </c>
      <c r="J60" s="20" t="n">
        <v>0.00506329706666175</v>
      </c>
      <c r="K60" s="20" t="n">
        <v>0.0535407305578969</v>
      </c>
      <c r="L60" s="20" t="n">
        <v>0.028710079677787</v>
      </c>
      <c r="M60" s="20" t="n">
        <v>0.00066535125937639</v>
      </c>
      <c r="N60" s="20" t="n">
        <v>0.00882453511801317</v>
      </c>
      <c r="O60" s="20" t="n">
        <v>-0.00202998880582194</v>
      </c>
      <c r="P60" s="20" t="n">
        <v>0.0102041606577725</v>
      </c>
      <c r="Q60" s="20" t="n">
        <v>-0.00570890428080339</v>
      </c>
      <c r="R60" s="20" t="n">
        <v>0.0153014974449554</v>
      </c>
      <c r="S60" s="20" t="n">
        <v>0.000969391753281367</v>
      </c>
      <c r="T60" s="20" t="n">
        <v>0.0127299705776549</v>
      </c>
      <c r="U60" s="20" t="n">
        <v>0.00882764819437031</v>
      </c>
      <c r="V60" s="20" t="n">
        <v>-0.0117529176782369</v>
      </c>
      <c r="W60" s="20" t="n">
        <v>0.0124097204581619</v>
      </c>
      <c r="X60" s="20" t="n">
        <v>0.00627621516019472</v>
      </c>
    </row>
    <row r="61" customFormat="false" ht="13.5" hidden="false" customHeight="true" outlineLevel="0" collapsed="false">
      <c r="A61" s="47" t="n">
        <v>42459</v>
      </c>
      <c r="B61" s="20" t="n">
        <v>0.0202767787396291</v>
      </c>
      <c r="C61" s="20" t="n">
        <v>-0.00125747113496954</v>
      </c>
      <c r="D61" s="20" t="n">
        <v>0.0031991592132341</v>
      </c>
      <c r="E61" s="20" t="n">
        <v>0.0111732720236141</v>
      </c>
      <c r="F61" s="20" t="n">
        <v>0.00296303294764621</v>
      </c>
      <c r="G61" s="20" t="n">
        <v>0.00419177577604923</v>
      </c>
      <c r="H61" s="20" t="n">
        <v>-0.0241530530376148</v>
      </c>
      <c r="I61" s="20" t="n">
        <v>-0.0104199582480895</v>
      </c>
      <c r="J61" s="20" t="n">
        <v>-0.00252844391460582</v>
      </c>
      <c r="K61" s="20" t="n">
        <v>0</v>
      </c>
      <c r="L61" s="20" t="n">
        <v>-0.00710055850697122</v>
      </c>
      <c r="M61" s="20" t="n">
        <v>-0.0144032070158646</v>
      </c>
      <c r="N61" s="20" t="n">
        <v>0.00281993748977038</v>
      </c>
      <c r="O61" s="20" t="n">
        <v>-0.00509297689407972</v>
      </c>
      <c r="P61" s="20" t="n">
        <v>0.0300023011778756</v>
      </c>
      <c r="Q61" s="20" t="n">
        <v>-0.0115164315210809</v>
      </c>
      <c r="R61" s="20" t="n">
        <v>-0.00308018036340573</v>
      </c>
      <c r="S61" s="20" t="n">
        <v>-0.000969391753281367</v>
      </c>
      <c r="T61" s="20" t="n">
        <v>0.000351316678943725</v>
      </c>
      <c r="U61" s="20" t="n">
        <v>0.0012775155887148</v>
      </c>
      <c r="V61" s="20" t="n">
        <v>0.00691178438795514</v>
      </c>
      <c r="W61" s="20" t="n">
        <v>-0.00597880162883912</v>
      </c>
      <c r="X61" s="20" t="n">
        <v>-0.00522742334493209</v>
      </c>
    </row>
    <row r="62" customFormat="false" ht="13.5" hidden="false" customHeight="true" outlineLevel="0" collapsed="false">
      <c r="A62" s="47" t="n">
        <v>42460</v>
      </c>
      <c r="B62" s="20" t="n">
        <v>0.00704024567884609</v>
      </c>
      <c r="C62" s="20" t="n">
        <v>0.00439421736227663</v>
      </c>
      <c r="D62" s="20" t="n">
        <v>0.0193913252027124</v>
      </c>
      <c r="E62" s="20" t="n">
        <v>-0.0300774261174519</v>
      </c>
      <c r="F62" s="20" t="n">
        <v>0.00295420898435638</v>
      </c>
      <c r="G62" s="20" t="n">
        <v>0.00182838486623726</v>
      </c>
      <c r="H62" s="20" t="n">
        <v>0.0207381413017757</v>
      </c>
      <c r="I62" s="20" t="n">
        <v>-0.0092850943155418</v>
      </c>
      <c r="J62" s="20" t="n">
        <v>0.00252844391460582</v>
      </c>
      <c r="K62" s="20" t="n">
        <v>-0.0288481415913175</v>
      </c>
      <c r="L62" s="20" t="n">
        <v>0.0257927852371193</v>
      </c>
      <c r="M62" s="20" t="n">
        <v>0.0134050775371479</v>
      </c>
      <c r="N62" s="20" t="n">
        <v>0.00686005879559958</v>
      </c>
      <c r="O62" s="20" t="n">
        <v>-0.00306824418319173</v>
      </c>
      <c r="P62" s="20" t="n">
        <v>0</v>
      </c>
      <c r="Q62" s="20" t="n">
        <v>0.0115164315210809</v>
      </c>
      <c r="R62" s="20" t="n">
        <v>0.0104531886566316</v>
      </c>
      <c r="S62" s="20" t="n">
        <v>-0.0365473602753163</v>
      </c>
      <c r="T62" s="20" t="n">
        <v>0.0076977714363049</v>
      </c>
      <c r="U62" s="20" t="n">
        <v>0.00636339280557063</v>
      </c>
      <c r="V62" s="20" t="n">
        <v>0.0159954113961742</v>
      </c>
      <c r="W62" s="20" t="n">
        <v>0.00185931571612751</v>
      </c>
      <c r="X62" s="20" t="n">
        <v>0.00209428949470824</v>
      </c>
    </row>
    <row r="63" customFormat="false" ht="13.5" hidden="false" customHeight="true" outlineLevel="0" collapsed="false">
      <c r="A63" s="47" t="n">
        <v>42461</v>
      </c>
      <c r="B63" s="20" t="n">
        <v>-0.00295477368598984</v>
      </c>
      <c r="C63" s="20" t="n">
        <v>-0.0221668254455962</v>
      </c>
      <c r="D63" s="20" t="n">
        <v>-0.00327418936796597</v>
      </c>
      <c r="E63" s="20" t="n">
        <v>-0.0231670735001991</v>
      </c>
      <c r="F63" s="20" t="n">
        <v>-0.00369414454366534</v>
      </c>
      <c r="G63" s="20" t="n">
        <v>-0.00759665529704012</v>
      </c>
      <c r="H63" s="20" t="n">
        <v>-0.0526745927412286</v>
      </c>
      <c r="I63" s="20" t="n">
        <v>-0.0125157959805752</v>
      </c>
      <c r="J63" s="20" t="n">
        <v>-0.015267457310675</v>
      </c>
      <c r="K63" s="20" t="n">
        <v>0.0312150466705862</v>
      </c>
      <c r="L63" s="20" t="n">
        <v>-0.0620724824725158</v>
      </c>
      <c r="M63" s="20" t="n">
        <v>0.0223840285548537</v>
      </c>
      <c r="N63" s="20" t="n">
        <v>0.0015525305766797</v>
      </c>
      <c r="O63" s="20" t="n">
        <v>0.00790723094275902</v>
      </c>
      <c r="P63" s="20" t="n">
        <v>-0.0350913254040117</v>
      </c>
      <c r="Q63" s="20" t="n">
        <v>-0.0270809336224266</v>
      </c>
      <c r="R63" s="20" t="n">
        <v>-0.00324889280455664</v>
      </c>
      <c r="S63" s="20" t="n">
        <v>-0.0327227256720523</v>
      </c>
      <c r="T63" s="20" t="n">
        <v>-0.0193566186116167</v>
      </c>
      <c r="U63" s="20" t="n">
        <v>0.0026921889364182</v>
      </c>
      <c r="V63" s="20" t="n">
        <v>0.0161983602750543</v>
      </c>
      <c r="W63" s="20" t="n">
        <v>0.00103144385971809</v>
      </c>
      <c r="X63" s="20" t="n">
        <v>-0.00524387033147988</v>
      </c>
    </row>
    <row r="64" customFormat="false" ht="13.5" hidden="false" customHeight="true" outlineLevel="0" collapsed="false">
      <c r="A64" s="47" t="n">
        <v>42464</v>
      </c>
      <c r="B64" s="20" t="n">
        <v>-0.0137056952195804</v>
      </c>
      <c r="C64" s="20" t="n">
        <v>-0.00803735092465451</v>
      </c>
      <c r="D64" s="20" t="n">
        <v>-0.00191491493995332</v>
      </c>
      <c r="E64" s="20" t="n">
        <v>-0.00234647993548264</v>
      </c>
      <c r="F64" s="20" t="n">
        <v>-0.0239712339977904</v>
      </c>
      <c r="G64" s="20" t="n">
        <v>0.00498368090924161</v>
      </c>
      <c r="H64" s="20" t="n">
        <v>-0.00966190173066294</v>
      </c>
      <c r="I64" s="20" t="n">
        <v>0.022416857614226</v>
      </c>
      <c r="J64" s="20" t="n">
        <v>-0.00772210011839469</v>
      </c>
      <c r="K64" s="20" t="n">
        <v>0.00236124577718155</v>
      </c>
      <c r="L64" s="20" t="n">
        <v>0.0170944751626742</v>
      </c>
      <c r="M64" s="20" t="n">
        <v>0.0206193290172187</v>
      </c>
      <c r="N64" s="20" t="n">
        <v>-0.00404169902351503</v>
      </c>
      <c r="O64" s="20" t="n">
        <v>-0.0043285105212858</v>
      </c>
      <c r="P64" s="20" t="n">
        <v>-0.0240976109166863</v>
      </c>
      <c r="Q64" s="20" t="n">
        <v>-0.00196266049037796</v>
      </c>
      <c r="R64" s="20" t="n">
        <v>-0.0125206588838295</v>
      </c>
      <c r="S64" s="20" t="n">
        <v>0.123081999164793</v>
      </c>
      <c r="T64" s="20" t="n">
        <v>-0.020101160397544</v>
      </c>
      <c r="U64" s="20" t="n">
        <v>-0.00475586244257186</v>
      </c>
      <c r="V64" s="20" t="n">
        <v>-0.00318832850551142</v>
      </c>
      <c r="W64" s="20" t="n">
        <v>-0.0206236180733134</v>
      </c>
      <c r="X64" s="20" t="n">
        <v>-0.0105709632430048</v>
      </c>
    </row>
    <row r="65" customFormat="false" ht="13.5" hidden="false" customHeight="true" outlineLevel="0" collapsed="false">
      <c r="A65" s="47" t="n">
        <v>42465</v>
      </c>
      <c r="B65" s="20" t="n">
        <v>0.000133352924509999</v>
      </c>
      <c r="C65" s="20" t="n">
        <v>-0.00258566094850998</v>
      </c>
      <c r="D65" s="20" t="n">
        <v>0.0232757623405577</v>
      </c>
      <c r="E65" s="20" t="n">
        <v>0.0039077217966108</v>
      </c>
      <c r="F65" s="20" t="n">
        <v>0.00604694792426974</v>
      </c>
      <c r="G65" s="20" t="n">
        <v>0.0222519032776067</v>
      </c>
      <c r="H65" s="20" t="n">
        <v>-0.0220867660790591</v>
      </c>
      <c r="I65" s="20" t="n">
        <v>-0.0123916611236913</v>
      </c>
      <c r="J65" s="20" t="n">
        <v>0.0153849653973416</v>
      </c>
      <c r="K65" s="20" t="n">
        <v>-0.0238674586562605</v>
      </c>
      <c r="L65" s="20" t="n">
        <v>-0.00729048423269373</v>
      </c>
      <c r="M65" s="20" t="n">
        <v>0.0488508907107338</v>
      </c>
      <c r="N65" s="20" t="n">
        <v>0.0120764187412345</v>
      </c>
      <c r="O65" s="20" t="n">
        <v>-0.0141335836211968</v>
      </c>
      <c r="P65" s="20" t="n">
        <v>0.0308772913268149</v>
      </c>
      <c r="Q65" s="20" t="n">
        <v>-0.00788957948385782</v>
      </c>
      <c r="R65" s="20" t="n">
        <v>0.00203320092100423</v>
      </c>
      <c r="S65" s="20" t="n">
        <v>0.00275353391265831</v>
      </c>
      <c r="T65" s="20" t="n">
        <v>0.0151136405763261</v>
      </c>
      <c r="U65" s="20" t="n">
        <v>0.0099613608864395</v>
      </c>
      <c r="V65" s="20" t="n">
        <v>0.0117915011162024</v>
      </c>
      <c r="W65" s="20" t="n">
        <v>0.0119261484403274</v>
      </c>
      <c r="X65" s="20" t="n">
        <v>0.0137205440797765</v>
      </c>
    </row>
    <row r="66" customFormat="false" ht="13.5" hidden="false" customHeight="true" outlineLevel="0" collapsed="false">
      <c r="A66" s="47" t="n">
        <v>42466</v>
      </c>
      <c r="B66" s="20" t="n">
        <v>-0.0118686091429305</v>
      </c>
      <c r="C66" s="20" t="n">
        <v>-0.00877624815759992</v>
      </c>
      <c r="D66" s="20" t="n">
        <v>-0.00227661029132164</v>
      </c>
      <c r="E66" s="20" t="n">
        <v>-0.0236790254533154</v>
      </c>
      <c r="F66" s="20" t="n">
        <v>-0.0321620418126591</v>
      </c>
      <c r="G66" s="20" t="n">
        <v>-0.0235610552424954</v>
      </c>
      <c r="H66" s="20" t="n">
        <v>-0.00497512977150793</v>
      </c>
      <c r="I66" s="20" t="n">
        <v>0.0197537089660215</v>
      </c>
      <c r="J66" s="20" t="n">
        <v>-0.0283890377249587</v>
      </c>
      <c r="K66" s="20" t="n">
        <v>-0.0419296668459042</v>
      </c>
      <c r="L66" s="20" t="n">
        <v>-0.00734390881816748</v>
      </c>
      <c r="M66" s="20" t="n">
        <v>-0.00517589790606498</v>
      </c>
      <c r="N66" s="20" t="n">
        <v>-0.0192672465797691</v>
      </c>
      <c r="O66" s="20" t="n">
        <v>-0.00129481404486364</v>
      </c>
      <c r="P66" s="20" t="n">
        <v>-0.00848184743929758</v>
      </c>
      <c r="Q66" s="20" t="n">
        <v>-0.00795232027477799</v>
      </c>
      <c r="R66" s="20" t="n">
        <v>-0.0239819345963878</v>
      </c>
      <c r="S66" s="20" t="n">
        <v>-0.0203711000751676</v>
      </c>
      <c r="T66" s="20" t="n">
        <v>-0.0143887236307325</v>
      </c>
      <c r="U66" s="20" t="n">
        <v>-0.002362787969159</v>
      </c>
      <c r="V66" s="20" t="n">
        <v>-0.0039151102083883</v>
      </c>
      <c r="W66" s="20" t="n">
        <v>-0.0242091920013383</v>
      </c>
      <c r="X66" s="20" t="n">
        <v>-0.0254790607932258</v>
      </c>
    </row>
    <row r="67" customFormat="false" ht="13.5" hidden="false" customHeight="true" outlineLevel="0" collapsed="false">
      <c r="A67" s="47" t="n">
        <v>42467</v>
      </c>
      <c r="B67" s="20" t="n">
        <v>0.00739254765147823</v>
      </c>
      <c r="C67" s="20" t="n">
        <v>0.00521006086299591</v>
      </c>
      <c r="D67" s="20" t="n">
        <v>-0.0026848848720542</v>
      </c>
      <c r="E67" s="20" t="n">
        <v>0.00239327854124438</v>
      </c>
      <c r="F67" s="20" t="n">
        <v>0.00233188853378374</v>
      </c>
      <c r="G67" s="20" t="n">
        <v>-0.00472680740475617</v>
      </c>
      <c r="H67" s="20" t="n">
        <v>0.0893983903224586</v>
      </c>
      <c r="I67" s="20" t="n">
        <v>0.0448237550941614</v>
      </c>
      <c r="J67" s="20" t="n">
        <v>0.00782271838615478</v>
      </c>
      <c r="K67" s="20" t="n">
        <v>0.0322208330543969</v>
      </c>
      <c r="L67" s="20" t="n">
        <v>0.0959800090526232</v>
      </c>
      <c r="M67" s="20" t="n">
        <v>-0.0079681184139253</v>
      </c>
      <c r="N67" s="20" t="n">
        <v>0.000313672834986178</v>
      </c>
      <c r="O67" s="20" t="n">
        <v>-0.00233493820986696</v>
      </c>
      <c r="P67" s="20" t="n">
        <v>0.0202367595725927</v>
      </c>
      <c r="Q67" s="20" t="n">
        <v>0.0178045602490137</v>
      </c>
      <c r="R67" s="20" t="n">
        <v>0.00523689522235582</v>
      </c>
      <c r="S67" s="20" t="n">
        <v>-0.016030434960534</v>
      </c>
      <c r="T67" s="20" t="n">
        <v>0.00325556992542042</v>
      </c>
      <c r="U67" s="20" t="n">
        <v>0.00613160308687454</v>
      </c>
      <c r="V67" s="20" t="n">
        <v>-0.00317339271817651</v>
      </c>
      <c r="W67" s="20" t="n">
        <v>0.00297871262049209</v>
      </c>
      <c r="X67" s="20" t="n">
        <v>0.00322058601364583</v>
      </c>
    </row>
    <row r="68" customFormat="false" ht="13.5" hidden="false" customHeight="true" outlineLevel="0" collapsed="false">
      <c r="A68" s="47" t="n">
        <v>42468</v>
      </c>
      <c r="B68" s="20" t="n">
        <v>-0.000669833256601748</v>
      </c>
      <c r="C68" s="20" t="n">
        <v>-0.00260163734356089</v>
      </c>
      <c r="D68" s="20" t="n">
        <v>-0.00593236810954334</v>
      </c>
      <c r="E68" s="20" t="n">
        <v>0.00872672388748441</v>
      </c>
      <c r="F68" s="20" t="n">
        <v>0.00696328935516898</v>
      </c>
      <c r="G68" s="20" t="n">
        <v>-0.0218210763338064</v>
      </c>
      <c r="H68" s="20" t="n">
        <v>0.0347373525374072</v>
      </c>
      <c r="I68" s="20" t="n">
        <v>0.0384111451284256</v>
      </c>
      <c r="J68" s="20" t="n">
        <v>-0.0104439494088148</v>
      </c>
      <c r="K68" s="20" t="n">
        <v>0.0217137683773971</v>
      </c>
      <c r="L68" s="20" t="n">
        <v>0.0855221926316949</v>
      </c>
      <c r="M68" s="20" t="n">
        <v>-0.0189476274530031</v>
      </c>
      <c r="N68" s="20" t="n">
        <v>0.0062540124788244</v>
      </c>
      <c r="O68" s="20" t="n">
        <v>-0.00286124817974453</v>
      </c>
      <c r="P68" s="20" t="n">
        <v>0.0440888477579</v>
      </c>
      <c r="Q68" s="20" t="n">
        <v>0.0136321822466036</v>
      </c>
      <c r="R68" s="20" t="n">
        <v>-0.00692254134169534</v>
      </c>
      <c r="S68" s="20" t="n">
        <v>0.016030434960534</v>
      </c>
      <c r="T68" s="20" t="n">
        <v>-0.00253117810375691</v>
      </c>
      <c r="U68" s="20" t="n">
        <v>-0.00770986214487656</v>
      </c>
      <c r="V68" s="20" t="n">
        <v>-0.00136306474433567</v>
      </c>
      <c r="W68" s="20" t="n">
        <v>-0.000850178928488265</v>
      </c>
      <c r="X68" s="20" t="n">
        <v>0.00534476853667653</v>
      </c>
    </row>
    <row r="69" customFormat="false" ht="13.5" hidden="false" customHeight="true" outlineLevel="0" collapsed="false">
      <c r="A69" s="47" t="n">
        <v>42471</v>
      </c>
      <c r="B69" s="20" t="n">
        <v>0.00254286055519337</v>
      </c>
      <c r="C69" s="20" t="n">
        <v>0.00325095828116106</v>
      </c>
      <c r="D69" s="20" t="n">
        <v>0.00834912957427569</v>
      </c>
      <c r="E69" s="20" t="n">
        <v>0.0117787440023313</v>
      </c>
      <c r="F69" s="20" t="n">
        <v>0.0228668639237064</v>
      </c>
      <c r="G69" s="20" t="n">
        <v>-0.000269025208134987</v>
      </c>
      <c r="H69" s="20" t="n">
        <v>0.0441644617357308</v>
      </c>
      <c r="I69" s="20" t="n">
        <v>-0.00281617443721771</v>
      </c>
      <c r="J69" s="20" t="n">
        <v>0.0130379821793755</v>
      </c>
      <c r="K69" s="20" t="n">
        <v>0.0259143059683427</v>
      </c>
      <c r="L69" s="20" t="n">
        <v>0.0863280923046652</v>
      </c>
      <c r="M69" s="20" t="n">
        <v>0.0021926303693478</v>
      </c>
      <c r="N69" s="20" t="n">
        <v>-0.00249693727635014</v>
      </c>
      <c r="O69" s="20" t="n">
        <v>0.00726706515442954</v>
      </c>
      <c r="P69" s="20" t="n">
        <v>0.100235558980114</v>
      </c>
      <c r="Q69" s="20" t="n">
        <v>0.00578588563021242</v>
      </c>
      <c r="R69" s="20" t="n">
        <v>0.00455452979262638</v>
      </c>
      <c r="S69" s="20" t="n">
        <v>-0.00281028136011674</v>
      </c>
      <c r="T69" s="20" t="n">
        <v>0.000723798451150337</v>
      </c>
      <c r="U69" s="20" t="n">
        <v>0.00802329982070837</v>
      </c>
      <c r="V69" s="20" t="n">
        <v>0.0129499322595201</v>
      </c>
      <c r="W69" s="20" t="n">
        <v>0.0156121669834137</v>
      </c>
      <c r="X69" s="20" t="n">
        <v>0.0200533983574087</v>
      </c>
    </row>
    <row r="70" customFormat="false" ht="13.5" hidden="false" customHeight="true" outlineLevel="0" collapsed="false">
      <c r="A70" s="47" t="n">
        <v>42472</v>
      </c>
      <c r="B70" s="20" t="n">
        <v>0.0106362156833323</v>
      </c>
      <c r="C70" s="20" t="n">
        <v>0.00550252730551381</v>
      </c>
      <c r="D70" s="20" t="n">
        <v>0.0078809458062139</v>
      </c>
      <c r="E70" s="20" t="n">
        <v>0.0193280073125947</v>
      </c>
      <c r="F70" s="20" t="n">
        <v>0.0384378061986852</v>
      </c>
      <c r="G70" s="20" t="n">
        <v>0.0186622520630566</v>
      </c>
      <c r="H70" s="20" t="n">
        <v>0.0156824805201785</v>
      </c>
      <c r="I70" s="20" t="n">
        <v>-0.026287175602643</v>
      </c>
      <c r="J70" s="20" t="n">
        <v>0.0154245169656201</v>
      </c>
      <c r="K70" s="20" t="n">
        <v>0.0115608112481085</v>
      </c>
      <c r="L70" s="20" t="n">
        <v>0.058410706216472</v>
      </c>
      <c r="M70" s="20" t="n">
        <v>0.0179850376742987</v>
      </c>
      <c r="N70" s="20" t="n">
        <v>0.00591989984895091</v>
      </c>
      <c r="O70" s="20" t="n">
        <v>-0.0109204979958787</v>
      </c>
      <c r="P70" s="20" t="n">
        <v>-0.00870831945417993</v>
      </c>
      <c r="Q70" s="20" t="n">
        <v>0.00766286574561059</v>
      </c>
      <c r="R70" s="20" t="n">
        <v>-0.000988398016955827</v>
      </c>
      <c r="S70" s="20" t="n">
        <v>0.011194136286452</v>
      </c>
      <c r="T70" s="20" t="n">
        <v>0.0211212492326087</v>
      </c>
      <c r="U70" s="20" t="n">
        <v>-0.027803840559355</v>
      </c>
      <c r="V70" s="20" t="n">
        <v>0.0108624441096418</v>
      </c>
      <c r="W70" s="20" t="n">
        <v>0.0260344937815455</v>
      </c>
      <c r="X70" s="20" t="n">
        <v>0.0339015450321817</v>
      </c>
    </row>
    <row r="71" customFormat="false" ht="13.5" hidden="false" customHeight="true" outlineLevel="0" collapsed="false">
      <c r="A71" s="47" t="n">
        <v>42473</v>
      </c>
      <c r="B71" s="20" t="n">
        <v>-0.000462925803240032</v>
      </c>
      <c r="C71" s="20" t="n">
        <v>0.00129032767233505</v>
      </c>
      <c r="D71" s="20" t="n">
        <v>0.00623377028245553</v>
      </c>
      <c r="E71" s="20" t="n">
        <v>0.00229443560043707</v>
      </c>
      <c r="F71" s="20" t="n">
        <v>0.0250639957097451</v>
      </c>
      <c r="G71" s="20" t="n">
        <v>-0.0210871529722322</v>
      </c>
      <c r="H71" s="20" t="n">
        <v>-0.0337585307162255</v>
      </c>
      <c r="I71" s="20" t="n">
        <v>-0.0413771056437757</v>
      </c>
      <c r="J71" s="20" t="n">
        <v>-0.00768248866710319</v>
      </c>
      <c r="K71" s="20" t="n">
        <v>0.0227282295235065</v>
      </c>
      <c r="L71" s="20" t="n">
        <v>-0.0716559652336681</v>
      </c>
      <c r="M71" s="20" t="n">
        <v>0.00337477253052664</v>
      </c>
      <c r="N71" s="20" t="n">
        <v>-0.0031113427719136</v>
      </c>
      <c r="O71" s="20" t="n">
        <v>0.00443454940897103</v>
      </c>
      <c r="P71" s="20" t="n">
        <v>0</v>
      </c>
      <c r="Q71" s="20" t="n">
        <v>0.0170297692104819</v>
      </c>
      <c r="R71" s="20" t="n">
        <v>-0.000197751615336194</v>
      </c>
      <c r="S71" s="20" t="n">
        <v>-0.0301340784263741</v>
      </c>
      <c r="T71" s="20" t="n">
        <v>0.00070823154255617</v>
      </c>
      <c r="U71" s="20" t="n">
        <v>-0.0077632533324925</v>
      </c>
      <c r="V71" s="20" t="n">
        <v>0.00443005813630037</v>
      </c>
      <c r="W71" s="20" t="n">
        <v>-0.00490693817367926</v>
      </c>
      <c r="X71" s="20" t="n">
        <v>0.00904985114111944</v>
      </c>
    </row>
    <row r="72" customFormat="false" ht="13.5" hidden="false" customHeight="true" outlineLevel="0" collapsed="false">
      <c r="A72" s="47" t="n">
        <v>42474</v>
      </c>
      <c r="B72" s="20" t="n">
        <v>0.00369782215846381</v>
      </c>
      <c r="C72" s="20" t="n">
        <v>0.000322305956432344</v>
      </c>
      <c r="D72" s="20" t="n">
        <v>-0.00132308138837355</v>
      </c>
      <c r="E72" s="20" t="n">
        <v>-0.0115253349337582</v>
      </c>
      <c r="F72" s="20" t="n">
        <v>-0.00995035513341946</v>
      </c>
      <c r="G72" s="20" t="n">
        <v>-0.00432549602236731</v>
      </c>
      <c r="H72" s="20" t="n">
        <v>-0.00322407287302972</v>
      </c>
      <c r="I72" s="20" t="n">
        <v>0.0119977901105952</v>
      </c>
      <c r="J72" s="20" t="n">
        <v>0.00256739299077923</v>
      </c>
      <c r="K72" s="20" t="n">
        <v>-0.0412902852491784</v>
      </c>
      <c r="L72" s="20" t="n">
        <v>0.00759016205552764</v>
      </c>
      <c r="M72" s="20" t="n">
        <v>-0.00460481312117</v>
      </c>
      <c r="N72" s="20" t="n">
        <v>0.00528356079094871</v>
      </c>
      <c r="O72" s="20" t="n">
        <v>0.00156050421984454</v>
      </c>
      <c r="P72" s="20" t="n">
        <v>-0.0280875898346297</v>
      </c>
      <c r="Q72" s="20" t="n">
        <v>0.00187445768292238</v>
      </c>
      <c r="R72" s="20" t="n">
        <v>0.0111139305951333</v>
      </c>
      <c r="S72" s="20" t="n">
        <v>-0.0271334211833642</v>
      </c>
      <c r="T72" s="20" t="n">
        <v>-0.0124667824378801</v>
      </c>
      <c r="U72" s="20" t="n">
        <v>0.00146021202637136</v>
      </c>
      <c r="V72" s="20" t="n">
        <v>0.00264862275934607</v>
      </c>
      <c r="W72" s="20" t="n">
        <v>-0.0111295648074021</v>
      </c>
      <c r="X72" s="20" t="n">
        <v>-0.00602406095957963</v>
      </c>
    </row>
    <row r="73" customFormat="false" ht="13.5" hidden="false" customHeight="true" outlineLevel="0" collapsed="false">
      <c r="A73" s="47" t="n">
        <v>42475</v>
      </c>
      <c r="B73" s="20" t="n">
        <v>0.00532456514234436</v>
      </c>
      <c r="C73" s="20" t="n">
        <v>0.000966358915727827</v>
      </c>
      <c r="D73" s="20" t="n">
        <v>0.0221285944806863</v>
      </c>
      <c r="E73" s="20" t="n">
        <v>0.0236742957873521</v>
      </c>
      <c r="F73" s="20" t="n">
        <v>0.0120697294715186</v>
      </c>
      <c r="G73" s="20" t="n">
        <v>-0.0062508571996398</v>
      </c>
      <c r="H73" s="20" t="n">
        <v>-0.0261737704084108</v>
      </c>
      <c r="I73" s="20" t="n">
        <v>0.00357140053780469</v>
      </c>
      <c r="J73" s="20" t="n">
        <v>-0.0129034540598569</v>
      </c>
      <c r="K73" s="20" t="n">
        <v>0.0185620557256719</v>
      </c>
      <c r="L73" s="20" t="n">
        <v>-0.00378787972504657</v>
      </c>
      <c r="M73" s="20" t="n">
        <v>0.00337891918223487</v>
      </c>
      <c r="N73" s="20" t="n">
        <v>-0.0012406050323821</v>
      </c>
      <c r="O73" s="20" t="n">
        <v>0.00440820061147206</v>
      </c>
      <c r="P73" s="20" t="n">
        <v>0.00149809048483806</v>
      </c>
      <c r="Q73" s="20" t="n">
        <v>-0.0208143998228447</v>
      </c>
      <c r="R73" s="20" t="n">
        <v>0.00253982884351167</v>
      </c>
      <c r="S73" s="20" t="n">
        <v>-0.0278903224921029</v>
      </c>
      <c r="T73" s="20" t="n">
        <v>0.0103406489163826</v>
      </c>
      <c r="U73" s="20" t="n">
        <v>0.00791280462606103</v>
      </c>
      <c r="V73" s="20" t="n">
        <v>0.0118326928307457</v>
      </c>
      <c r="W73" s="20" t="n">
        <v>0.0121538245817491</v>
      </c>
      <c r="X73" s="20" t="n">
        <v>0.00301656663673632</v>
      </c>
    </row>
    <row r="74" customFormat="false" ht="13.5" hidden="false" customHeight="true" outlineLevel="0" collapsed="false">
      <c r="A74" s="47" t="n">
        <v>42478</v>
      </c>
      <c r="B74" s="20" t="n">
        <v>-0.0575479904328046</v>
      </c>
      <c r="C74" s="20" t="n">
        <v>0.00289342257185198</v>
      </c>
      <c r="D74" s="20" t="n">
        <v>0.000388409133643463</v>
      </c>
      <c r="E74" s="20" t="n">
        <v>0.014237751441291</v>
      </c>
      <c r="F74" s="20" t="n">
        <v>0.0195673422720195</v>
      </c>
      <c r="G74" s="20" t="n">
        <v>-0.0123441634361629</v>
      </c>
      <c r="H74" s="20" t="n">
        <v>0.0261737704084108</v>
      </c>
      <c r="I74" s="20" t="n">
        <v>0.0310057407212003</v>
      </c>
      <c r="J74" s="20" t="n">
        <v>0.0205663193388039</v>
      </c>
      <c r="K74" s="20" t="n">
        <v>-0.035091356513638</v>
      </c>
      <c r="L74" s="20" t="n">
        <v>0.0854288115225765</v>
      </c>
      <c r="M74" s="20" t="n">
        <v>0.00854963312567891</v>
      </c>
      <c r="N74" s="20" t="n">
        <v>0.0150933979257428</v>
      </c>
      <c r="O74" s="20" t="n">
        <v>0.00696139575834431</v>
      </c>
      <c r="P74" s="20" t="n">
        <v>0.0581559350789042</v>
      </c>
      <c r="Q74" s="20" t="n">
        <v>0.0282771137214692</v>
      </c>
      <c r="R74" s="20" t="n">
        <v>0.00932225714781154</v>
      </c>
      <c r="S74" s="20" t="n">
        <v>-0.0101523134689807</v>
      </c>
      <c r="T74" s="20" t="n">
        <v>0.00495398707842831</v>
      </c>
      <c r="U74" s="20" t="n">
        <v>-0.00742656133185093</v>
      </c>
      <c r="V74" s="20" t="n">
        <v>0.00072589173844495</v>
      </c>
      <c r="W74" s="20" t="n">
        <v>0.021070489858789</v>
      </c>
      <c r="X74" s="20" t="n">
        <v>0.0149479236471261</v>
      </c>
    </row>
    <row r="75" customFormat="false" ht="13.5" hidden="false" customHeight="true" outlineLevel="0" collapsed="false">
      <c r="A75" s="47" t="n">
        <v>42479</v>
      </c>
      <c r="B75" s="20" t="n">
        <v>0.014546467285335</v>
      </c>
      <c r="C75" s="20" t="n">
        <v>0</v>
      </c>
      <c r="D75" s="20" t="n">
        <v>-0.00220304847643948</v>
      </c>
      <c r="E75" s="20" t="n">
        <v>0.0147713737120835</v>
      </c>
      <c r="F75" s="20" t="n">
        <v>0.0326782306327428</v>
      </c>
      <c r="G75" s="20" t="n">
        <v>0.0196781757700468</v>
      </c>
      <c r="H75" s="20" t="n">
        <v>-0.0184687313740947</v>
      </c>
      <c r="I75" s="20" t="n">
        <v>-0.0186051692614048</v>
      </c>
      <c r="J75" s="20" t="n">
        <v>0</v>
      </c>
      <c r="K75" s="20" t="n">
        <v>0.112478012111803</v>
      </c>
      <c r="L75" s="20" t="n">
        <v>0.0558994628951092</v>
      </c>
      <c r="M75" s="20" t="n">
        <v>0.0102844269472828</v>
      </c>
      <c r="N75" s="20" t="n">
        <v>0.0027476785686753</v>
      </c>
      <c r="O75" s="20" t="n">
        <v>-0.00515191633637757</v>
      </c>
      <c r="P75" s="20" t="n">
        <v>0.0154172827616472</v>
      </c>
      <c r="Q75" s="20" t="n">
        <v>0.00185696470490515</v>
      </c>
      <c r="R75" s="20" t="n">
        <v>-0.00922468009172483</v>
      </c>
      <c r="S75" s="20" t="n">
        <v>0.00813011820359799</v>
      </c>
      <c r="T75" s="20" t="n">
        <v>0.00387531256405626</v>
      </c>
      <c r="U75" s="20" t="n">
        <v>-0.00373406627234906</v>
      </c>
      <c r="V75" s="20" t="n">
        <v>0.00463298466703143</v>
      </c>
      <c r="W75" s="20" t="n">
        <v>0.0113626196967695</v>
      </c>
      <c r="X75" s="20" t="n">
        <v>0.0166752349778036</v>
      </c>
    </row>
    <row r="76" customFormat="false" ht="13.5" hidden="false" customHeight="true" outlineLevel="0" collapsed="false">
      <c r="A76" s="47" t="n">
        <v>42480</v>
      </c>
      <c r="B76" s="20" t="n">
        <v>0.0215979581242491</v>
      </c>
      <c r="C76" s="20" t="n">
        <v>-0.00547241511634721</v>
      </c>
      <c r="D76" s="20" t="n">
        <v>0.00375527675926257</v>
      </c>
      <c r="E76" s="20" t="n">
        <v>0.000732816098862443</v>
      </c>
      <c r="F76" s="20" t="n">
        <v>-0.00201144464212132</v>
      </c>
      <c r="G76" s="20" t="n">
        <v>-0.013075629750078</v>
      </c>
      <c r="H76" s="20" t="n">
        <v>-0.00660067774679129</v>
      </c>
      <c r="I76" s="20" t="n">
        <v>0.0306293097005672</v>
      </c>
      <c r="J76" s="20" t="n">
        <v>0.00254129496506627</v>
      </c>
      <c r="K76" s="20" t="n">
        <v>-0.0959487113238374</v>
      </c>
      <c r="L76" s="20" t="n">
        <v>-0.0931707798774295</v>
      </c>
      <c r="M76" s="20" t="n">
        <v>0.000300951891748724</v>
      </c>
      <c r="N76" s="20" t="n">
        <v>-0.0439391407200266</v>
      </c>
      <c r="O76" s="20" t="n">
        <v>-0.0224611320323453</v>
      </c>
      <c r="P76" s="20" t="n">
        <v>-0.0140058176256943</v>
      </c>
      <c r="Q76" s="20" t="n">
        <v>0</v>
      </c>
      <c r="R76" s="20" t="n">
        <v>-0.0126639977887172</v>
      </c>
      <c r="S76" s="20" t="n">
        <v>-0.00711020699121123</v>
      </c>
      <c r="T76" s="20" t="n">
        <v>-0.0070572191932765</v>
      </c>
      <c r="U76" s="20" t="n">
        <v>-0.0213718349517133</v>
      </c>
      <c r="V76" s="20" t="n">
        <v>0.013344057080955</v>
      </c>
      <c r="W76" s="20" t="n">
        <v>-0.00796027140461852</v>
      </c>
      <c r="X76" s="20" t="n">
        <v>-0.00585362314783211</v>
      </c>
    </row>
    <row r="77" customFormat="false" ht="13.5" hidden="false" customHeight="true" outlineLevel="0" collapsed="false">
      <c r="A77" s="47" t="n">
        <v>42481</v>
      </c>
      <c r="B77" s="20" t="n">
        <v>-0.00537276674283049</v>
      </c>
      <c r="C77" s="20" t="n">
        <v>-0.00712668535545812</v>
      </c>
      <c r="D77" s="20" t="n">
        <v>0.0059278404369536</v>
      </c>
      <c r="E77" s="20" t="n">
        <v>-0.00293470224686576</v>
      </c>
      <c r="F77" s="20" t="n">
        <v>0.013995566213671</v>
      </c>
      <c r="G77" s="20" t="n">
        <v>-0.0247063045913003</v>
      </c>
      <c r="H77" s="20" t="n">
        <v>-0.0234516383680238</v>
      </c>
      <c r="I77" s="20" t="n">
        <v>-0.0282847009363007</v>
      </c>
      <c r="J77" s="20" t="n">
        <v>0.00506329706666175</v>
      </c>
      <c r="K77" s="20" t="n">
        <v>0.00233922197958358</v>
      </c>
      <c r="L77" s="20" t="n">
        <v>-0.0200920239463413</v>
      </c>
      <c r="M77" s="20" t="n">
        <v>0.000902083306800527</v>
      </c>
      <c r="N77" s="20" t="n">
        <v>0</v>
      </c>
      <c r="O77" s="20" t="n">
        <v>0.00553140047577693</v>
      </c>
      <c r="P77" s="20" t="n">
        <v>0.0522096089923316</v>
      </c>
      <c r="Q77" s="20" t="n">
        <v>-0.011194136286452</v>
      </c>
      <c r="R77" s="20" t="n">
        <v>0.00217113691057324</v>
      </c>
      <c r="S77" s="20" t="n">
        <v>0.0370227247486969</v>
      </c>
      <c r="T77" s="20" t="n">
        <v>-0.0031920634857836</v>
      </c>
      <c r="U77" s="20" t="n">
        <v>0.00563382021104796</v>
      </c>
      <c r="V77" s="20" t="n">
        <v>0.00738425150873833</v>
      </c>
      <c r="W77" s="20" t="n">
        <v>0.0113242434986373</v>
      </c>
      <c r="X77" s="20" t="n">
        <v>0.00293109468079544</v>
      </c>
    </row>
    <row r="78" customFormat="false" ht="13.5" hidden="false" customHeight="true" outlineLevel="0" collapsed="false">
      <c r="A78" s="47" t="n">
        <v>42482</v>
      </c>
      <c r="B78" s="20" t="n">
        <v>0.00208534979300711</v>
      </c>
      <c r="C78" s="20" t="n">
        <v>-0.00260417805957668</v>
      </c>
      <c r="D78" s="20" t="n">
        <v>0.00141234673710677</v>
      </c>
      <c r="E78" s="20" t="n">
        <v>-0.00220667492516346</v>
      </c>
      <c r="F78" s="20" t="n">
        <v>-0.00997677846682654</v>
      </c>
      <c r="G78" s="20" t="n">
        <v>0.0328985740618397</v>
      </c>
      <c r="H78" s="20" t="n">
        <v>-0.00680274064752906</v>
      </c>
      <c r="I78" s="20" t="n">
        <v>-0.00882096972278123</v>
      </c>
      <c r="J78" s="20" t="n">
        <v>0.00252206700624291</v>
      </c>
      <c r="K78" s="20" t="n">
        <v>-0.0188685227675496</v>
      </c>
      <c r="L78" s="20" t="n">
        <v>-0.062817968987523</v>
      </c>
      <c r="M78" s="20" t="n">
        <v>-0.00180509596860423</v>
      </c>
      <c r="N78" s="20" t="n">
        <v>-0.00671247799254226</v>
      </c>
      <c r="O78" s="20" t="n">
        <v>0.00367067512016516</v>
      </c>
      <c r="P78" s="20" t="n">
        <v>-0.0479872617072101</v>
      </c>
      <c r="Q78" s="20" t="n">
        <v>0.00561277612842192</v>
      </c>
      <c r="R78" s="20" t="n">
        <v>0.00501495233018989</v>
      </c>
      <c r="S78" s="20" t="n">
        <v>-0.0228525090991826</v>
      </c>
      <c r="T78" s="20" t="n">
        <v>0.00283788501551685</v>
      </c>
      <c r="U78" s="20" t="n">
        <v>0.0115000569728831</v>
      </c>
      <c r="V78" s="20" t="n">
        <v>-0.000707707235280352</v>
      </c>
      <c r="W78" s="20" t="n">
        <v>-0.00217543076674653</v>
      </c>
      <c r="X78" s="20" t="n">
        <v>-0.00881927845257468</v>
      </c>
    </row>
    <row r="79" customFormat="false" ht="13.5" hidden="false" customHeight="true" outlineLevel="0" collapsed="false">
      <c r="A79" s="47" t="n">
        <v>42485</v>
      </c>
      <c r="B79" s="20" t="n">
        <v>0.0018127788576594</v>
      </c>
      <c r="C79" s="20" t="n">
        <v>0.00714520246652483</v>
      </c>
      <c r="D79" s="20" t="n">
        <v>-0.0216596990724067</v>
      </c>
      <c r="E79" s="20" t="n">
        <v>0.0124407076001413</v>
      </c>
      <c r="F79" s="20" t="n">
        <v>0.00865230779534975</v>
      </c>
      <c r="G79" s="20" t="n">
        <v>-0.0101134912001157</v>
      </c>
      <c r="H79" s="20" t="n">
        <v>0.0455887284791971</v>
      </c>
      <c r="I79" s="20" t="n">
        <v>0.036536343622882</v>
      </c>
      <c r="J79" s="20" t="n">
        <v>0</v>
      </c>
      <c r="K79" s="20" t="n">
        <v>0.035091356513638</v>
      </c>
      <c r="L79" s="20" t="n">
        <v>0.0290435941128046</v>
      </c>
      <c r="M79" s="20" t="n">
        <v>-0.00482946460753952</v>
      </c>
      <c r="N79" s="20" t="n">
        <v>0.00766776183849238</v>
      </c>
      <c r="O79" s="20" t="n">
        <v>-0.00314545300190038</v>
      </c>
      <c r="P79" s="20" t="n">
        <v>0.0717979509540538</v>
      </c>
      <c r="Q79" s="20" t="n">
        <v>0.0111318295358144</v>
      </c>
      <c r="R79" s="20" t="n">
        <v>0.00878913417640614</v>
      </c>
      <c r="S79" s="20" t="n">
        <v>0.00100454342535583</v>
      </c>
      <c r="T79" s="20" t="n">
        <v>0.00776296133929799</v>
      </c>
      <c r="U79" s="20" t="n">
        <v>0.002121192828338</v>
      </c>
      <c r="V79" s="20" t="n">
        <v>0.00325116351688503</v>
      </c>
      <c r="W79" s="20" t="n">
        <v>0.00808443448019025</v>
      </c>
      <c r="X79" s="20" t="n">
        <v>0.00979443491895182</v>
      </c>
    </row>
    <row r="80" customFormat="false" ht="13.5" hidden="false" customHeight="true" outlineLevel="0" collapsed="false">
      <c r="A80" s="47" t="n">
        <v>42486</v>
      </c>
      <c r="B80" s="20" t="n">
        <v>0.00928064998996713</v>
      </c>
      <c r="C80" s="20" t="n">
        <v>0.000970422531386905</v>
      </c>
      <c r="D80" s="20" t="n">
        <v>0.00314184700236008</v>
      </c>
      <c r="E80" s="20" t="n">
        <v>-0.00656698114035281</v>
      </c>
      <c r="F80" s="20" t="n">
        <v>-0.00464960607868203</v>
      </c>
      <c r="G80" s="20" t="n">
        <v>-0.00247559331491098</v>
      </c>
      <c r="H80" s="20" t="n">
        <v>0.0341914157726419</v>
      </c>
      <c r="I80" s="20" t="n">
        <v>0.016940051828906</v>
      </c>
      <c r="J80" s="20" t="n">
        <v>0.00251572218297346</v>
      </c>
      <c r="K80" s="20" t="n">
        <v>-0.0279738389232622</v>
      </c>
      <c r="L80" s="20" t="n">
        <v>0.0646578598103788</v>
      </c>
      <c r="M80" s="20" t="n">
        <v>-0.00151398174681371</v>
      </c>
      <c r="N80" s="20" t="n">
        <v>0.00507937115592982</v>
      </c>
      <c r="O80" s="20" t="n">
        <v>0.0164045094383036</v>
      </c>
      <c r="P80" s="20" t="n">
        <v>0.0181351946809655</v>
      </c>
      <c r="Q80" s="20" t="n">
        <v>0.005519744150001</v>
      </c>
      <c r="R80" s="20" t="n">
        <v>-0.00145951404375566</v>
      </c>
      <c r="S80" s="20" t="n">
        <v>0.0413038133363552</v>
      </c>
      <c r="T80" s="20" t="n">
        <v>0.00665613339209469</v>
      </c>
      <c r="U80" s="20" t="n">
        <v>0.0032546939498026</v>
      </c>
      <c r="V80" s="20" t="n">
        <v>-0.00893049008074342</v>
      </c>
      <c r="W80" s="20" t="n">
        <v>0.000196409158811583</v>
      </c>
      <c r="X80" s="20" t="n">
        <v>0.000974206462570403</v>
      </c>
    </row>
    <row r="81" customFormat="false" ht="13.5" hidden="false" customHeight="true" outlineLevel="0" collapsed="false">
      <c r="A81" s="47" t="n">
        <v>42487</v>
      </c>
      <c r="B81" s="20" t="n">
        <v>-0.0228550231702646</v>
      </c>
      <c r="C81" s="20" t="n">
        <v>-0.000970422531386905</v>
      </c>
      <c r="D81" s="20" t="n">
        <v>-0.000653762870364005</v>
      </c>
      <c r="E81" s="20" t="n">
        <v>0.0309934937678777</v>
      </c>
      <c r="F81" s="20" t="n">
        <v>-0.0154314026694626</v>
      </c>
      <c r="G81" s="20" t="n">
        <v>-0.0107990307894456</v>
      </c>
      <c r="H81" s="20" t="n">
        <v>-0.00315623304632328</v>
      </c>
      <c r="I81" s="20" t="n">
        <v>0.0587125063326996</v>
      </c>
      <c r="J81" s="20" t="n">
        <v>-0.0151901508235674</v>
      </c>
      <c r="K81" s="20" t="n">
        <v>0.00471699932735225</v>
      </c>
      <c r="L81" s="20" t="n">
        <v>0.00535232907885774</v>
      </c>
      <c r="M81" s="20" t="n">
        <v>-0.00273100314775209</v>
      </c>
      <c r="N81" s="20" t="n">
        <v>-0.0069907914666536</v>
      </c>
      <c r="O81" s="20" t="n">
        <v>-0.00206830038632999</v>
      </c>
      <c r="P81" s="20" t="n">
        <v>-0.0207529946905657</v>
      </c>
      <c r="Q81" s="20" t="n">
        <v>0.0145722797963403</v>
      </c>
      <c r="R81" s="20" t="n">
        <v>-0.0146145300642555</v>
      </c>
      <c r="S81" s="20" t="n">
        <v>0.00576365349844199</v>
      </c>
      <c r="T81" s="20" t="n">
        <v>-0.0240294361598603</v>
      </c>
      <c r="U81" s="20" t="n">
        <v>0.0103443527985929</v>
      </c>
      <c r="V81" s="20" t="n">
        <v>0.0284951373125386</v>
      </c>
      <c r="W81" s="20" t="n">
        <v>-0.010262581820974</v>
      </c>
      <c r="X81" s="20" t="n">
        <v>-0.0147134159624364</v>
      </c>
    </row>
    <row r="82" customFormat="false" ht="13.5" hidden="false" customHeight="true" outlineLevel="0" collapsed="false">
      <c r="A82" s="47" t="n">
        <v>42488</v>
      </c>
      <c r="B82" s="20" t="n">
        <v>-0.00771311864681401</v>
      </c>
      <c r="C82" s="20" t="n">
        <v>-0.00486615990201455</v>
      </c>
      <c r="D82" s="20" t="n">
        <v>-0.0122378041308026</v>
      </c>
      <c r="E82" s="20" t="n">
        <v>-0.0383410232826717</v>
      </c>
      <c r="F82" s="20" t="n">
        <v>-0.0156732025550998</v>
      </c>
      <c r="G82" s="20" t="n">
        <v>-0.0148649153471569</v>
      </c>
      <c r="H82" s="20" t="n">
        <v>0.00420610086850836</v>
      </c>
      <c r="I82" s="20" t="n">
        <v>0.0619281535059199</v>
      </c>
      <c r="J82" s="20" t="n">
        <v>0.00762391771974524</v>
      </c>
      <c r="K82" s="20" t="n">
        <v>0.0255530223147825</v>
      </c>
      <c r="L82" s="20" t="n">
        <v>0.00885748765293614</v>
      </c>
      <c r="M82" s="20" t="n">
        <v>-0.00609574475765484</v>
      </c>
      <c r="N82" s="20" t="n">
        <v>-0.0131601911636343</v>
      </c>
      <c r="O82" s="20" t="n">
        <v>0.00464757633109202</v>
      </c>
      <c r="P82" s="20" t="n">
        <v>0.00392410353723438</v>
      </c>
      <c r="Q82" s="20" t="n">
        <v>0.0107914609893191</v>
      </c>
      <c r="R82" s="20" t="n">
        <v>-0.00703982965586025</v>
      </c>
      <c r="S82" s="20" t="n">
        <v>-0.0450614978060532</v>
      </c>
      <c r="T82" s="20" t="n">
        <v>-0.0169525907702752</v>
      </c>
      <c r="U82" s="20" t="n">
        <v>0.00832671692193276</v>
      </c>
      <c r="V82" s="20" t="n">
        <v>-0.00110775183998068</v>
      </c>
      <c r="W82" s="20" t="n">
        <v>-0.00856664881973356</v>
      </c>
      <c r="X82" s="20" t="n">
        <v>-0.00594644616793438</v>
      </c>
    </row>
    <row r="83" customFormat="false" ht="13.5" hidden="false" customHeight="true" outlineLevel="0" collapsed="false">
      <c r="A83" s="47" t="n">
        <v>42489</v>
      </c>
      <c r="B83" s="20" t="n">
        <v>-0.00460148577103414</v>
      </c>
      <c r="C83" s="20" t="n">
        <v>0.00454249774636039</v>
      </c>
      <c r="D83" s="20" t="n">
        <v>0.0160234743037817</v>
      </c>
      <c r="E83" s="20" t="n">
        <v>0.00441497886151598</v>
      </c>
      <c r="F83" s="20" t="n">
        <v>0.0143200559477212</v>
      </c>
      <c r="G83" s="20" t="n">
        <v>0.00112965037993539</v>
      </c>
      <c r="H83" s="20" t="n">
        <v>-0.0538923825108663</v>
      </c>
      <c r="I83" s="20" t="n">
        <v>-0.0327898038914908</v>
      </c>
      <c r="J83" s="20" t="n">
        <v>0.00505051092084873</v>
      </c>
      <c r="K83" s="20" t="n">
        <v>-0.00229618271887255</v>
      </c>
      <c r="L83" s="20" t="n">
        <v>-0.00353356915784197</v>
      </c>
      <c r="M83" s="20" t="n">
        <v>0.0027476785686753</v>
      </c>
      <c r="N83" s="20" t="n">
        <v>0.0169793852264756</v>
      </c>
      <c r="O83" s="20" t="n">
        <v>0.00718685808672203</v>
      </c>
      <c r="P83" s="20" t="n">
        <v>-0.0304861282065616</v>
      </c>
      <c r="Q83" s="20" t="n">
        <v>-0.00718135233860439</v>
      </c>
      <c r="R83" s="20" t="n">
        <v>0.00940830869129527</v>
      </c>
      <c r="S83" s="20" t="n">
        <v>-0.023315759445512</v>
      </c>
      <c r="T83" s="20" t="n">
        <v>-0.00437474013603544</v>
      </c>
      <c r="U83" s="20" t="n">
        <v>0.00651674966009441</v>
      </c>
      <c r="V83" s="20" t="n">
        <v>-0.00305260708301879</v>
      </c>
      <c r="W83" s="20" t="n">
        <v>0.0121310150721427</v>
      </c>
      <c r="X83" s="20" t="n">
        <v>0.0128395996723749</v>
      </c>
    </row>
    <row r="84" customFormat="false" ht="13.5" hidden="false" customHeight="true" outlineLevel="0" collapsed="false">
      <c r="A84" s="47" t="n">
        <v>42492</v>
      </c>
      <c r="B84" s="20" t="n">
        <v>-0.00787840532242878</v>
      </c>
      <c r="C84" s="20" t="n">
        <v>-0.00845258600194576</v>
      </c>
      <c r="D84" s="20" t="n">
        <v>-0.00653597097978586</v>
      </c>
      <c r="E84" s="20" t="n">
        <v>-0.0140482590603649</v>
      </c>
      <c r="F84" s="20" t="n">
        <v>-0.028151587824281</v>
      </c>
      <c r="G84" s="20" t="n">
        <v>-0.00651282321239854</v>
      </c>
      <c r="H84" s="20" t="n">
        <v>-0.0699425631818957</v>
      </c>
      <c r="I84" s="20" t="n">
        <v>-0.019156725987556</v>
      </c>
      <c r="J84" s="20" t="n">
        <v>-0.00505051092084873</v>
      </c>
      <c r="K84" s="20" t="n">
        <v>-0.0518984736273427</v>
      </c>
      <c r="L84" s="20" t="n">
        <v>-0.0810756989503895</v>
      </c>
      <c r="M84" s="20" t="n">
        <v>0.0270693678677202</v>
      </c>
      <c r="N84" s="20" t="n">
        <v>-0.0290062110017701</v>
      </c>
      <c r="O84" s="20" t="n">
        <v>-0.00487114489138118</v>
      </c>
      <c r="P84" s="20" t="n">
        <v>-0.126060756858861</v>
      </c>
      <c r="Q84" s="20" t="n">
        <v>-0.0181823884470551</v>
      </c>
      <c r="R84" s="20" t="n">
        <v>0.0240553185520697</v>
      </c>
      <c r="S84" s="20" t="n">
        <v>-0.0103094091894035</v>
      </c>
      <c r="T84" s="20" t="n">
        <v>-0.0188093398965856</v>
      </c>
      <c r="U84" s="20" t="n">
        <v>0.00126665360899824</v>
      </c>
      <c r="V84" s="20" t="n">
        <v>-0.0116012462277366</v>
      </c>
      <c r="W84" s="20" t="n">
        <v>-0.0117309258918658</v>
      </c>
      <c r="X84" s="20" t="n">
        <v>-0.0178221898629216</v>
      </c>
    </row>
    <row r="85" customFormat="false" ht="13.5" hidden="false" customHeight="true" outlineLevel="0" collapsed="false">
      <c r="A85" s="47" t="n">
        <v>42493</v>
      </c>
      <c r="B85" s="20" t="n">
        <v>0.000832201415362554</v>
      </c>
      <c r="C85" s="20" t="n">
        <v>-0.0184519287331199</v>
      </c>
      <c r="D85" s="20" t="n">
        <v>-0.0182641025602476</v>
      </c>
      <c r="E85" s="20" t="n">
        <v>-0.00897536932514109</v>
      </c>
      <c r="F85" s="20" t="n">
        <v>-0.0161463349162271</v>
      </c>
      <c r="G85" s="20" t="n">
        <v>-0.00569804278905383</v>
      </c>
      <c r="H85" s="20" t="n">
        <v>0.0327132577676607</v>
      </c>
      <c r="I85" s="20" t="n">
        <v>-0.0356515601026372</v>
      </c>
      <c r="J85" s="20" t="n">
        <v>-0.0178804078545937</v>
      </c>
      <c r="K85" s="20" t="n">
        <v>-0.0319830009330851</v>
      </c>
      <c r="L85" s="20" t="n">
        <v>-0.0695413977026495</v>
      </c>
      <c r="M85" s="20" t="n">
        <v>-0.00894191432981816</v>
      </c>
      <c r="N85" s="20" t="n">
        <v>0.0123498211442099</v>
      </c>
      <c r="O85" s="20" t="n">
        <v>-0.000771276010564481</v>
      </c>
      <c r="P85" s="20" t="n">
        <v>-0.0405040141193391</v>
      </c>
      <c r="Q85" s="20" t="n">
        <v>0.00548953076255798</v>
      </c>
      <c r="R85" s="20" t="n">
        <v>-0.000192441951280208</v>
      </c>
      <c r="S85" s="20" t="n">
        <v>-0.0177736078407302</v>
      </c>
      <c r="T85" s="20" t="n">
        <v>-0.0157601786361936</v>
      </c>
      <c r="U85" s="20" t="n">
        <v>0.00047455160622345</v>
      </c>
      <c r="V85" s="20" t="n">
        <v>-0.00493269246099448</v>
      </c>
      <c r="W85" s="20" t="n">
        <v>-0.021427975474328</v>
      </c>
      <c r="X85" s="20" t="n">
        <v>-0.0150984823976556</v>
      </c>
    </row>
    <row r="86" customFormat="false" ht="13.5" hidden="false" customHeight="true" outlineLevel="0" collapsed="false">
      <c r="A86" s="47" t="n">
        <v>42494</v>
      </c>
      <c r="B86" s="20" t="n">
        <v>0.0152727322761583</v>
      </c>
      <c r="C86" s="20" t="n">
        <v>-0.00600401046407039</v>
      </c>
      <c r="D86" s="20" t="n">
        <v>0.00532829152060632</v>
      </c>
      <c r="E86" s="20" t="n">
        <v>0.000750978267704649</v>
      </c>
      <c r="F86" s="20" t="n">
        <v>-0.00567779544039082</v>
      </c>
      <c r="G86" s="20" t="n">
        <v>-0.00228838295371458</v>
      </c>
      <c r="H86" s="20" t="n">
        <v>-0.022081153318842</v>
      </c>
      <c r="I86" s="20" t="n">
        <v>0.0145203125363573</v>
      </c>
      <c r="J86" s="20" t="n">
        <v>0</v>
      </c>
      <c r="K86" s="20" t="n">
        <v>0.00498755151928154</v>
      </c>
      <c r="L86" s="20" t="n">
        <v>-0.0484815725690985</v>
      </c>
      <c r="M86" s="20" t="n">
        <v>0.00507685623356346</v>
      </c>
      <c r="N86" s="20" t="n">
        <v>-0.0933740141515713</v>
      </c>
      <c r="O86" s="20" t="n">
        <v>-0.00360730575903556</v>
      </c>
      <c r="P86" s="20" t="n">
        <v>0</v>
      </c>
      <c r="Q86" s="20" t="n">
        <v>-0.0240085613582605</v>
      </c>
      <c r="R86" s="20" t="n">
        <v>0.0119590038689425</v>
      </c>
      <c r="S86" s="20" t="n">
        <v>0.00735690648525366</v>
      </c>
      <c r="T86" s="20" t="n">
        <v>-0.00873705277748149</v>
      </c>
      <c r="U86" s="20" t="n">
        <v>-0.00618704901524491</v>
      </c>
      <c r="V86" s="20" t="n">
        <v>0.00521388831092917</v>
      </c>
      <c r="W86" s="20" t="n">
        <v>0.000408589550755955</v>
      </c>
      <c r="X86" s="20" t="n">
        <v>0.00101370805577394</v>
      </c>
    </row>
    <row r="87" customFormat="false" ht="13.5" hidden="false" customHeight="true" outlineLevel="0" collapsed="false">
      <c r="A87" s="47" t="n">
        <v>42495</v>
      </c>
      <c r="B87" s="20" t="n">
        <v>0.00558274925444202</v>
      </c>
      <c r="C87" s="20" t="n">
        <v>0.00766540625490375</v>
      </c>
      <c r="D87" s="20" t="n">
        <v>-0.00894111769230576</v>
      </c>
      <c r="E87" s="20" t="n">
        <v>0.00896866167237409</v>
      </c>
      <c r="F87" s="20" t="n">
        <v>0.00426133217765745</v>
      </c>
      <c r="G87" s="20" t="n">
        <v>-0.010652150404204</v>
      </c>
      <c r="H87" s="20" t="n">
        <v>0.0116823651164075</v>
      </c>
      <c r="I87" s="20" t="n">
        <v>0.0242628458337388</v>
      </c>
      <c r="J87" s="20" t="n">
        <v>0.0128042597374715</v>
      </c>
      <c r="K87" s="20" t="n">
        <v>-0.0642069153294434</v>
      </c>
      <c r="L87" s="20" t="n">
        <v>0.0318836975809206</v>
      </c>
      <c r="M87" s="20" t="n">
        <v>0.000297904276311378</v>
      </c>
      <c r="N87" s="20" t="n">
        <v>0.0119846391287752</v>
      </c>
      <c r="O87" s="20" t="n">
        <v>0.00643254473785104</v>
      </c>
      <c r="P87" s="20" t="n">
        <v>-0.009584728786731</v>
      </c>
      <c r="Q87" s="20" t="n">
        <v>-0.00374531921853482</v>
      </c>
      <c r="R87" s="20" t="n">
        <v>-0.00285717386519923</v>
      </c>
      <c r="S87" s="20" t="n">
        <v>0.00209199911119029</v>
      </c>
      <c r="T87" s="20" t="n">
        <v>0.0121352116266439</v>
      </c>
      <c r="U87" s="20" t="n">
        <v>0.00143118657267304</v>
      </c>
      <c r="V87" s="20" t="n">
        <v>0.000983349007719347</v>
      </c>
      <c r="W87" s="20" t="n">
        <v>0.00122476793369674</v>
      </c>
      <c r="X87" s="20" t="n">
        <v>0.00101268149229971</v>
      </c>
    </row>
    <row r="88" customFormat="false" ht="13.5" hidden="false" customHeight="true" outlineLevel="0" collapsed="false">
      <c r="A88" s="47" t="n">
        <v>42496</v>
      </c>
      <c r="B88" s="20" t="n">
        <v>0.000339429481036823</v>
      </c>
      <c r="C88" s="20" t="n">
        <v>-0.00833478607127347</v>
      </c>
      <c r="D88" s="20" t="n">
        <v>0.0131834641015018</v>
      </c>
      <c r="E88" s="20" t="n">
        <v>-0.00896866167237409</v>
      </c>
      <c r="F88" s="20" t="n">
        <v>-0.00854096921584624</v>
      </c>
      <c r="G88" s="20" t="n">
        <v>0.0366570642327093</v>
      </c>
      <c r="H88" s="20" t="n">
        <v>0.00232018453796944</v>
      </c>
      <c r="I88" s="20" t="n">
        <v>-0.0507723657517646</v>
      </c>
      <c r="J88" s="20" t="n">
        <v>0</v>
      </c>
      <c r="K88" s="20" t="n">
        <v>-0.0489228170160068</v>
      </c>
      <c r="L88" s="20" t="n">
        <v>-0.103502699556876</v>
      </c>
      <c r="M88" s="20" t="n">
        <v>0.00712162826937889</v>
      </c>
      <c r="N88" s="20" t="n">
        <v>-0.011630151567529</v>
      </c>
      <c r="O88" s="20" t="n">
        <v>-0.00333978638743737</v>
      </c>
      <c r="P88" s="20" t="n">
        <v>-0.0443058483831593</v>
      </c>
      <c r="Q88" s="20" t="n">
        <v>-0.00187788824296353</v>
      </c>
      <c r="R88" s="20" t="n">
        <v>0.00845248780967455</v>
      </c>
      <c r="S88" s="20" t="n">
        <v>0.00936045885251246</v>
      </c>
      <c r="T88" s="20" t="n">
        <v>-0.000754165096772396</v>
      </c>
      <c r="U88" s="20" t="n">
        <v>0.0115334170687368</v>
      </c>
      <c r="V88" s="20" t="n">
        <v>0.00168343360803557</v>
      </c>
      <c r="W88" s="20" t="n">
        <v>-0.00286005072314621</v>
      </c>
      <c r="X88" s="20" t="n">
        <v>-0.00915107069697063</v>
      </c>
    </row>
    <row r="89" customFormat="false" ht="13.5" hidden="false" customHeight="true" outlineLevel="0" collapsed="false">
      <c r="A89" s="47" t="n">
        <v>42499</v>
      </c>
      <c r="B89" s="20" t="n">
        <v>0.0176924658333907</v>
      </c>
      <c r="C89" s="20" t="n">
        <v>0.020216093993203</v>
      </c>
      <c r="D89" s="20" t="n">
        <v>0.0169217780793875</v>
      </c>
      <c r="E89" s="20" t="n">
        <v>0.012682011051738</v>
      </c>
      <c r="F89" s="20" t="n">
        <v>0.0219167782869624</v>
      </c>
      <c r="G89" s="20" t="n">
        <v>-0.0168827436666352</v>
      </c>
      <c r="H89" s="20" t="n">
        <v>0.075844604113914</v>
      </c>
      <c r="I89" s="20" t="n">
        <v>0.0222291535378444</v>
      </c>
      <c r="J89" s="20" t="n">
        <v>0.0126423812209444</v>
      </c>
      <c r="K89" s="20" t="n">
        <v>0.0247605589295863</v>
      </c>
      <c r="L89" s="20" t="n">
        <v>0.0541893840431606</v>
      </c>
      <c r="M89" s="20" t="n">
        <v>-0.000591554530104954</v>
      </c>
      <c r="N89" s="20" t="n">
        <v>0.0182653644979948</v>
      </c>
      <c r="O89" s="20" t="n">
        <v>0.0115135147129548</v>
      </c>
      <c r="P89" s="20" t="n">
        <v>0.0264915903469808</v>
      </c>
      <c r="Q89" s="20" t="n">
        <v>0.0204657667116017</v>
      </c>
      <c r="R89" s="20" t="n">
        <v>0.0033988006337875</v>
      </c>
      <c r="S89" s="20" t="n">
        <v>0.00824746172670298</v>
      </c>
      <c r="T89" s="20" t="n">
        <v>0.0194253567567188</v>
      </c>
      <c r="U89" s="20" t="n">
        <v>0.0146579677111118</v>
      </c>
      <c r="V89" s="20" t="n">
        <v>0.00265979645712199</v>
      </c>
      <c r="W89" s="20" t="n">
        <v>0.0105821183669889</v>
      </c>
      <c r="X89" s="20" t="n">
        <v>0.0202231171034728</v>
      </c>
    </row>
    <row r="90" customFormat="false" ht="13.5" hidden="false" customHeight="true" outlineLevel="0" collapsed="false">
      <c r="A90" s="47" t="n">
        <v>42500</v>
      </c>
      <c r="B90" s="20" t="n">
        <v>-0.00682462356241764</v>
      </c>
      <c r="C90" s="20" t="n">
        <v>-0.00460374192576651</v>
      </c>
      <c r="D90" s="20" t="n">
        <v>-0.00744176962818965</v>
      </c>
      <c r="E90" s="20" t="n">
        <v>-0.012682011051738</v>
      </c>
      <c r="F90" s="20" t="n">
        <v>-0.00701759942878155</v>
      </c>
      <c r="G90" s="20" t="n">
        <v>-0.0151540452003464</v>
      </c>
      <c r="H90" s="20" t="n">
        <v>0.00749066479182913</v>
      </c>
      <c r="I90" s="20" t="n">
        <v>0.00481413896104721</v>
      </c>
      <c r="J90" s="20" t="n">
        <v>-0.0126423812209444</v>
      </c>
      <c r="K90" s="20" t="n">
        <v>0.0268112321697584</v>
      </c>
      <c r="L90" s="20" t="n">
        <v>0.0109290078803903</v>
      </c>
      <c r="M90" s="20" t="n">
        <v>-0.0191164542512702</v>
      </c>
      <c r="N90" s="20" t="n">
        <v>-0.0147267767987191</v>
      </c>
      <c r="O90" s="20" t="n">
        <v>-0.00331255406320529</v>
      </c>
      <c r="P90" s="20" t="n">
        <v>0.134348071230575</v>
      </c>
      <c r="Q90" s="20" t="n">
        <v>0.00183996905398764</v>
      </c>
      <c r="R90" s="20" t="n">
        <v>-0.0184538176196618</v>
      </c>
      <c r="S90" s="20" t="n">
        <v>-0.00205544821083458</v>
      </c>
      <c r="T90" s="20" t="n">
        <v>-0.0122837917107303</v>
      </c>
      <c r="U90" s="20" t="n">
        <v>0.000154819848638965</v>
      </c>
      <c r="V90" s="20" t="n">
        <v>-0.0101167258692687</v>
      </c>
      <c r="W90" s="20" t="n">
        <v>-0.00649879793185048</v>
      </c>
      <c r="X90" s="20" t="n">
        <v>-0.00200395899239014</v>
      </c>
    </row>
    <row r="91" customFormat="false" ht="13.5" hidden="false" customHeight="true" outlineLevel="0" collapsed="false">
      <c r="A91" s="47" t="n">
        <v>42501</v>
      </c>
      <c r="B91" s="20" t="n">
        <v>-0.000738779796733979</v>
      </c>
      <c r="C91" s="20" t="n">
        <v>-0.0082740985751526</v>
      </c>
      <c r="D91" s="20" t="n">
        <v>-0.00459708541694414</v>
      </c>
      <c r="E91" s="20" t="n">
        <v>0.00224977121962144</v>
      </c>
      <c r="F91" s="20" t="n">
        <v>-0.00423426642650426</v>
      </c>
      <c r="G91" s="20" t="n">
        <v>0.00517243420786428</v>
      </c>
      <c r="H91" s="20" t="n">
        <v>0</v>
      </c>
      <c r="I91" s="20" t="n">
        <v>-0.0391779870134496</v>
      </c>
      <c r="J91" s="20" t="n">
        <v>-0.00510204691887827</v>
      </c>
      <c r="K91" s="20" t="n">
        <v>-0.0571584092021765</v>
      </c>
      <c r="L91" s="20" t="n">
        <v>-0.0354018934313746</v>
      </c>
      <c r="M91" s="20" t="n">
        <v>0.00090425868970323</v>
      </c>
      <c r="N91" s="20" t="n">
        <v>0.00528448023360983</v>
      </c>
      <c r="O91" s="20" t="n">
        <v>0.00939925461769286</v>
      </c>
      <c r="P91" s="20" t="n">
        <v>-0.0245854866430312</v>
      </c>
      <c r="Q91" s="20" t="n">
        <v>0.0109690208521073</v>
      </c>
      <c r="R91" s="20" t="n">
        <v>0.00660252917619974</v>
      </c>
      <c r="S91" s="20" t="n">
        <v>-0.0218417453196577</v>
      </c>
      <c r="T91" s="20" t="n">
        <v>-0.00112425292612661</v>
      </c>
      <c r="U91" s="20" t="n">
        <v>0.00632565622973313</v>
      </c>
      <c r="V91" s="20" t="n">
        <v>0.00661556685167585</v>
      </c>
      <c r="W91" s="20" t="n">
        <v>0.00244198185489885</v>
      </c>
      <c r="X91" s="20" t="n">
        <v>-0.00805643040822623</v>
      </c>
    </row>
    <row r="92" customFormat="false" ht="13.5" hidden="false" customHeight="true" outlineLevel="0" collapsed="false">
      <c r="A92" s="47" t="n">
        <v>42502</v>
      </c>
      <c r="B92" s="20" t="n">
        <v>-0.00755328062609539</v>
      </c>
      <c r="C92" s="20" t="n">
        <v>-0.0150680648588181</v>
      </c>
      <c r="D92" s="20" t="n">
        <v>0.00485919590771288</v>
      </c>
      <c r="E92" s="20" t="n">
        <v>-0.00978555879837861</v>
      </c>
      <c r="F92" s="20" t="n">
        <v>-0.0185587214249967</v>
      </c>
      <c r="G92" s="20" t="n">
        <v>-0.000860180104561347</v>
      </c>
      <c r="H92" s="20" t="n">
        <v>-0.0615578344175506</v>
      </c>
      <c r="I92" s="20" t="n">
        <v>-0.00333526568513908</v>
      </c>
      <c r="J92" s="20" t="n">
        <v>-0.00512821135084795</v>
      </c>
      <c r="K92" s="20" t="n">
        <v>0.0518533460687852</v>
      </c>
      <c r="L92" s="20" t="n">
        <v>-0.0723769546490176</v>
      </c>
      <c r="M92" s="20" t="n">
        <v>0</v>
      </c>
      <c r="N92" s="20" t="n">
        <v>-0.0205900047020954</v>
      </c>
      <c r="O92" s="20" t="n">
        <v>-0.0101652135111511</v>
      </c>
      <c r="P92" s="20" t="n">
        <v>-0.0162365390987049</v>
      </c>
      <c r="Q92" s="20" t="n">
        <v>-0.040821954783826</v>
      </c>
      <c r="R92" s="20" t="n">
        <v>-0.0113179831222769</v>
      </c>
      <c r="S92" s="20" t="n">
        <v>0.00105099626290305</v>
      </c>
      <c r="T92" s="20" t="n">
        <v>-0.00526314702308949</v>
      </c>
      <c r="U92" s="20" t="n">
        <v>-0.00679006956310424</v>
      </c>
      <c r="V92" s="20" t="n">
        <v>-0.00140388166766136</v>
      </c>
      <c r="W92" s="20" t="n">
        <v>-0.0197050517921444</v>
      </c>
      <c r="X92" s="20" t="n">
        <v>-0.0224958629937916</v>
      </c>
    </row>
    <row r="93" customFormat="false" ht="13.5" hidden="false" customHeight="true" outlineLevel="0" collapsed="false">
      <c r="A93" s="47" t="n">
        <v>42503</v>
      </c>
      <c r="B93" s="20" t="n">
        <v>0.0117102451749824</v>
      </c>
      <c r="C93" s="20" t="n">
        <v>0.0107383327558632</v>
      </c>
      <c r="D93" s="20" t="n">
        <v>0.0253538228148322</v>
      </c>
      <c r="E93" s="20" t="n">
        <v>0.00753578757875716</v>
      </c>
      <c r="F93" s="20" t="n">
        <v>0.00359584637584209</v>
      </c>
      <c r="G93" s="20" t="n">
        <v>-0.00287280549064261</v>
      </c>
      <c r="H93" s="20" t="n">
        <v>0</v>
      </c>
      <c r="I93" s="20" t="n">
        <v>0.0290830211222088</v>
      </c>
      <c r="J93" s="20" t="n">
        <v>0.00512821135084795</v>
      </c>
      <c r="K93" s="20" t="n">
        <v>-0.0324352618170663</v>
      </c>
      <c r="L93" s="20" t="n">
        <v>0.0239245628846787</v>
      </c>
      <c r="M93" s="20" t="n">
        <v>0.00570836587711509</v>
      </c>
      <c r="N93" s="20" t="n">
        <v>-0.00215438026505188</v>
      </c>
      <c r="O93" s="20" t="n">
        <v>0.00331499099729404</v>
      </c>
      <c r="P93" s="20" t="n">
        <v>0.0564141392799695</v>
      </c>
      <c r="Q93" s="20" t="n">
        <v>0.00754719816612925</v>
      </c>
      <c r="R93" s="20" t="n">
        <v>0.00845269539141835</v>
      </c>
      <c r="S93" s="20" t="n">
        <v>0.0187309689582568</v>
      </c>
      <c r="T93" s="20" t="n">
        <v>0.016448917660536</v>
      </c>
      <c r="U93" s="20" t="n">
        <v>0.00278336811290902</v>
      </c>
      <c r="V93" s="20" t="n">
        <v>0.0229160990018852</v>
      </c>
      <c r="W93" s="20" t="n">
        <v>0.000621671942783397</v>
      </c>
      <c r="X93" s="20" t="n">
        <v>0.0113111393882072</v>
      </c>
    </row>
    <row r="94" customFormat="false" ht="13.5" hidden="false" customHeight="true" outlineLevel="0" collapsed="false">
      <c r="A94" s="47" t="n">
        <v>42506</v>
      </c>
      <c r="B94" s="20" t="n">
        <v>-0.00981656965885768</v>
      </c>
      <c r="C94" s="20" t="n">
        <v>-0.00837941802968256</v>
      </c>
      <c r="D94" s="20" t="n">
        <v>-0.0245681030505471</v>
      </c>
      <c r="E94" s="20" t="n">
        <v>-0.0136056030166207</v>
      </c>
      <c r="F94" s="20" t="n">
        <v>0.00572656698642548</v>
      </c>
      <c r="G94" s="20" t="n">
        <v>-0.00866804757792749</v>
      </c>
      <c r="H94" s="20" t="n">
        <v>-0.0171530622496665</v>
      </c>
      <c r="I94" s="20" t="n">
        <v>-0.00108227598546228</v>
      </c>
      <c r="J94" s="20" t="n">
        <v>-0.00512821135084795</v>
      </c>
      <c r="K94" s="20" t="n">
        <v>-0.0565121559976777</v>
      </c>
      <c r="L94" s="20" t="n">
        <v>0.0187358932721626</v>
      </c>
      <c r="M94" s="20" t="n">
        <v>-0.010540747787056</v>
      </c>
      <c r="N94" s="20" t="n">
        <v>-0.013388979776316</v>
      </c>
      <c r="O94" s="20" t="n">
        <v>-0.00433724803585544</v>
      </c>
      <c r="P94" s="20" t="n">
        <v>0.0386254542996618</v>
      </c>
      <c r="Q94" s="20" t="n">
        <v>-0.00944297668671501</v>
      </c>
      <c r="R94" s="20" t="n">
        <v>-0.0236147855192605</v>
      </c>
      <c r="S94" s="20" t="n">
        <v>0.00308798330533743</v>
      </c>
      <c r="T94" s="20" t="n">
        <v>-0.0119359753942425</v>
      </c>
      <c r="U94" s="20" t="n">
        <v>-0.013681821728853</v>
      </c>
      <c r="V94" s="20" t="n">
        <v>-0.0224947382340037</v>
      </c>
      <c r="W94" s="20" t="n">
        <v>-0.0135574405270553</v>
      </c>
      <c r="X94" s="20" t="n">
        <v>-0.00102294383446688</v>
      </c>
    </row>
    <row r="95" customFormat="false" ht="13.5" hidden="false" customHeight="true" outlineLevel="0" collapsed="false">
      <c r="A95" s="47" t="n">
        <v>42507</v>
      </c>
      <c r="B95" s="20" t="n">
        <v>-0.00446945736426851</v>
      </c>
      <c r="C95" s="20" t="n">
        <v>-0.00337159365358852</v>
      </c>
      <c r="D95" s="20" t="n">
        <v>-0.000785719764285097</v>
      </c>
      <c r="E95" s="20" t="n">
        <v>0.00152087511781928</v>
      </c>
      <c r="F95" s="20" t="n">
        <v>0.0473955849350513</v>
      </c>
      <c r="G95" s="20" t="n">
        <v>-0.00261514474717694</v>
      </c>
      <c r="H95" s="20" t="n">
        <v>-0.00578379160062536</v>
      </c>
      <c r="I95" s="20" t="n">
        <v>-0.0805841819055896</v>
      </c>
      <c r="J95" s="20" t="n">
        <v>0</v>
      </c>
      <c r="K95" s="20" t="n">
        <v>-0.0324991884662491</v>
      </c>
      <c r="L95" s="20" t="n">
        <v>-0.0426604561568413</v>
      </c>
      <c r="M95" s="20" t="n">
        <v>0.00422959531153699</v>
      </c>
      <c r="N95" s="20" t="n">
        <v>-0.0209837113158588</v>
      </c>
      <c r="O95" s="20" t="n">
        <v>-0.0170194885794141</v>
      </c>
      <c r="P95" s="20" t="n">
        <v>0.0107672541647234</v>
      </c>
      <c r="Q95" s="20" t="n">
        <v>-0.024977305442505</v>
      </c>
      <c r="R95" s="20" t="n">
        <v>-0.0057948792054292</v>
      </c>
      <c r="S95" s="20" t="n">
        <v>0.0071685559879806</v>
      </c>
      <c r="T95" s="20" t="n">
        <v>0.00262318667284144</v>
      </c>
      <c r="U95" s="20" t="n">
        <v>-0.014030329787066</v>
      </c>
      <c r="V95" s="20" t="n">
        <v>-0.00168661670962499</v>
      </c>
      <c r="W95" s="20" t="n">
        <v>0.0213990213676855</v>
      </c>
      <c r="X95" s="20" t="n">
        <v>0.0518560332300697</v>
      </c>
    </row>
    <row r="96" customFormat="false" ht="13.5" hidden="false" customHeight="true" outlineLevel="0" collapsed="false">
      <c r="A96" s="47" t="n">
        <v>42508</v>
      </c>
      <c r="B96" s="20" t="n">
        <v>-0.0164919997016728</v>
      </c>
      <c r="C96" s="20" t="n">
        <v>-0.00847888657135254</v>
      </c>
      <c r="D96" s="20" t="n">
        <v>-0.0268205704840083</v>
      </c>
      <c r="E96" s="20" t="n">
        <v>-0.00533332272370934</v>
      </c>
      <c r="F96" s="20" t="n">
        <v>-0.0109515024165656</v>
      </c>
      <c r="G96" s="20" t="n">
        <v>0.013295077164324</v>
      </c>
      <c r="H96" s="20" t="n">
        <v>-0.0140189082935986</v>
      </c>
      <c r="I96" s="20" t="n">
        <v>0.0145647775171622</v>
      </c>
      <c r="J96" s="20" t="n">
        <v>0.00512821135084795</v>
      </c>
      <c r="K96" s="20" t="n">
        <v>-0.0398215294259043</v>
      </c>
      <c r="L96" s="20" t="n">
        <v>-0.0024242990980936</v>
      </c>
      <c r="M96" s="20" t="n">
        <v>0.00631115247551905</v>
      </c>
      <c r="N96" s="20" t="n">
        <v>0.00148702317715843</v>
      </c>
      <c r="O96" s="20" t="n">
        <v>-0.000260167417513113</v>
      </c>
      <c r="P96" s="20" t="n">
        <v>0.00932720590265256</v>
      </c>
      <c r="Q96" s="20" t="n">
        <v>0.00968065471142543</v>
      </c>
      <c r="R96" s="20" t="n">
        <v>-0.00563047581095332</v>
      </c>
      <c r="S96" s="20" t="n">
        <v>-0.0071685559879806</v>
      </c>
      <c r="T96" s="20" t="n">
        <v>0.0313158909959465</v>
      </c>
      <c r="U96" s="20" t="n">
        <v>0.00569887240026467</v>
      </c>
      <c r="V96" s="20" t="n">
        <v>-0.0107481520725709</v>
      </c>
      <c r="W96" s="20" t="n">
        <v>-0.00556531273693039</v>
      </c>
      <c r="X96" s="20" t="n">
        <v>-0.00682593523514762</v>
      </c>
    </row>
    <row r="97" customFormat="false" ht="13.5" hidden="false" customHeight="true" outlineLevel="0" collapsed="false">
      <c r="A97" s="47" t="n">
        <v>42509</v>
      </c>
      <c r="B97" s="20" t="n">
        <v>0.0158810058335223</v>
      </c>
      <c r="C97" s="20" t="n">
        <v>0.00678885082693137</v>
      </c>
      <c r="D97" s="20" t="n">
        <v>0.00670603393452129</v>
      </c>
      <c r="E97" s="20" t="n">
        <v>0.00761034333734045</v>
      </c>
      <c r="F97" s="20" t="n">
        <v>-0.000688418281361347</v>
      </c>
      <c r="G97" s="20" t="n">
        <v>-0.00604761805358844</v>
      </c>
      <c r="H97" s="20" t="n">
        <v>0.00352319475189455</v>
      </c>
      <c r="I97" s="20" t="n">
        <v>0.00461627592165747</v>
      </c>
      <c r="J97" s="20" t="n">
        <v>0.00764334188394455</v>
      </c>
      <c r="K97" s="20" t="n">
        <v>0.0368139574136603</v>
      </c>
      <c r="L97" s="20" t="n">
        <v>-0.0345713114958332</v>
      </c>
      <c r="M97" s="20" t="n">
        <v>0.0107271766325629</v>
      </c>
      <c r="N97" s="20" t="n">
        <v>0.00518709539596207</v>
      </c>
      <c r="O97" s="20" t="n">
        <v>0.000260167417513113</v>
      </c>
      <c r="P97" s="20" t="n">
        <v>-0.0160431094990922</v>
      </c>
      <c r="Q97" s="20" t="n">
        <v>0.00576365349844221</v>
      </c>
      <c r="R97" s="20" t="n">
        <v>-0.014869770446845</v>
      </c>
      <c r="S97" s="20" t="n">
        <v>0.0213531293022355</v>
      </c>
      <c r="T97" s="20" t="n">
        <v>0.0144042686979308</v>
      </c>
      <c r="U97" s="20" t="n">
        <v>-0.00617529311292663</v>
      </c>
      <c r="V97" s="20" t="n">
        <v>0.00623665829816388</v>
      </c>
      <c r="W97" s="20" t="n">
        <v>0.00761867018435546</v>
      </c>
      <c r="X97" s="20" t="n">
        <v>0.000977924312730582</v>
      </c>
    </row>
    <row r="98" customFormat="false" ht="13.5" hidden="false" customHeight="true" outlineLevel="0" collapsed="false">
      <c r="A98" s="47" t="n">
        <v>42510</v>
      </c>
      <c r="B98" s="20" t="n">
        <v>-0.00326505779868213</v>
      </c>
      <c r="C98" s="20" t="n">
        <v>-0.00237083188352382</v>
      </c>
      <c r="D98" s="20" t="n">
        <v>-0.00980591819437126</v>
      </c>
      <c r="E98" s="20" t="n">
        <v>-0.00455923788528522</v>
      </c>
      <c r="F98" s="20" t="n">
        <v>-0.00344948182572046</v>
      </c>
      <c r="G98" s="20" t="n">
        <v>0.00518584596136673</v>
      </c>
      <c r="H98" s="20" t="n">
        <v>-0.017741430499399</v>
      </c>
      <c r="I98" s="20" t="n">
        <v>-0.000575884177414831</v>
      </c>
      <c r="J98" s="20" t="n">
        <v>-0.00764334188394455</v>
      </c>
      <c r="K98" s="20" t="n">
        <v>-0.0060422366587356</v>
      </c>
      <c r="L98" s="20" t="n">
        <v>0.00501253703121107</v>
      </c>
      <c r="M98" s="20" t="n">
        <v>-0.00207694807430725</v>
      </c>
      <c r="N98" s="20" t="n">
        <v>-0.00555864393807814</v>
      </c>
      <c r="O98" s="20" t="n">
        <v>-0.00338677065524928</v>
      </c>
      <c r="P98" s="20" t="n">
        <v>-0.0135687160372643</v>
      </c>
      <c r="Q98" s="20" t="n">
        <v>-0.0232568406705926</v>
      </c>
      <c r="R98" s="20" t="n">
        <v>-0.0140740377891983</v>
      </c>
      <c r="S98" s="20" t="n">
        <v>-0.00100646966373441</v>
      </c>
      <c r="T98" s="20" t="n">
        <v>-0.00107310972124974</v>
      </c>
      <c r="U98" s="20" t="n">
        <v>0.00443744931475631</v>
      </c>
      <c r="V98" s="20" t="n">
        <v>-0.00524184981486364</v>
      </c>
      <c r="W98" s="20" t="n">
        <v>-0.00102615168920428</v>
      </c>
      <c r="X98" s="20" t="n">
        <v>-0.00293683362562369</v>
      </c>
    </row>
    <row r="99" customFormat="false" ht="13.5" hidden="false" customHeight="true" outlineLevel="0" collapsed="false">
      <c r="A99" s="47" t="n">
        <v>42513</v>
      </c>
      <c r="B99" s="20" t="n">
        <v>0.010437896559349</v>
      </c>
      <c r="C99" s="20" t="n">
        <v>0.0121335961897219</v>
      </c>
      <c r="D99" s="20" t="n">
        <v>0.0122091277712419</v>
      </c>
      <c r="E99" s="20" t="n">
        <v>0.0121121728241098</v>
      </c>
      <c r="F99" s="20" t="n">
        <v>0.0144084848775576</v>
      </c>
      <c r="G99" s="20" t="n">
        <v>0.0204785661545794</v>
      </c>
      <c r="H99" s="20" t="n">
        <v>0.00119260486607686</v>
      </c>
      <c r="I99" s="20" t="n">
        <v>-0.0568874328209005</v>
      </c>
      <c r="J99" s="20" t="n">
        <v>0.0127066389506063</v>
      </c>
      <c r="K99" s="20" t="n">
        <v>0.0953101551743069</v>
      </c>
      <c r="L99" s="20" t="n">
        <v>-0.0227569651710337</v>
      </c>
      <c r="M99" s="20" t="n">
        <v>0.0126901607516849</v>
      </c>
      <c r="N99" s="20" t="n">
        <v>0.0107190422826857</v>
      </c>
      <c r="O99" s="20" t="n">
        <v>0.00468629615495652</v>
      </c>
      <c r="P99" s="20" t="n">
        <v>-0.00823049106109974</v>
      </c>
      <c r="Q99" s="20" t="n">
        <v>0.0174931871721504</v>
      </c>
      <c r="R99" s="20" t="n">
        <v>-0.00706068374264479</v>
      </c>
      <c r="S99" s="20" t="n">
        <v>0.00802410740265946</v>
      </c>
      <c r="T99" s="20" t="n">
        <v>0.018791504228472</v>
      </c>
      <c r="U99" s="20" t="n">
        <v>0.00865941372358047</v>
      </c>
      <c r="V99" s="20" t="n">
        <v>0.0117208402799349</v>
      </c>
      <c r="W99" s="20" t="n">
        <v>0.0102145932505099</v>
      </c>
      <c r="X99" s="20" t="n">
        <v>0.0174931871721506</v>
      </c>
    </row>
    <row r="100" customFormat="false" ht="13.5" hidden="false" customHeight="true" outlineLevel="0" collapsed="false">
      <c r="A100" s="47" t="n">
        <v>42514</v>
      </c>
      <c r="B100" s="20" t="n">
        <v>0.0225343194059259</v>
      </c>
      <c r="C100" s="20" t="n">
        <v>0.00800801522444905</v>
      </c>
      <c r="D100" s="20" t="n">
        <v>-0.00601883649295054</v>
      </c>
      <c r="E100" s="20" t="n">
        <v>0.0171582346182748</v>
      </c>
      <c r="F100" s="20" t="n">
        <v>0.0162165559142395</v>
      </c>
      <c r="G100" s="20" t="n">
        <v>-0.0164636656098151</v>
      </c>
      <c r="H100" s="20" t="n">
        <v>-0.00597729848639216</v>
      </c>
      <c r="I100" s="20" t="n">
        <v>0.0229064303897272</v>
      </c>
      <c r="J100" s="20" t="n">
        <v>0.0100503262204274</v>
      </c>
      <c r="K100" s="20" t="n">
        <v>0</v>
      </c>
      <c r="L100" s="20" t="n">
        <v>0.0401056456828883</v>
      </c>
      <c r="M100" s="20" t="n">
        <v>0.00730463470455822</v>
      </c>
      <c r="N100" s="20" t="n">
        <v>-0.000735581400244544</v>
      </c>
      <c r="O100" s="20" t="n">
        <v>0.00311200804958033</v>
      </c>
      <c r="P100" s="20" t="n">
        <v>0.0378423165974564</v>
      </c>
      <c r="Q100" s="20" t="n">
        <v>0.0152966507310796</v>
      </c>
      <c r="R100" s="20" t="n">
        <v>0.00174427580338853</v>
      </c>
      <c r="S100" s="20" t="n">
        <v>0.00498259019054669</v>
      </c>
      <c r="T100" s="20" t="n">
        <v>0.0156825227569337</v>
      </c>
      <c r="U100" s="20" t="n">
        <v>0.00203582020590964</v>
      </c>
      <c r="V100" s="20" t="n">
        <v>-0.00760997039868804</v>
      </c>
      <c r="W100" s="20" t="n">
        <v>0.0260796972761525</v>
      </c>
      <c r="X100" s="20" t="n">
        <v>0.0228581162749326</v>
      </c>
    </row>
    <row r="101" customFormat="false" ht="13.5" hidden="false" customHeight="true" outlineLevel="0" collapsed="false">
      <c r="A101" s="47" t="n">
        <v>42515</v>
      </c>
      <c r="B101" s="20" t="n">
        <v>0.00493211132289328</v>
      </c>
      <c r="C101" s="20" t="n">
        <v>-0.00232902383276512</v>
      </c>
      <c r="D101" s="20" t="n">
        <v>0.0130615710528472</v>
      </c>
      <c r="E101" s="20" t="n">
        <v>-0.00444777742239654</v>
      </c>
      <c r="F101" s="20" t="n">
        <v>-0.0148551190796202</v>
      </c>
      <c r="G101" s="20" t="n">
        <v>0.0184324384078373</v>
      </c>
      <c r="H101" s="20" t="n">
        <v>0.00954660292032216</v>
      </c>
      <c r="I101" s="20" t="n">
        <v>0.00712585739732407</v>
      </c>
      <c r="J101" s="20" t="n">
        <v>-0.00501253703121107</v>
      </c>
      <c r="K101" s="20" t="n">
        <v>0.0244910286155601</v>
      </c>
      <c r="L101" s="20" t="n">
        <v>-0.00246008211181303</v>
      </c>
      <c r="M101" s="20" t="n">
        <v>0.00232631196724497</v>
      </c>
      <c r="N101" s="20" t="n">
        <v>-0.0204430516396958</v>
      </c>
      <c r="O101" s="20" t="n">
        <v>0.00568039800843234</v>
      </c>
      <c r="P101" s="20" t="n">
        <v>0.0157897868718253</v>
      </c>
      <c r="Q101" s="20" t="n">
        <v>0.00944297668671501</v>
      </c>
      <c r="R101" s="20" t="n">
        <v>-0.00616974814214277</v>
      </c>
      <c r="S101" s="20" t="n">
        <v>0.00890646152157748</v>
      </c>
      <c r="T101" s="20" t="n">
        <v>-0.000691818009925349</v>
      </c>
      <c r="U101" s="20" t="n">
        <v>0.00125081054769005</v>
      </c>
      <c r="V101" s="20" t="n">
        <v>0.000565703789479066</v>
      </c>
      <c r="W101" s="20" t="n">
        <v>0.000989594092397627</v>
      </c>
      <c r="X101" s="20" t="n">
        <v>-0.0151805427540967</v>
      </c>
    </row>
    <row r="102" customFormat="false" ht="13.5" hidden="false" customHeight="true" outlineLevel="0" collapsed="false">
      <c r="A102" s="47" t="n">
        <v>42516</v>
      </c>
      <c r="B102" s="20" t="n">
        <v>0.00262050659710499</v>
      </c>
      <c r="C102" s="20" t="n">
        <v>0.00332555641175469</v>
      </c>
      <c r="D102" s="20" t="n">
        <v>-0.00704273455989667</v>
      </c>
      <c r="E102" s="20" t="n">
        <v>-0.000743235183863433</v>
      </c>
      <c r="F102" s="20" t="n">
        <v>0.0121705562863381</v>
      </c>
      <c r="G102" s="20" t="n">
        <v>0.00336603215903208</v>
      </c>
      <c r="H102" s="20" t="n">
        <v>-0.021609463920776</v>
      </c>
      <c r="I102" s="20" t="n">
        <v>-0.0179108810142532</v>
      </c>
      <c r="J102" s="20" t="n">
        <v>-0.00503778918921637</v>
      </c>
      <c r="K102" s="20" t="n">
        <v>-0.00539085946106132</v>
      </c>
      <c r="L102" s="20" t="n">
        <v>-0.0199011354312526</v>
      </c>
      <c r="M102" s="20" t="n">
        <v>0.00521438906828297</v>
      </c>
      <c r="N102" s="20" t="n">
        <v>0.00673656401652245</v>
      </c>
      <c r="O102" s="20" t="n">
        <v>0.00385459869140181</v>
      </c>
      <c r="P102" s="20" t="n">
        <v>-0.0026143781296879</v>
      </c>
      <c r="Q102" s="20" t="n">
        <v>0.00562320746149835</v>
      </c>
      <c r="R102" s="20" t="n">
        <v>-0.000103094609070097</v>
      </c>
      <c r="S102" s="20" t="n">
        <v>-0.00791299147954083</v>
      </c>
      <c r="T102" s="20" t="n">
        <v>0.000691818009925349</v>
      </c>
      <c r="U102" s="20" t="n">
        <v>-0.000625209707979301</v>
      </c>
      <c r="V102" s="20" t="n">
        <v>0.00816667729455211</v>
      </c>
      <c r="W102" s="20" t="n">
        <v>0.00591716211340509</v>
      </c>
      <c r="X102" s="20" t="n">
        <v>0.0114069569352901</v>
      </c>
    </row>
    <row r="103" customFormat="false" ht="13.5" hidden="false" customHeight="true" outlineLevel="0" collapsed="false">
      <c r="A103" s="47" t="n">
        <v>42517</v>
      </c>
      <c r="B103" s="20" t="n">
        <v>0.00587130103291855</v>
      </c>
      <c r="C103" s="20" t="n">
        <v>0.00364543616349743</v>
      </c>
      <c r="D103" s="20" t="n">
        <v>0.00053327446167728</v>
      </c>
      <c r="E103" s="20" t="n">
        <v>0.00296956138606896</v>
      </c>
      <c r="F103" s="20" t="n">
        <v>-0.00606676295240005</v>
      </c>
      <c r="G103" s="20" t="n">
        <v>0.00139916739980705</v>
      </c>
      <c r="H103" s="20" t="n">
        <v>-0.0283095554239733</v>
      </c>
      <c r="I103" s="20" t="n">
        <v>0.0131659180585748</v>
      </c>
      <c r="J103" s="20" t="n">
        <v>0.0150378629868181</v>
      </c>
      <c r="K103" s="20" t="n">
        <v>0.016086090623167</v>
      </c>
      <c r="L103" s="20" t="n">
        <v>-0.0126423812209444</v>
      </c>
      <c r="M103" s="20" t="n">
        <v>0.00259703365716656</v>
      </c>
      <c r="N103" s="20" t="n">
        <v>0.0114965616896007</v>
      </c>
      <c r="O103" s="20" t="n">
        <v>0.00409521536885382</v>
      </c>
      <c r="P103" s="20" t="n">
        <v>0.0410314189459031</v>
      </c>
      <c r="Q103" s="20" t="n">
        <v>-0.0169654728189523</v>
      </c>
      <c r="R103" s="20" t="n">
        <v>-0.00506754789103425</v>
      </c>
      <c r="S103" s="20" t="n">
        <v>0.0157638587913218</v>
      </c>
      <c r="T103" s="20" t="n">
        <v>0.00448505710627644</v>
      </c>
      <c r="U103" s="20" t="n">
        <v>-0.00501567977279648</v>
      </c>
      <c r="V103" s="20" t="n">
        <v>0.00545416923901243</v>
      </c>
      <c r="W103" s="20" t="n">
        <v>-0.00255975829065624</v>
      </c>
      <c r="X103" s="20" t="n">
        <v>-0.0123634590603254</v>
      </c>
    </row>
    <row r="104" customFormat="false" ht="13.5" hidden="false" customHeight="true" outlineLevel="0" collapsed="false">
      <c r="A104" s="47" t="n">
        <v>42521</v>
      </c>
      <c r="B104" s="20" t="n">
        <v>-0.00803276800149976</v>
      </c>
      <c r="C104" s="20" t="n">
        <v>-0.00397748140018583</v>
      </c>
      <c r="D104" s="20" t="n">
        <v>-0.00120019134441662</v>
      </c>
      <c r="E104" s="20" t="n">
        <v>-0.0285733816651312</v>
      </c>
      <c r="F104" s="20" t="n">
        <v>0.00472174204232578</v>
      </c>
      <c r="G104" s="20" t="n">
        <v>0.0182881206550629</v>
      </c>
      <c r="H104" s="20" t="n">
        <v>0.019778128555437</v>
      </c>
      <c r="I104" s="20" t="n">
        <v>0.000594367268327289</v>
      </c>
      <c r="J104" s="20" t="n">
        <v>0</v>
      </c>
      <c r="K104" s="20" t="n">
        <v>0.0890041378325627</v>
      </c>
      <c r="L104" s="20" t="n">
        <v>0.0251269851524804</v>
      </c>
      <c r="M104" s="20" t="n">
        <v>0.0014398630712602</v>
      </c>
      <c r="N104" s="20" t="n">
        <v>-0.00814522159061592</v>
      </c>
      <c r="O104" s="20" t="n">
        <v>-0.0107859797047025</v>
      </c>
      <c r="P104" s="20" t="n">
        <v>-0.00125709997419143</v>
      </c>
      <c r="Q104" s="20" t="n">
        <v>0.0225573251819644</v>
      </c>
      <c r="R104" s="20" t="n">
        <v>0.00134699169342855</v>
      </c>
      <c r="S104" s="20" t="n">
        <v>0.00195317036806486</v>
      </c>
      <c r="T104" s="20" t="n">
        <v>-0.00517687511620179</v>
      </c>
      <c r="U104" s="20" t="n">
        <v>0.0110947164510575</v>
      </c>
      <c r="V104" s="20" t="n">
        <v>0.0023682646536205</v>
      </c>
      <c r="W104" s="20" t="n">
        <v>0.00550529852786496</v>
      </c>
      <c r="X104" s="20" t="n">
        <v>0.00572524650770933</v>
      </c>
    </row>
    <row r="105" customFormat="false" ht="13.5" hidden="false" customHeight="true" outlineLevel="0" collapsed="false">
      <c r="A105" s="47" t="n">
        <v>42522</v>
      </c>
      <c r="B105" s="20" t="n">
        <v>0.00647043537754576</v>
      </c>
      <c r="C105" s="20" t="n">
        <v>-0.00199472211458973</v>
      </c>
      <c r="D105" s="20" t="n">
        <v>0.00691487645985944</v>
      </c>
      <c r="E105" s="20" t="n">
        <v>0.00759884983421343</v>
      </c>
      <c r="F105" s="20" t="n">
        <v>0.00536913543208372</v>
      </c>
      <c r="G105" s="20" t="n">
        <v>0.000549010682010742</v>
      </c>
      <c r="H105" s="20" t="n">
        <v>0.0157865908473104</v>
      </c>
      <c r="I105" s="20" t="n">
        <v>0.00710487516813218</v>
      </c>
      <c r="J105" s="20" t="n">
        <v>-0.0024905994900406</v>
      </c>
      <c r="K105" s="20" t="n">
        <v>-0.0371790411456141</v>
      </c>
      <c r="L105" s="20" t="n">
        <v>0.0293419292024952</v>
      </c>
      <c r="M105" s="20" t="n">
        <v>0.00344725804540635</v>
      </c>
      <c r="N105" s="20" t="n">
        <v>0.00814522159061592</v>
      </c>
      <c r="O105" s="20" t="n">
        <v>0.00283616564444688</v>
      </c>
      <c r="P105" s="20" t="n">
        <v>0.0137417039057274</v>
      </c>
      <c r="Q105" s="20" t="n">
        <v>-0.00372439545312497</v>
      </c>
      <c r="R105" s="20" t="n">
        <v>-0.00186548195921965</v>
      </c>
      <c r="S105" s="20" t="n">
        <v>0.00292252846703666</v>
      </c>
      <c r="T105" s="20" t="n">
        <v>0.00620906812298827</v>
      </c>
      <c r="U105" s="20" t="n">
        <v>-0.00062180814627144</v>
      </c>
      <c r="V105" s="20" t="n">
        <v>0.0156004714520667</v>
      </c>
      <c r="W105" s="20" t="n">
        <v>0.00215455199778302</v>
      </c>
      <c r="X105" s="20" t="n">
        <v>0.0047461113481555</v>
      </c>
    </row>
    <row r="106" customFormat="false" ht="13.5" hidden="false" customHeight="true" outlineLevel="0" collapsed="false">
      <c r="A106" s="47" t="n">
        <v>42523</v>
      </c>
      <c r="B106" s="20" t="n">
        <v>-0.00398186244682552</v>
      </c>
      <c r="C106" s="20" t="n">
        <v>-0.00366724642647753</v>
      </c>
      <c r="D106" s="20" t="n">
        <v>-0.00451583094094587</v>
      </c>
      <c r="E106" s="20" t="n">
        <v>-0.0129525678488429</v>
      </c>
      <c r="F106" s="20" t="n">
        <v>-0.0354260144702318</v>
      </c>
      <c r="G106" s="20" t="n">
        <v>-0.00522765340471131</v>
      </c>
      <c r="H106" s="20" t="n">
        <v>0.0179109097393828</v>
      </c>
      <c r="I106" s="20" t="n">
        <v>0.0744450088637886</v>
      </c>
      <c r="J106" s="20" t="n">
        <v>-0.00249693727635014</v>
      </c>
      <c r="K106" s="20" t="n">
        <v>-0.038614798794878</v>
      </c>
      <c r="L106" s="20" t="n">
        <v>0.105119528747755</v>
      </c>
      <c r="M106" s="20" t="n">
        <v>-0.00517540866206855</v>
      </c>
      <c r="N106" s="20" t="n">
        <v>0.00844504879831653</v>
      </c>
      <c r="O106" s="20" t="n">
        <v>0.00948114560315582</v>
      </c>
      <c r="P106" s="20" t="n">
        <v>0.0012398358856136</v>
      </c>
      <c r="Q106" s="20" t="n">
        <v>0.0294138568415482</v>
      </c>
      <c r="R106" s="20" t="n">
        <v>-0.00166116797560444</v>
      </c>
      <c r="S106" s="20" t="n">
        <v>-0.0107580164891225</v>
      </c>
      <c r="T106" s="20" t="n">
        <v>0.00171789211967787</v>
      </c>
      <c r="U106" s="20" t="n">
        <v>0.015276980833125</v>
      </c>
      <c r="V106" s="20" t="n">
        <v>-0.00150799412786728</v>
      </c>
      <c r="W106" s="20" t="n">
        <v>-0.0181644084171122</v>
      </c>
      <c r="X106" s="20" t="n">
        <v>-0.0191211143224703</v>
      </c>
    </row>
    <row r="107" customFormat="false" ht="13.5" hidden="false" customHeight="true" outlineLevel="0" collapsed="false">
      <c r="A107" s="47" t="n">
        <v>42524</v>
      </c>
      <c r="B107" s="20" t="n">
        <v>-0.00104707597201869</v>
      </c>
      <c r="C107" s="20" t="n">
        <v>0.00599401377775565</v>
      </c>
      <c r="D107" s="20" t="n">
        <v>-0.00373441898922699</v>
      </c>
      <c r="E107" s="20" t="n">
        <v>0.0106789986556954</v>
      </c>
      <c r="F107" s="20" t="n">
        <v>0.0069109037754278</v>
      </c>
      <c r="G107" s="20" t="n">
        <v>-0.00636502884427647</v>
      </c>
      <c r="H107" s="20" t="n">
        <v>-0.001184131658015</v>
      </c>
      <c r="I107" s="20" t="n">
        <v>-0.00439078216574495</v>
      </c>
      <c r="J107" s="20" t="n">
        <v>-0.00250312782795725</v>
      </c>
      <c r="K107" s="20" t="n">
        <v>0.0684677486636666</v>
      </c>
      <c r="L107" s="20" t="n">
        <v>0.0569173573455967</v>
      </c>
      <c r="M107" s="20" t="n">
        <v>0.00689464616138302</v>
      </c>
      <c r="N107" s="20" t="n">
        <v>-0.00733951048620085</v>
      </c>
      <c r="O107" s="20" t="n">
        <v>0.00331002388470169</v>
      </c>
      <c r="P107" s="20" t="n">
        <v>0.0376944836846511</v>
      </c>
      <c r="Q107" s="20" t="n">
        <v>0.00361663703979497</v>
      </c>
      <c r="R107" s="20" t="n">
        <v>0.000727080753800457</v>
      </c>
      <c r="S107" s="20" t="n">
        <v>-0.0158576013698841</v>
      </c>
      <c r="T107" s="20" t="n">
        <v>-0.00103035487503611</v>
      </c>
      <c r="U107" s="20" t="n">
        <v>-0.00153266089030168</v>
      </c>
      <c r="V107" s="20" t="n">
        <v>0.0190249184668864</v>
      </c>
      <c r="W107" s="20" t="n">
        <v>0.0059595538093764</v>
      </c>
      <c r="X107" s="20" t="n">
        <v>0.016276097094948</v>
      </c>
    </row>
    <row r="108" customFormat="false" ht="13.5" hidden="false" customHeight="true" outlineLevel="0" collapsed="false">
      <c r="A108" s="47" t="n">
        <v>42527</v>
      </c>
      <c r="B108" s="20" t="n">
        <v>0.00392084478181153</v>
      </c>
      <c r="C108" s="20" t="n">
        <v>0.000663825708479226</v>
      </c>
      <c r="D108" s="20" t="n">
        <v>-0.00187240118812059</v>
      </c>
      <c r="E108" s="20" t="n">
        <v>0.0150605110243944</v>
      </c>
      <c r="F108" s="20" t="n">
        <v>-0.0117770721341869</v>
      </c>
      <c r="G108" s="20" t="n">
        <v>0.00746789399665992</v>
      </c>
      <c r="H108" s="20" t="n">
        <v>0.0291906943897994</v>
      </c>
      <c r="I108" s="20" t="n">
        <v>-0.00717646302490404</v>
      </c>
      <c r="J108" s="20" t="n">
        <v>0</v>
      </c>
      <c r="K108" s="20" t="n">
        <v>0.0024480230724263</v>
      </c>
      <c r="L108" s="20" t="n">
        <v>-0.016529285665789</v>
      </c>
      <c r="M108" s="20" t="n">
        <v>-0.00257991119154432</v>
      </c>
      <c r="N108" s="20" t="n">
        <v>0.00514333593884108</v>
      </c>
      <c r="O108" s="20" t="n">
        <v>0.0113738306082087</v>
      </c>
      <c r="P108" s="20" t="n">
        <v>0.0317113486928146</v>
      </c>
      <c r="Q108" s="20" t="n">
        <v>-0.00724640163503198</v>
      </c>
      <c r="R108" s="20" t="n">
        <v>0.003213657329586</v>
      </c>
      <c r="S108" s="20" t="n">
        <v>0.00895084542404589</v>
      </c>
      <c r="T108" s="20" t="n">
        <v>-0.00103148321355028</v>
      </c>
      <c r="U108" s="20" t="n">
        <v>-0.00153489635098225</v>
      </c>
      <c r="V108" s="20" t="n">
        <v>-0.00512817914238983</v>
      </c>
      <c r="W108" s="20" t="n">
        <v>-0.00436684330378867</v>
      </c>
      <c r="X108" s="20" t="n">
        <v>-0.0114614328179634</v>
      </c>
    </row>
    <row r="109" customFormat="false" ht="13.5" hidden="false" customHeight="true" outlineLevel="0" collapsed="false">
      <c r="A109" s="47" t="n">
        <v>42528</v>
      </c>
      <c r="B109" s="20" t="n">
        <v>0.00436012902341076</v>
      </c>
      <c r="C109" s="20" t="n">
        <v>0.00562443729008288</v>
      </c>
      <c r="D109" s="20" t="n">
        <v>0.00280739056132706</v>
      </c>
      <c r="E109" s="20" t="n">
        <v>-0.00149592084252692</v>
      </c>
      <c r="F109" s="20" t="n">
        <v>0.00555942514559593</v>
      </c>
      <c r="G109" s="20" t="n">
        <v>0.00631782180830242</v>
      </c>
      <c r="H109" s="20" t="n">
        <v>0.0394861965677146</v>
      </c>
      <c r="I109" s="20" t="n">
        <v>0.0192050013721138</v>
      </c>
      <c r="J109" s="20" t="n">
        <v>-0.00250940920325382</v>
      </c>
      <c r="K109" s="20" t="n">
        <v>0.0265395012788415</v>
      </c>
      <c r="L109" s="20" t="n">
        <v>0.0507723234062733</v>
      </c>
      <c r="M109" s="20" t="n">
        <v>0.0116993728943</v>
      </c>
      <c r="N109" s="20" t="n">
        <v>-0.00920308323531271</v>
      </c>
      <c r="O109" s="20" t="n">
        <v>0.00175768264921316</v>
      </c>
      <c r="P109" s="20" t="n">
        <v>0.021727617067385</v>
      </c>
      <c r="Q109" s="20" t="n">
        <v>0.0322031102725608</v>
      </c>
      <c r="R109" s="20" t="n">
        <v>0.0173399389921788</v>
      </c>
      <c r="S109" s="20" t="n">
        <v>0.00788957948385782</v>
      </c>
      <c r="T109" s="20" t="n">
        <v>0.00240507574874726</v>
      </c>
      <c r="U109" s="20" t="n">
        <v>0.00795604361329971</v>
      </c>
      <c r="V109" s="20" t="n">
        <v>-0.00678797033662981</v>
      </c>
      <c r="W109" s="20" t="n">
        <v>-0.00538548138243832</v>
      </c>
      <c r="X109" s="20" t="n">
        <v>-0.00578031140070312</v>
      </c>
    </row>
    <row r="110" customFormat="false" ht="13.5" hidden="false" customHeight="true" outlineLevel="0" collapsed="false">
      <c r="A110" s="47" t="n">
        <v>42529</v>
      </c>
      <c r="B110" s="20" t="n">
        <v>-0.0037733558173949</v>
      </c>
      <c r="C110" s="20" t="n">
        <v>-0.00231209946113208</v>
      </c>
      <c r="D110" s="20" t="n">
        <v>-0.00642835137458863</v>
      </c>
      <c r="E110" s="20" t="n">
        <v>-0.00751314039189843</v>
      </c>
      <c r="F110" s="20" t="n">
        <v>-0.0167719323338277</v>
      </c>
      <c r="G110" s="20" t="n">
        <v>0.00164162475751838</v>
      </c>
      <c r="H110" s="20" t="n">
        <v>-0.0122427677228074</v>
      </c>
      <c r="I110" s="20" t="n">
        <v>0.0151028052548403</v>
      </c>
      <c r="J110" s="20" t="n">
        <v>0.00250940920325382</v>
      </c>
      <c r="K110" s="20" t="n">
        <v>-0.0563183621346073</v>
      </c>
      <c r="L110" s="20" t="n">
        <v>-0.0868313882411444</v>
      </c>
      <c r="M110" s="20" t="n">
        <v>0.00170071957442718</v>
      </c>
      <c r="N110" s="20" t="n">
        <v>-0.00148041902869344</v>
      </c>
      <c r="O110" s="20" t="n">
        <v>0.00575360036351835</v>
      </c>
      <c r="P110" s="20" t="n">
        <v>-0.0182653300798669</v>
      </c>
      <c r="Q110" s="20" t="n">
        <v>-0.00706716067378554</v>
      </c>
      <c r="R110" s="20" t="n">
        <v>-0.0135178681648939</v>
      </c>
      <c r="S110" s="20" t="n">
        <v>0.00782782095044343</v>
      </c>
      <c r="T110" s="20" t="n">
        <v>0</v>
      </c>
      <c r="U110" s="20" t="n">
        <v>0.00365071682680451</v>
      </c>
      <c r="V110" s="20" t="n">
        <v>-0.00930621568583589</v>
      </c>
      <c r="W110" s="20" t="n">
        <v>-0.0173496507557797</v>
      </c>
      <c r="X110" s="20" t="n">
        <v>-0.0175443390060245</v>
      </c>
    </row>
    <row r="111" customFormat="false" ht="13.5" hidden="false" customHeight="true" outlineLevel="0" collapsed="false">
      <c r="A111" s="47" t="n">
        <v>42530</v>
      </c>
      <c r="B111" s="20" t="n">
        <v>-0.00686750516073253</v>
      </c>
      <c r="C111" s="20" t="n">
        <v>-0.00663574974566127</v>
      </c>
      <c r="D111" s="20" t="n">
        <v>-0.00646994258303745</v>
      </c>
      <c r="E111" s="20" t="n">
        <v>-0.0121397426918581</v>
      </c>
      <c r="F111" s="20" t="n">
        <v>-0.0256973214405418</v>
      </c>
      <c r="G111" s="20" t="n">
        <v>0.00626789167959351</v>
      </c>
      <c r="H111" s="20" t="n">
        <v>-0.0623759058080026</v>
      </c>
      <c r="I111" s="20" t="n">
        <v>-0.033753930720187</v>
      </c>
      <c r="J111" s="20" t="n">
        <v>-0.0176995600268212</v>
      </c>
      <c r="K111" s="20" t="n">
        <v>-0.00758542435659759</v>
      </c>
      <c r="L111" s="20" t="n">
        <v>-0.0486822379570779</v>
      </c>
      <c r="M111" s="20" t="n">
        <v>-0.000566585202558478</v>
      </c>
      <c r="N111" s="20" t="n">
        <v>-0.00148261391895276</v>
      </c>
      <c r="O111" s="20" t="n">
        <v>0.00596872382652868</v>
      </c>
      <c r="P111" s="20" t="n">
        <v>-0.0753494487065147</v>
      </c>
      <c r="Q111" s="20" t="n">
        <v>-0.0416349771835964</v>
      </c>
      <c r="R111" s="20" t="n">
        <v>-0.00330476084496389</v>
      </c>
      <c r="S111" s="20" t="n">
        <v>-0.0438317707613835</v>
      </c>
      <c r="T111" s="20" t="n">
        <v>-0.00378197813206782</v>
      </c>
      <c r="U111" s="20" t="n">
        <v>0.00409117393787106</v>
      </c>
      <c r="V111" s="20" t="n">
        <v>-0.00110058930311218</v>
      </c>
      <c r="W111" s="20" t="n">
        <v>-0.0164139762404738</v>
      </c>
      <c r="X111" s="20" t="n">
        <v>-0.021869685561163</v>
      </c>
    </row>
    <row r="112" customFormat="false" ht="13.5" hidden="false" customHeight="true" outlineLevel="0" collapsed="false">
      <c r="A112" s="47" t="n">
        <v>42531</v>
      </c>
      <c r="B112" s="20" t="n">
        <v>-0.00717932515446406</v>
      </c>
      <c r="C112" s="20" t="n">
        <v>-0.00701523870705278</v>
      </c>
      <c r="D112" s="20" t="n">
        <v>-0.0012177302009082</v>
      </c>
      <c r="E112" s="20" t="n">
        <v>-0.00920258331783552</v>
      </c>
      <c r="F112" s="20" t="n">
        <v>-0.0167703193688617</v>
      </c>
      <c r="G112" s="20" t="n">
        <v>-0.0183693164229317</v>
      </c>
      <c r="H112" s="20" t="n">
        <v>-0.00597729848639216</v>
      </c>
      <c r="I112" s="20" t="n">
        <v>-0.000553875906767142</v>
      </c>
      <c r="J112" s="20" t="n">
        <v>-0.00511509567632395</v>
      </c>
      <c r="K112" s="20" t="n">
        <v>-0.0361796533926428</v>
      </c>
      <c r="L112" s="20" t="n">
        <v>-0.0091116719386799</v>
      </c>
      <c r="M112" s="20" t="n">
        <v>-0.0157078545020823</v>
      </c>
      <c r="N112" s="20" t="n">
        <v>-0.00259980450269026</v>
      </c>
      <c r="O112" s="20" t="n">
        <v>-0.00347747999593694</v>
      </c>
      <c r="P112" s="20" t="n">
        <v>-0.00623057344440791</v>
      </c>
      <c r="Q112" s="20" t="n">
        <v>0</v>
      </c>
      <c r="R112" s="20" t="n">
        <v>-0.00924921536562362</v>
      </c>
      <c r="S112" s="20" t="n">
        <v>-0.0112648050575496</v>
      </c>
      <c r="T112" s="20" t="n">
        <v>-0.00656648398191039</v>
      </c>
      <c r="U112" s="20" t="n">
        <v>-0.0196998197651945</v>
      </c>
      <c r="V112" s="20" t="n">
        <v>-0.00593637826756765</v>
      </c>
      <c r="W112" s="20" t="n">
        <v>-0.00768353747070049</v>
      </c>
      <c r="X112" s="20" t="n">
        <v>-0.00908639820637668</v>
      </c>
    </row>
    <row r="113" customFormat="false" ht="13.5" hidden="false" customHeight="true" outlineLevel="0" collapsed="false">
      <c r="A113" s="47" t="n">
        <v>42534</v>
      </c>
      <c r="B113" s="20" t="n">
        <v>-0.00145532355756738</v>
      </c>
      <c r="C113" s="20" t="n">
        <v>0.020242929966618</v>
      </c>
      <c r="D113" s="20" t="n">
        <v>0.00620867271129732</v>
      </c>
      <c r="E113" s="20" t="n">
        <v>-0.0108443658634893</v>
      </c>
      <c r="F113" s="20" t="n">
        <v>-0.0253178187724607</v>
      </c>
      <c r="G113" s="20" t="n">
        <v>-0.0105703649072284</v>
      </c>
      <c r="H113" s="20" t="n">
        <v>-0.0193710473035231</v>
      </c>
      <c r="I113" s="20" t="n">
        <v>-0.017887548243253</v>
      </c>
      <c r="J113" s="20" t="n">
        <v>0.00256081836006871</v>
      </c>
      <c r="K113" s="20" t="n">
        <v>0.0361796533926428</v>
      </c>
      <c r="L113" s="20" t="n">
        <v>-0.0325609853523602</v>
      </c>
      <c r="M113" s="20" t="n">
        <v>0.00717054522143145</v>
      </c>
      <c r="N113" s="20" t="n">
        <v>-0.00784021509689036</v>
      </c>
      <c r="O113" s="20" t="n">
        <v>0.00471646504514078</v>
      </c>
      <c r="P113" s="20" t="n">
        <v>0.00995032141084806</v>
      </c>
      <c r="Q113" s="20" t="n">
        <v>-0.0186572401757376</v>
      </c>
      <c r="R113" s="20" t="n">
        <v>0.00634857329417393</v>
      </c>
      <c r="S113" s="20" t="n">
        <v>0.0203880467126702</v>
      </c>
      <c r="T113" s="20" t="n">
        <v>0.00415221819641109</v>
      </c>
      <c r="U113" s="20" t="n">
        <v>0.00706944262850317</v>
      </c>
      <c r="V113" s="20" t="n">
        <v>0.012111313130001</v>
      </c>
      <c r="W113" s="20" t="n">
        <v>-0.0229846729084068</v>
      </c>
      <c r="X113" s="20" t="n">
        <v>-0.0393018658151693</v>
      </c>
    </row>
    <row r="114" customFormat="false" ht="13.5" hidden="false" customHeight="true" outlineLevel="0" collapsed="false">
      <c r="A114" s="47" t="n">
        <v>42535</v>
      </c>
      <c r="B114" s="20" t="n">
        <v>-0.00251875850740113</v>
      </c>
      <c r="C114" s="20" t="n">
        <v>0.00491566023394662</v>
      </c>
      <c r="D114" s="20" t="n">
        <v>-0.00824162761881197</v>
      </c>
      <c r="E114" s="20" t="n">
        <v>0.0131529999715689</v>
      </c>
      <c r="F114" s="20" t="n">
        <v>0.00601504990706036</v>
      </c>
      <c r="G114" s="20" t="n">
        <v>-0.00139916739980705</v>
      </c>
      <c r="H114" s="20" t="n">
        <v>0.0024420013096118</v>
      </c>
      <c r="I114" s="20" t="n">
        <v>0.0267127491959171</v>
      </c>
      <c r="J114" s="20" t="n">
        <v>0</v>
      </c>
      <c r="K114" s="20" t="n">
        <v>-0.0361796533926428</v>
      </c>
      <c r="L114" s="20" t="n">
        <v>0.0233655268272645</v>
      </c>
      <c r="M114" s="20" t="n">
        <v>-0.00573233886982604</v>
      </c>
      <c r="N114" s="20" t="n">
        <v>0.0204050573888672</v>
      </c>
      <c r="O114" s="20" t="n">
        <v>-0.00223131740958759</v>
      </c>
      <c r="P114" s="20" t="n">
        <v>-0.0149628584420589</v>
      </c>
      <c r="Q114" s="20" t="n">
        <v>-0.00188496793208092</v>
      </c>
      <c r="R114" s="20" t="n">
        <v>-0.00384598732175334</v>
      </c>
      <c r="S114" s="20" t="n">
        <v>0.0130327775195526</v>
      </c>
      <c r="T114" s="20" t="n">
        <v>-0.010762106058078</v>
      </c>
      <c r="U114" s="20" t="n">
        <v>0.000459293863628751</v>
      </c>
      <c r="V114" s="20" t="n">
        <v>-0.00727673679709095</v>
      </c>
      <c r="W114" s="20" t="n">
        <v>-0.00213543299130414</v>
      </c>
      <c r="X114" s="20" t="n">
        <v>-0.00211188088338554</v>
      </c>
    </row>
    <row r="115" customFormat="false" ht="13.5" hidden="false" customHeight="true" outlineLevel="0" collapsed="false">
      <c r="A115" s="47" t="n">
        <v>42536</v>
      </c>
      <c r="B115" s="20" t="n">
        <v>0.00251875850740113</v>
      </c>
      <c r="C115" s="20" t="n">
        <v>0.00163317674139351</v>
      </c>
      <c r="D115" s="20" t="n">
        <v>0.00729931490227819</v>
      </c>
      <c r="E115" s="20" t="n">
        <v>0.00841946467613619</v>
      </c>
      <c r="F115" s="20" t="n">
        <v>-0.00225138799240687</v>
      </c>
      <c r="G115" s="20" t="n">
        <v>-0.00674343276789768</v>
      </c>
      <c r="H115" s="20" t="n">
        <v>0.0205197107433392</v>
      </c>
      <c r="I115" s="20" t="n">
        <v>-0.0312350816971496</v>
      </c>
      <c r="J115" s="20" t="n">
        <v>0.00764334188394455</v>
      </c>
      <c r="K115" s="20" t="n">
        <v>-0.0132452142016742</v>
      </c>
      <c r="L115" s="20" t="n">
        <v>0.0205721889561305</v>
      </c>
      <c r="M115" s="20" t="n">
        <v>-0.00115044346886827</v>
      </c>
      <c r="N115" s="20" t="n">
        <v>0.000367183004231552</v>
      </c>
      <c r="O115" s="20" t="n">
        <v>0.004951749571235</v>
      </c>
      <c r="P115" s="20" t="n">
        <v>-0.0203052464998916</v>
      </c>
      <c r="Q115" s="20" t="n">
        <v>0.0149815388994534</v>
      </c>
      <c r="R115" s="20" t="n">
        <v>-0.00511614663831938</v>
      </c>
      <c r="S115" s="20" t="n">
        <v>0.0265372282647544</v>
      </c>
      <c r="T115" s="20" t="n">
        <v>0.00764959289831335</v>
      </c>
      <c r="U115" s="20" t="n">
        <v>0.0094454560090762</v>
      </c>
      <c r="V115" s="20" t="n">
        <v>-0.0116424921468665</v>
      </c>
      <c r="W115" s="20" t="n">
        <v>0.00149524105349607</v>
      </c>
      <c r="X115" s="20" t="n">
        <v>-0.0159832507356507</v>
      </c>
    </row>
    <row r="116" customFormat="false" ht="13.5" hidden="false" customHeight="true" outlineLevel="0" collapsed="false">
      <c r="A116" s="47" t="n">
        <v>42537</v>
      </c>
      <c r="B116" s="20" t="n">
        <v>0.00613767262651343</v>
      </c>
      <c r="C116" s="20" t="n">
        <v>-0.00130634090709769</v>
      </c>
      <c r="D116" s="20" t="n">
        <v>-0.00526635999476354</v>
      </c>
      <c r="E116" s="20" t="n">
        <v>0.0106142272254778</v>
      </c>
      <c r="F116" s="20" t="n">
        <v>0.00673901455553194</v>
      </c>
      <c r="G116" s="20" t="n">
        <v>-0.00820955521650956</v>
      </c>
      <c r="H116" s="20" t="n">
        <v>0.00476758501259722</v>
      </c>
      <c r="I116" s="20" t="n">
        <v>0.0129469610420862</v>
      </c>
      <c r="J116" s="20" t="n">
        <v>-0.00508906456768931</v>
      </c>
      <c r="K116" s="20" t="n">
        <v>0.0106102005004893</v>
      </c>
      <c r="L116" s="20" t="n">
        <v>0.00900906123442535</v>
      </c>
      <c r="M116" s="20" t="n">
        <v>-0.0153692678745414</v>
      </c>
      <c r="N116" s="20" t="n">
        <v>0.00804389412053119</v>
      </c>
      <c r="O116" s="20" t="n">
        <v>0.00590983892341157</v>
      </c>
      <c r="P116" s="20" t="n">
        <v>0.0475684297734746</v>
      </c>
      <c r="Q116" s="20" t="n">
        <v>0.00371057578562505</v>
      </c>
      <c r="R116" s="20" t="n">
        <v>-0.00724909892004888</v>
      </c>
      <c r="S116" s="20" t="n">
        <v>-0.0285311973871236</v>
      </c>
      <c r="T116" s="20" t="n">
        <v>0.00276720762846105</v>
      </c>
      <c r="U116" s="20" t="n">
        <v>-0.00837455109487717</v>
      </c>
      <c r="V116" s="20" t="n">
        <v>-0.0148879881450847</v>
      </c>
      <c r="W116" s="20" t="n">
        <v>-0.00535046772755976</v>
      </c>
      <c r="X116" s="20" t="n">
        <v>-0.00107471569225081</v>
      </c>
    </row>
    <row r="117" customFormat="false" ht="13.5" hidden="false" customHeight="true" outlineLevel="0" collapsed="false">
      <c r="A117" s="47" t="n">
        <v>42538</v>
      </c>
      <c r="B117" s="20" t="n">
        <v>0.0106021613844546</v>
      </c>
      <c r="C117" s="20" t="n">
        <v>0.00748821321679926</v>
      </c>
      <c r="D117" s="20" t="n">
        <v>-0.00788371398023723</v>
      </c>
      <c r="E117" s="20" t="n">
        <v>0.0119941352098384</v>
      </c>
      <c r="F117" s="20" t="n">
        <v>0.0103935861777997</v>
      </c>
      <c r="G117" s="20" t="n">
        <v>-0.0134499444868847</v>
      </c>
      <c r="H117" s="20" t="n">
        <v>0.0269810839269333</v>
      </c>
      <c r="I117" s="20" t="n">
        <v>-0.00617105488133962</v>
      </c>
      <c r="J117" s="20" t="n">
        <v>0.0151901508235674</v>
      </c>
      <c r="K117" s="20" t="n">
        <v>-0.0240332079451394</v>
      </c>
      <c r="L117" s="20" t="n">
        <v>0.03524590573778</v>
      </c>
      <c r="M117" s="20" t="n">
        <v>0.00814901990105454</v>
      </c>
      <c r="N117" s="20" t="n">
        <v>0.00399784696715466</v>
      </c>
      <c r="O117" s="20" t="n">
        <v>0.00122682479110025</v>
      </c>
      <c r="P117" s="20" t="n">
        <v>0.0181712590976061</v>
      </c>
      <c r="Q117" s="20" t="n">
        <v>0.00921660244706545</v>
      </c>
      <c r="R117" s="20" t="n">
        <v>-0.0171216282680388</v>
      </c>
      <c r="S117" s="20" t="n">
        <v>0.0119048906795815</v>
      </c>
      <c r="T117" s="20" t="n">
        <v>-0.00519486972175142</v>
      </c>
      <c r="U117" s="20" t="n">
        <v>0.00731258182412375</v>
      </c>
      <c r="V117" s="20" t="n">
        <v>0.00409519630647015</v>
      </c>
      <c r="W117" s="20" t="n">
        <v>0.00705662792169592</v>
      </c>
      <c r="X117" s="20" t="n">
        <v>-0.0021529026448821</v>
      </c>
    </row>
    <row r="118" customFormat="false" ht="13.5" hidden="false" customHeight="true" outlineLevel="0" collapsed="false">
      <c r="A118" s="47" t="n">
        <v>42541</v>
      </c>
      <c r="B118" s="20" t="n">
        <v>0.00286031811841525</v>
      </c>
      <c r="C118" s="20" t="n">
        <v>0.0035616329428505</v>
      </c>
      <c r="D118" s="20" t="n">
        <v>-0.00973609462302338</v>
      </c>
      <c r="E118" s="20" t="n">
        <v>-0.0150152826062375</v>
      </c>
      <c r="F118" s="20" t="n">
        <v>0.00589102765217441</v>
      </c>
      <c r="G118" s="20" t="n">
        <v>-0.00693838755495557</v>
      </c>
      <c r="H118" s="20" t="n">
        <v>-0.00580384151929647</v>
      </c>
      <c r="I118" s="20" t="n">
        <v>-0.0141685562907278</v>
      </c>
      <c r="J118" s="20" t="n">
        <v>0</v>
      </c>
      <c r="K118" s="20" t="n">
        <v>0.0449216603344413</v>
      </c>
      <c r="L118" s="20" t="n">
        <v>0.00216221249251757</v>
      </c>
      <c r="M118" s="20" t="n">
        <v>0.00722024797348686</v>
      </c>
      <c r="N118" s="20" t="n">
        <v>0.018329362474009</v>
      </c>
      <c r="O118" s="20" t="n">
        <v>0.00708618532540095</v>
      </c>
      <c r="P118" s="20" t="n">
        <v>0.0107463902954596</v>
      </c>
      <c r="Q118" s="20" t="n">
        <v>-0.00367647134559923</v>
      </c>
      <c r="R118" s="20" t="n">
        <v>-0.000214592064747165</v>
      </c>
      <c r="S118" s="20" t="n">
        <v>-0.00494318253309389</v>
      </c>
      <c r="T118" s="20" t="n">
        <v>-0.00104216717634431</v>
      </c>
      <c r="U118" s="20" t="n">
        <v>0.00454344348600699</v>
      </c>
      <c r="V118" s="20" t="n">
        <v>0.00407849404945626</v>
      </c>
      <c r="W118" s="20" t="n">
        <v>0.00637213790668989</v>
      </c>
      <c r="X118" s="20" t="n">
        <v>-0.00215744464810407</v>
      </c>
    </row>
    <row r="119" customFormat="false" ht="13.5" hidden="false" customHeight="true" outlineLevel="0" collapsed="false">
      <c r="A119" s="47" t="n">
        <v>42542</v>
      </c>
      <c r="B119" s="20" t="n">
        <v>-0.0073623479985807</v>
      </c>
      <c r="C119" s="20" t="n">
        <v>-0.00518473656367257</v>
      </c>
      <c r="D119" s="20" t="n">
        <v>0.00686627254185623</v>
      </c>
      <c r="E119" s="20" t="n">
        <v>-0.00303030239357005</v>
      </c>
      <c r="F119" s="20" t="n">
        <v>-0.000734500881347077</v>
      </c>
      <c r="G119" s="20" t="n">
        <v>-0.00727911180600715</v>
      </c>
      <c r="H119" s="20" t="n">
        <v>-0.00818238762971734</v>
      </c>
      <c r="I119" s="20" t="n">
        <v>0.0298025308744667</v>
      </c>
      <c r="J119" s="20" t="n">
        <v>-0.00503778918921637</v>
      </c>
      <c r="K119" s="20" t="n">
        <v>-0.0288355697112743</v>
      </c>
      <c r="L119" s="20" t="n">
        <v>0.0128757018433089</v>
      </c>
      <c r="M119" s="20" t="n">
        <v>-0.00809015606853424</v>
      </c>
      <c r="N119" s="20" t="n">
        <v>-0.00571429581382654</v>
      </c>
      <c r="O119" s="20" t="n">
        <v>0.00558456095603476</v>
      </c>
      <c r="P119" s="20" t="n">
        <v>-0.033819615123583</v>
      </c>
      <c r="Q119" s="20" t="n">
        <v>-0.011111215122715</v>
      </c>
      <c r="R119" s="20" t="n">
        <v>0.00556334232246147</v>
      </c>
      <c r="S119" s="20" t="n">
        <v>0.0128017614154192</v>
      </c>
      <c r="T119" s="20" t="n">
        <v>-0.00173947320284906</v>
      </c>
      <c r="U119" s="20" t="n">
        <v>-0.000453393476848695</v>
      </c>
      <c r="V119" s="20" t="n">
        <v>0.0147675792750483</v>
      </c>
      <c r="W119" s="20" t="n">
        <v>-0.00552014818790391</v>
      </c>
      <c r="X119" s="20" t="n">
        <v>-0.00432900684493686</v>
      </c>
    </row>
    <row r="120" customFormat="false" ht="13.5" hidden="false" customHeight="true" outlineLevel="0" collapsed="false">
      <c r="A120" s="47" t="n">
        <v>42543</v>
      </c>
      <c r="B120" s="20" t="n">
        <v>0.015765778273586</v>
      </c>
      <c r="C120" s="20" t="n">
        <v>0.0132324367150808</v>
      </c>
      <c r="D120" s="20" t="n">
        <v>0.0118361049005928</v>
      </c>
      <c r="E120" s="20" t="n">
        <v>0.0165541262601545</v>
      </c>
      <c r="F120" s="20" t="n">
        <v>0.0311056044430415</v>
      </c>
      <c r="G120" s="20" t="n">
        <v>0.0130644027468638</v>
      </c>
      <c r="H120" s="20" t="n">
        <v>0.0525835817839397</v>
      </c>
      <c r="I120" s="20" t="n">
        <v>-0.0252467187922533</v>
      </c>
      <c r="J120" s="20" t="n">
        <v>0.0100503262204274</v>
      </c>
      <c r="K120" s="20" t="n">
        <v>0</v>
      </c>
      <c r="L120" s="20" t="n">
        <v>0.0559731537690457</v>
      </c>
      <c r="M120" s="20" t="n">
        <v>0.00347521141814022</v>
      </c>
      <c r="N120" s="20" t="n">
        <v>0.021262330969952</v>
      </c>
      <c r="O120" s="20" t="n">
        <v>0.0139459300126434</v>
      </c>
      <c r="P120" s="20" t="n">
        <v>0.0218719959616442</v>
      </c>
      <c r="Q120" s="20" t="n">
        <v>0.031166606663842</v>
      </c>
      <c r="R120" s="20" t="n">
        <v>0.00308914531819493</v>
      </c>
      <c r="S120" s="20" t="n">
        <v>0.0184202570654372</v>
      </c>
      <c r="T120" s="20" t="n">
        <v>0.0172596625516381</v>
      </c>
      <c r="U120" s="20" t="n">
        <v>0.00241576493478845</v>
      </c>
      <c r="V120" s="20" t="n">
        <v>0.00455332746681236</v>
      </c>
      <c r="W120" s="20" t="n">
        <v>0.0198151216822455</v>
      </c>
      <c r="X120" s="20" t="n">
        <v>0.0225210624771787</v>
      </c>
    </row>
    <row r="121" customFormat="false" ht="13.5" hidden="false" customHeight="true" outlineLevel="0" collapsed="false">
      <c r="A121" s="47" t="n">
        <v>42544</v>
      </c>
      <c r="B121" s="20" t="n">
        <v>-0.0580411258079065</v>
      </c>
      <c r="C121" s="20" t="n">
        <v>-0.0449182461936659</v>
      </c>
      <c r="D121" s="20" t="n">
        <v>0.00526067684409525</v>
      </c>
      <c r="E121" s="20" t="n">
        <v>-0.06792727625443</v>
      </c>
      <c r="F121" s="20" t="n">
        <v>-0.0769610384191072</v>
      </c>
      <c r="G121" s="20" t="n">
        <v>0.0134653585066879</v>
      </c>
      <c r="H121" s="20" t="n">
        <v>-0.05141056220417</v>
      </c>
      <c r="I121" s="20" t="n">
        <v>0.0433641475488766</v>
      </c>
      <c r="J121" s="20" t="n">
        <v>-0.030459177989627</v>
      </c>
      <c r="K121" s="20" t="n">
        <v>-0.0296917294383732</v>
      </c>
      <c r="L121" s="20" t="n">
        <v>-0.0862784735451496</v>
      </c>
      <c r="M121" s="20" t="n">
        <v>-0.0180868092531749</v>
      </c>
      <c r="N121" s="20" t="n">
        <v>-0.0209042207131782</v>
      </c>
      <c r="O121" s="20" t="n">
        <v>-0.00863316162375049</v>
      </c>
      <c r="P121" s="20" t="n">
        <v>-0.0632572616283035</v>
      </c>
      <c r="Q121" s="20" t="n">
        <v>-0.0163789201955277</v>
      </c>
      <c r="R121" s="20" t="n">
        <v>-0.00511832780623144</v>
      </c>
      <c r="S121" s="20" t="n">
        <v>-0.0624274112258924</v>
      </c>
      <c r="T121" s="20" t="n">
        <v>-0.0516175426309479</v>
      </c>
      <c r="U121" s="20" t="n">
        <v>0.0106503536579234</v>
      </c>
      <c r="V121" s="20" t="n">
        <v>-0.0283439397183835</v>
      </c>
      <c r="W121" s="20" t="n">
        <v>-0.0470071753955303</v>
      </c>
      <c r="X121" s="20" t="n">
        <v>-0.0909718504428362</v>
      </c>
    </row>
    <row r="122" customFormat="false" ht="13.5" hidden="false" customHeight="true" outlineLevel="0" collapsed="false">
      <c r="A122" s="47" t="n">
        <v>42545</v>
      </c>
      <c r="B122" s="20" t="n">
        <v>-0.0213045141202767</v>
      </c>
      <c r="C122" s="20" t="n">
        <v>-0.0169093960630846</v>
      </c>
      <c r="D122" s="20" t="n">
        <v>0.00750569873997264</v>
      </c>
      <c r="E122" s="20" t="n">
        <v>-0.0291755382448708</v>
      </c>
      <c r="F122" s="20" t="n">
        <v>-0.0651540701243034</v>
      </c>
      <c r="G122" s="20" t="n">
        <v>0.0412544446890148</v>
      </c>
      <c r="H122" s="20" t="n">
        <v>-0.0443451507044379</v>
      </c>
      <c r="I122" s="20" t="n">
        <v>0.00108757261549063</v>
      </c>
      <c r="J122" s="20" t="n">
        <v>-0.0314162282648282</v>
      </c>
      <c r="K122" s="20" t="n">
        <v>-0.00549453033929259</v>
      </c>
      <c r="L122" s="20" t="n">
        <v>-0.0380785243661905</v>
      </c>
      <c r="M122" s="20" t="n">
        <v>-0.00501703819043264</v>
      </c>
      <c r="N122" s="20" t="n">
        <v>-0.0405535244086685</v>
      </c>
      <c r="O122" s="20" t="n">
        <v>0.0122083700906405</v>
      </c>
      <c r="P122" s="20" t="n">
        <v>-0.0634294510349222</v>
      </c>
      <c r="Q122" s="20" t="n">
        <v>0.0036630043997714</v>
      </c>
      <c r="R122" s="20" t="n">
        <v>-0.00321237082882852</v>
      </c>
      <c r="S122" s="20" t="n">
        <v>-0.0698696652052728</v>
      </c>
      <c r="T122" s="20" t="n">
        <v>-0.0159829242622171</v>
      </c>
      <c r="U122" s="20" t="n">
        <v>0.0134867354750856</v>
      </c>
      <c r="V122" s="20" t="n">
        <v>-0.00411553713513068</v>
      </c>
      <c r="W122" s="20" t="n">
        <v>-0.0154324223007487</v>
      </c>
      <c r="X122" s="20" t="n">
        <v>-0.0622955286330575</v>
      </c>
    </row>
    <row r="123" customFormat="false" ht="13.5" hidden="false" customHeight="true" outlineLevel="0" collapsed="false">
      <c r="A123" s="47" t="n">
        <v>42548</v>
      </c>
      <c r="B123" s="20" t="n">
        <v>0.0152146570559938</v>
      </c>
      <c r="C123" s="20" t="n">
        <v>0.0209254810483603</v>
      </c>
      <c r="D123" s="20" t="n">
        <v>0.00346577439212492</v>
      </c>
      <c r="E123" s="20" t="n">
        <v>0.0187378593610416</v>
      </c>
      <c r="F123" s="20" t="n">
        <v>0.0418066911088188</v>
      </c>
      <c r="G123" s="20" t="n">
        <v>-0.0156876675112376</v>
      </c>
      <c r="H123" s="20" t="n">
        <v>0.0698095562972289</v>
      </c>
      <c r="I123" s="20" t="n">
        <v>-0.0027210485937692</v>
      </c>
      <c r="J123" s="20" t="n">
        <v>0.018445828407029</v>
      </c>
      <c r="K123" s="20" t="n">
        <v>-0.00829877818467728</v>
      </c>
      <c r="L123" s="20" t="n">
        <v>0.0705137176177084</v>
      </c>
      <c r="M123" s="20" t="n">
        <v>0.0187578597678452</v>
      </c>
      <c r="N123" s="20" t="n">
        <v>0.0373259744722376</v>
      </c>
      <c r="O123" s="20" t="n">
        <v>-0.000237913662608502</v>
      </c>
      <c r="P123" s="20" t="n">
        <v>0.0518388313693278</v>
      </c>
      <c r="Q123" s="20" t="n">
        <v>0.0270530654647458</v>
      </c>
      <c r="R123" s="20" t="n">
        <v>0.00492136541846122</v>
      </c>
      <c r="S123" s="20" t="n">
        <v>0.0119892073816685</v>
      </c>
      <c r="T123" s="20" t="n">
        <v>0.017423360768674</v>
      </c>
      <c r="U123" s="20" t="n">
        <v>-0.000294414644093521</v>
      </c>
      <c r="V123" s="20" t="n">
        <v>0.0237487788894155</v>
      </c>
      <c r="W123" s="20" t="n">
        <v>0.0239282668894111</v>
      </c>
      <c r="X123" s="20" t="n">
        <v>0.0340251208969371</v>
      </c>
    </row>
    <row r="124" customFormat="false" ht="13.5" hidden="false" customHeight="true" outlineLevel="0" collapsed="false">
      <c r="A124" s="47" t="n">
        <v>42549</v>
      </c>
      <c r="B124" s="20" t="n">
        <v>0.0187659146571386</v>
      </c>
      <c r="C124" s="20" t="n">
        <v>0.0201693015296662</v>
      </c>
      <c r="D124" s="20" t="n">
        <v>0.0391439398890609</v>
      </c>
      <c r="E124" s="20" t="n">
        <v>0.0128309574250735</v>
      </c>
      <c r="F124" s="20" t="n">
        <v>0.0378569564699255</v>
      </c>
      <c r="G124" s="20" t="n">
        <v>0.0110346368182017</v>
      </c>
      <c r="H124" s="20" t="n">
        <v>0.0414160635888989</v>
      </c>
      <c r="I124" s="20" t="n">
        <v>0.0236952668604328</v>
      </c>
      <c r="J124" s="20" t="n">
        <v>0.0232268899926477</v>
      </c>
      <c r="K124" s="20" t="n">
        <v>0</v>
      </c>
      <c r="L124" s="20" t="n">
        <v>0.0314162171518774</v>
      </c>
      <c r="M124" s="20" t="n">
        <v>0.0164150473394322</v>
      </c>
      <c r="N124" s="20" t="n">
        <v>0.0216743464420861</v>
      </c>
      <c r="O124" s="20" t="n">
        <v>0.0122991249828534</v>
      </c>
      <c r="P124" s="20" t="n">
        <v>0.0480497719139827</v>
      </c>
      <c r="Q124" s="20" t="n">
        <v>0.0383991794257521</v>
      </c>
      <c r="R124" s="20" t="n">
        <v>0.00754888185892443</v>
      </c>
      <c r="S124" s="20" t="n">
        <v>0.0224969367869247</v>
      </c>
      <c r="T124" s="20" t="n">
        <v>0.0167711086566257</v>
      </c>
      <c r="U124" s="20" t="n">
        <v>-0.00117875109887144</v>
      </c>
      <c r="V124" s="20" t="n">
        <v>0.013654413221869</v>
      </c>
      <c r="W124" s="20" t="n">
        <v>0.0186962091246223</v>
      </c>
      <c r="X124" s="20" t="n">
        <v>0.0165880986522815</v>
      </c>
    </row>
    <row r="125" customFormat="false" ht="13.5" hidden="false" customHeight="true" outlineLevel="0" collapsed="false">
      <c r="A125" s="47" t="n">
        <v>42550</v>
      </c>
      <c r="B125" s="20" t="n">
        <v>0.0221164890203757</v>
      </c>
      <c r="C125" s="20" t="n">
        <v>0.0299877088487723</v>
      </c>
      <c r="D125" s="20" t="n">
        <v>0.00764820131325461</v>
      </c>
      <c r="E125" s="20" t="n">
        <v>0.00159231754826105</v>
      </c>
      <c r="F125" s="20" t="n">
        <v>0.00604694792426974</v>
      </c>
      <c r="G125" s="20" t="n">
        <v>0.00928461461611496</v>
      </c>
      <c r="H125" s="20" t="n">
        <v>0.0344861439027384</v>
      </c>
      <c r="I125" s="20" t="n">
        <v>0.0179328774325919</v>
      </c>
      <c r="J125" s="20" t="n">
        <v>0.00762391771974524</v>
      </c>
      <c r="K125" s="20" t="n">
        <v>0.021978868925976</v>
      </c>
      <c r="L125" s="20" t="n">
        <v>0.0423877867049793</v>
      </c>
      <c r="M125" s="20" t="n">
        <v>0.00569642014097127</v>
      </c>
      <c r="N125" s="20" t="n">
        <v>0.0194924186338774</v>
      </c>
      <c r="O125" s="20" t="n">
        <v>0.0156270974623282</v>
      </c>
      <c r="P125" s="20" t="n">
        <v>-0.0390232537876786</v>
      </c>
      <c r="Q125" s="20" t="n">
        <v>0.0119149826312137</v>
      </c>
      <c r="R125" s="20" t="n">
        <v>0.0139891231176845</v>
      </c>
      <c r="S125" s="20" t="n">
        <v>0.00948875393981119</v>
      </c>
      <c r="T125" s="20" t="n">
        <v>0.0151012632525122</v>
      </c>
      <c r="U125" s="20" t="n">
        <v>0.0165220111264794</v>
      </c>
      <c r="V125" s="20" t="n">
        <v>0.00750604739134352</v>
      </c>
      <c r="W125" s="20" t="n">
        <v>0.00763525657723507</v>
      </c>
      <c r="X125" s="20" t="n">
        <v>0.0492935727675152</v>
      </c>
    </row>
    <row r="126" customFormat="false" ht="13.5" hidden="false" customHeight="true" outlineLevel="0" collapsed="false">
      <c r="A126" s="47" t="n">
        <v>42551</v>
      </c>
      <c r="B126" s="20" t="n">
        <v>0.00374844956099185</v>
      </c>
      <c r="C126" s="20" t="n">
        <v>0.000317660028949617</v>
      </c>
      <c r="D126" s="20" t="n">
        <v>0.0025364243415975</v>
      </c>
      <c r="E126" s="20" t="n">
        <v>0.0118625805807561</v>
      </c>
      <c r="F126" s="20" t="n">
        <v>-0.0128936235133156</v>
      </c>
      <c r="G126" s="20" t="n">
        <v>-0.00654492867997458</v>
      </c>
      <c r="H126" s="20" t="n">
        <v>0.0136772950668349</v>
      </c>
      <c r="I126" s="20" t="n">
        <v>0.0283451675488617</v>
      </c>
      <c r="J126" s="20" t="n">
        <v>0.00505051092084873</v>
      </c>
      <c r="K126" s="20" t="n">
        <v>-0.0791373119838868</v>
      </c>
      <c r="L126" s="20" t="n">
        <v>0.0195700779311911</v>
      </c>
      <c r="M126" s="20" t="n">
        <v>0.0101724702157319</v>
      </c>
      <c r="N126" s="20" t="n">
        <v>0.0123331677619704</v>
      </c>
      <c r="O126" s="20" t="n">
        <v>0.00599914432622439</v>
      </c>
      <c r="P126" s="20" t="n">
        <v>0.0315882234604854</v>
      </c>
      <c r="Q126" s="20" t="n">
        <v>0</v>
      </c>
      <c r="R126" s="20" t="n">
        <v>-0.00775927005099053</v>
      </c>
      <c r="S126" s="20" t="n">
        <v>0</v>
      </c>
      <c r="T126" s="20" t="n">
        <v>0.00382671204290829</v>
      </c>
      <c r="U126" s="20" t="n">
        <v>0.000869655953513515</v>
      </c>
      <c r="V126" s="20" t="n">
        <v>0.00312218708361822</v>
      </c>
      <c r="W126" s="20" t="n">
        <v>-0.00635871260401721</v>
      </c>
      <c r="X126" s="20" t="n">
        <v>-0.012380536272873</v>
      </c>
    </row>
    <row r="127" customFormat="false" ht="13.5" hidden="false" customHeight="true" outlineLevel="0" collapsed="false">
      <c r="A127" s="47" t="n">
        <v>42552</v>
      </c>
      <c r="B127" s="20" t="n">
        <v>-0.00440755527477243</v>
      </c>
      <c r="C127" s="20" t="n">
        <v>-0.0012710567935934</v>
      </c>
      <c r="D127" s="20" t="n">
        <v>0.00870176948477396</v>
      </c>
      <c r="E127" s="20" t="n">
        <v>-0.0254791370575038</v>
      </c>
      <c r="F127" s="20" t="n">
        <v>-0.0278656271485218</v>
      </c>
      <c r="G127" s="20" t="n">
        <v>0.0211161766550476</v>
      </c>
      <c r="H127" s="20" t="n">
        <v>-0.0307717126192335</v>
      </c>
      <c r="I127" s="20" t="n">
        <v>0.015128843178306</v>
      </c>
      <c r="J127" s="20" t="n">
        <v>-0.00758536407290466</v>
      </c>
      <c r="K127" s="20" t="n">
        <v>0.0818509829596915</v>
      </c>
      <c r="L127" s="20" t="n">
        <v>-0.0496626391927088</v>
      </c>
      <c r="M127" s="20" t="n">
        <v>0.00672464497893265</v>
      </c>
      <c r="N127" s="20" t="n">
        <v>-0.0150946442482307</v>
      </c>
      <c r="O127" s="20" t="n">
        <v>-0.00276440505470976</v>
      </c>
      <c r="P127" s="20" t="n">
        <v>-0.0549658890280322</v>
      </c>
      <c r="Q127" s="20" t="n">
        <v>-0.0170652445842087</v>
      </c>
      <c r="R127" s="20" t="n">
        <v>-0.000210513135981749</v>
      </c>
      <c r="S127" s="20" t="n">
        <v>-0.0169316056095127</v>
      </c>
      <c r="T127" s="20" t="n">
        <v>-0.0164540495015659</v>
      </c>
      <c r="U127" s="20" t="n">
        <v>0.00851197491599187</v>
      </c>
      <c r="V127" s="20" t="n">
        <v>0</v>
      </c>
      <c r="W127" s="20" t="n">
        <v>-0.0175894649312629</v>
      </c>
      <c r="X127" s="20" t="n">
        <v>-0.0369130364946421</v>
      </c>
    </row>
    <row r="128" customFormat="false" ht="13.5" hidden="false" customHeight="true" outlineLevel="0" collapsed="false">
      <c r="A128" s="47" t="n">
        <v>42556</v>
      </c>
      <c r="B128" s="20" t="n">
        <v>0.00453875121609836</v>
      </c>
      <c r="C128" s="20" t="n">
        <v>0.00917868855193759</v>
      </c>
      <c r="D128" s="20" t="n">
        <v>0.00476008994579224</v>
      </c>
      <c r="E128" s="20" t="n">
        <v>0.0136165564767476</v>
      </c>
      <c r="F128" s="20" t="n">
        <v>0.00937505993411491</v>
      </c>
      <c r="G128" s="20" t="n">
        <v>0.00667470073251985</v>
      </c>
      <c r="H128" s="20" t="n">
        <v>-0.00323799224910348</v>
      </c>
      <c r="I128" s="20" t="n">
        <v>0.00598808373431047</v>
      </c>
      <c r="J128" s="20" t="n">
        <v>0.0126104954591319</v>
      </c>
      <c r="K128" s="20" t="n">
        <v>0.0080972668984568</v>
      </c>
      <c r="L128" s="20" t="n">
        <v>0</v>
      </c>
      <c r="M128" s="20" t="n">
        <v>0.00139526283767432</v>
      </c>
      <c r="N128" s="20" t="n">
        <v>0.0195111338089652</v>
      </c>
      <c r="O128" s="20" t="n">
        <v>-0.00578370632101954</v>
      </c>
      <c r="P128" s="20" t="n">
        <v>0.00654877441421541</v>
      </c>
      <c r="Q128" s="20" t="n">
        <v>-0.0103807062059446</v>
      </c>
      <c r="R128" s="20" t="n">
        <v>0.0113065923566884</v>
      </c>
      <c r="S128" s="20" t="n">
        <v>0.0074428516697016</v>
      </c>
      <c r="T128" s="20" t="n">
        <v>0.0136724091223725</v>
      </c>
      <c r="U128" s="20" t="n">
        <v>0.00157899421173635</v>
      </c>
      <c r="V128" s="20" t="n">
        <v>0.00108374206469274</v>
      </c>
      <c r="W128" s="20" t="n">
        <v>0.00947675493258515</v>
      </c>
      <c r="X128" s="20" t="n">
        <v>0.00117442508843801</v>
      </c>
    </row>
    <row r="129" customFormat="false" ht="13.5" hidden="false" customHeight="true" outlineLevel="0" collapsed="false">
      <c r="A129" s="47" t="n">
        <v>42557</v>
      </c>
      <c r="B129" s="20" t="n">
        <v>0.00150841741167973</v>
      </c>
      <c r="C129" s="20" t="n">
        <v>0.00251731747458849</v>
      </c>
      <c r="D129" s="20" t="n">
        <v>-0.00878626167371088</v>
      </c>
      <c r="E129" s="20" t="n">
        <v>0.0142182732803841</v>
      </c>
      <c r="F129" s="20" t="n">
        <v>0.0115966180046509</v>
      </c>
      <c r="G129" s="20" t="n">
        <v>-0.00694267490762712</v>
      </c>
      <c r="H129" s="20" t="n">
        <v>-0.00324851091147615</v>
      </c>
      <c r="I129" s="20" t="n">
        <v>-0.0231515621942675</v>
      </c>
      <c r="J129" s="20" t="n">
        <v>0.00997519472828223</v>
      </c>
      <c r="K129" s="20" t="n">
        <v>-0.0244910286155601</v>
      </c>
      <c r="L129" s="20" t="n">
        <v>-0.0184999470525635</v>
      </c>
      <c r="M129" s="20" t="n">
        <v>-0.00251291912904205</v>
      </c>
      <c r="N129" s="20" t="n">
        <v>-0.0040761211648288</v>
      </c>
      <c r="O129" s="20" t="n">
        <v>-0.0187358936906401</v>
      </c>
      <c r="P129" s="20" t="n">
        <v>-0.0304861282065616</v>
      </c>
      <c r="Q129" s="20" t="n">
        <v>-0.0140107236138762</v>
      </c>
      <c r="R129" s="20" t="n">
        <v>-0.00584672333456293</v>
      </c>
      <c r="S129" s="20" t="n">
        <v>0.0343605772022126</v>
      </c>
      <c r="T129" s="20" t="n">
        <v>0.000696152415248008</v>
      </c>
      <c r="U129" s="20" t="n">
        <v>-0.00604228792770467</v>
      </c>
      <c r="V129" s="20" t="n">
        <v>0.00297419736713866</v>
      </c>
      <c r="W129" s="20" t="n">
        <v>0.00321022661903658</v>
      </c>
      <c r="X129" s="20" t="n">
        <v>0.00701751003844908</v>
      </c>
    </row>
    <row r="130" customFormat="false" ht="13.5" hidden="false" customHeight="true" outlineLevel="0" collapsed="false">
      <c r="A130" s="47" t="n">
        <v>42558</v>
      </c>
      <c r="B130" s="20" t="n">
        <v>0.0121150477606395</v>
      </c>
      <c r="C130" s="20" t="n">
        <v>0.0118714440833489</v>
      </c>
      <c r="D130" s="20" t="n">
        <v>0.00427732392104918</v>
      </c>
      <c r="E130" s="20" t="n">
        <v>0.0263173199742023</v>
      </c>
      <c r="F130" s="20" t="n">
        <v>0.0122232114310238</v>
      </c>
      <c r="G130" s="20" t="n">
        <v>0.0143657941005828</v>
      </c>
      <c r="H130" s="20" t="n">
        <v>0.0517812783938433</v>
      </c>
      <c r="I130" s="20" t="n">
        <v>0.0146578776877297</v>
      </c>
      <c r="J130" s="20" t="n">
        <v>0.0220867075642972</v>
      </c>
      <c r="K130" s="20" t="n">
        <v>-0.0450780611793799</v>
      </c>
      <c r="L130" s="20" t="n">
        <v>0.0266135743714006</v>
      </c>
      <c r="M130" s="20" t="n">
        <v>0.00973713290914224</v>
      </c>
      <c r="N130" s="20" t="n">
        <v>0.028189791942089</v>
      </c>
      <c r="O130" s="20" t="n">
        <v>0.00730191382012135</v>
      </c>
      <c r="P130" s="20" t="n">
        <v>0.0278717500768737</v>
      </c>
      <c r="Q130" s="20" t="n">
        <v>0.0397632358802622</v>
      </c>
      <c r="R130" s="20" t="n">
        <v>0.0129006978259686</v>
      </c>
      <c r="S130" s="20" t="n">
        <v>0.0232685800853462</v>
      </c>
      <c r="T130" s="20" t="n">
        <v>0.0179315307273224</v>
      </c>
      <c r="U130" s="20" t="n">
        <v>0.00761879284678279</v>
      </c>
      <c r="V130" s="20" t="n">
        <v>0.0160688640064359</v>
      </c>
      <c r="W130" s="20" t="n">
        <v>0.0209332451258905</v>
      </c>
      <c r="X130" s="20" t="n">
        <v>0.016185363935655</v>
      </c>
    </row>
    <row r="131" customFormat="false" ht="13.5" hidden="false" customHeight="true" outlineLevel="0" collapsed="false">
      <c r="A131" s="47" t="n">
        <v>42559</v>
      </c>
      <c r="B131" s="20" t="n">
        <v>0.00561669118015295</v>
      </c>
      <c r="C131" s="20" t="n">
        <v>0.000310496582366592</v>
      </c>
      <c r="D131" s="20" t="n">
        <v>-0.00654919548026811</v>
      </c>
      <c r="E131" s="20" t="n">
        <v>0.0136572912616101</v>
      </c>
      <c r="F131" s="20" t="n">
        <v>0.00303259987376858</v>
      </c>
      <c r="G131" s="20" t="n">
        <v>-0.00848810635604291</v>
      </c>
      <c r="H131" s="20" t="n">
        <v>0.00308483235633771</v>
      </c>
      <c r="I131" s="20" t="n">
        <v>0.00550417236457478</v>
      </c>
      <c r="J131" s="20" t="n">
        <v>0.00484262000285373</v>
      </c>
      <c r="K131" s="20" t="n">
        <v>-0.0145140288211058</v>
      </c>
      <c r="L131" s="20" t="n">
        <v>0.0337668786513718</v>
      </c>
      <c r="M131" s="20" t="n">
        <v>0.000830291836936947</v>
      </c>
      <c r="N131" s="20" t="n">
        <v>0.00363338506199362</v>
      </c>
      <c r="O131" s="20" t="n">
        <v>-0.00234967894930759</v>
      </c>
      <c r="P131" s="20" t="n">
        <v>-0.00262123102266009</v>
      </c>
      <c r="Q131" s="20" t="n">
        <v>-0.0119353797996841</v>
      </c>
      <c r="R131" s="20" t="n">
        <v>0.00103314894112216</v>
      </c>
      <c r="S131" s="20" t="n">
        <v>0</v>
      </c>
      <c r="T131" s="20" t="n">
        <v>0.00579316920060479</v>
      </c>
      <c r="U131" s="20" t="n">
        <v>0.000572668794700526</v>
      </c>
      <c r="V131" s="20" t="n">
        <v>0.00146015306606805</v>
      </c>
      <c r="W131" s="20" t="n">
        <v>0.00604989656308507</v>
      </c>
      <c r="X131" s="20" t="n">
        <v>0.0147982335803034</v>
      </c>
    </row>
    <row r="132" customFormat="false" ht="13.5" hidden="false" customHeight="true" outlineLevel="0" collapsed="false">
      <c r="A132" s="47" t="n">
        <v>42562</v>
      </c>
      <c r="B132" s="20" t="n">
        <v>0.0109486094276372</v>
      </c>
      <c r="C132" s="20" t="n">
        <v>0.00155109992344293</v>
      </c>
      <c r="D132" s="20" t="n">
        <v>0.00667465216430951</v>
      </c>
      <c r="E132" s="20" t="n">
        <v>0.0134732090265696</v>
      </c>
      <c r="F132" s="20" t="n">
        <v>0.0246741432448067</v>
      </c>
      <c r="G132" s="20" t="n">
        <v>-0.00400378288131397</v>
      </c>
      <c r="H132" s="20" t="n">
        <v>0.00205128078420413</v>
      </c>
      <c r="I132" s="20" t="n">
        <v>-0.0293692921904282</v>
      </c>
      <c r="J132" s="20" t="n">
        <v>-0.00970880513745386</v>
      </c>
      <c r="K132" s="20" t="n">
        <v>0.0457222556667922</v>
      </c>
      <c r="L132" s="20" t="n">
        <v>0.0439421263825525</v>
      </c>
      <c r="M132" s="20" t="n">
        <v>0.00248653667566189</v>
      </c>
      <c r="N132" s="20" t="n">
        <v>0.0134274114796886</v>
      </c>
      <c r="O132" s="20" t="n">
        <v>-0.00235512299807538</v>
      </c>
      <c r="P132" s="20" t="n">
        <v>0.0598523952516352</v>
      </c>
      <c r="Q132" s="20" t="n">
        <v>0</v>
      </c>
      <c r="R132" s="20" t="n">
        <v>-0.00393168910421337</v>
      </c>
      <c r="S132" s="20" t="n">
        <v>0.00498756048963189</v>
      </c>
      <c r="T132" s="20" t="n">
        <v>0.00609759011159249</v>
      </c>
      <c r="U132" s="20" t="n">
        <v>-0.0144157024369686</v>
      </c>
      <c r="V132" s="20" t="n">
        <v>0.0106867905155967</v>
      </c>
      <c r="W132" s="20" t="n">
        <v>0.00559986202982543</v>
      </c>
      <c r="X132" s="20" t="n">
        <v>0.0278569533187926</v>
      </c>
    </row>
    <row r="133" customFormat="false" ht="13.5" hidden="false" customHeight="true" outlineLevel="0" collapsed="false">
      <c r="A133" s="47" t="n">
        <v>42563</v>
      </c>
      <c r="B133" s="20" t="n">
        <v>0.00622112711644451</v>
      </c>
      <c r="C133" s="20" t="n">
        <v>0.00309506201884568</v>
      </c>
      <c r="D133" s="20" t="n">
        <v>-0.00389860974174638</v>
      </c>
      <c r="E133" s="20" t="n">
        <v>0.00222797965861376</v>
      </c>
      <c r="F133" s="20" t="n">
        <v>-0.00741296079325293</v>
      </c>
      <c r="G133" s="20" t="n">
        <v>0.00240417249157909</v>
      </c>
      <c r="H133" s="20" t="n">
        <v>0.0202846517467252</v>
      </c>
      <c r="I133" s="20" t="n">
        <v>0.00102724500399498</v>
      </c>
      <c r="J133" s="20" t="n">
        <v>-0.00244194308765033</v>
      </c>
      <c r="K133" s="20" t="n">
        <v>-0.00279725195742575</v>
      </c>
      <c r="L133" s="20" t="n">
        <v>0.0203522536612117</v>
      </c>
      <c r="M133" s="20" t="n">
        <v>0.00192969575744683</v>
      </c>
      <c r="N133" s="20" t="n">
        <v>0.00454396731461104</v>
      </c>
      <c r="O133" s="20" t="n">
        <v>0.0042353076292616</v>
      </c>
      <c r="P133" s="20" t="n">
        <v>-0.0352237934066654</v>
      </c>
      <c r="Q133" s="20" t="n">
        <v>-0.00515903683826657</v>
      </c>
      <c r="R133" s="20" t="n">
        <v>0.0120563899554557</v>
      </c>
      <c r="S133" s="20" t="n">
        <v>-0.00398803729123065</v>
      </c>
      <c r="T133" s="20" t="n">
        <v>0.00471696926511766</v>
      </c>
      <c r="U133" s="20" t="n">
        <v>0.00304457034748928</v>
      </c>
      <c r="V133" s="20" t="n">
        <v>0.00497454731621438</v>
      </c>
      <c r="W133" s="20" t="n">
        <v>-0.00165593118447615</v>
      </c>
      <c r="X133" s="20" t="n">
        <v>-0.0022002712317688</v>
      </c>
    </row>
    <row r="134" customFormat="false" ht="13.5" hidden="false" customHeight="true" outlineLevel="0" collapsed="false">
      <c r="A134" s="47" t="n">
        <v>42564</v>
      </c>
      <c r="B134" s="20" t="n">
        <v>0.0142006438198212</v>
      </c>
      <c r="C134" s="20" t="n">
        <v>0.00830900426896619</v>
      </c>
      <c r="D134" s="20" t="n">
        <v>0.0153800562276416</v>
      </c>
      <c r="E134" s="20" t="n">
        <v>0.00812716786557521</v>
      </c>
      <c r="F134" s="20" t="n">
        <v>0.015504189810946</v>
      </c>
      <c r="G134" s="20" t="n">
        <v>-0.00481413896104721</v>
      </c>
      <c r="H134" s="20" t="n">
        <v>0.0296757404288852</v>
      </c>
      <c r="I134" s="20" t="n">
        <v>-0.00154116542509363</v>
      </c>
      <c r="J134" s="20" t="n">
        <v>0.0121507482251042</v>
      </c>
      <c r="K134" s="20" t="n">
        <v>0.00836830810644206</v>
      </c>
      <c r="L134" s="20" t="n">
        <v>-0.0222231151968241</v>
      </c>
      <c r="M134" s="20" t="n">
        <v>0.0166601367919194</v>
      </c>
      <c r="N134" s="20" t="n">
        <v>0.0135093751917168</v>
      </c>
      <c r="O134" s="20" t="n">
        <v>0.0042174454238939</v>
      </c>
      <c r="P134" s="20" t="n">
        <v>0.0215334573268473</v>
      </c>
      <c r="Q134" s="20" t="n">
        <v>0.0136988309355821</v>
      </c>
      <c r="R134" s="20" t="n">
        <v>-0.00174276708353549</v>
      </c>
      <c r="S134" s="20" t="n">
        <v>0.00796023329575534</v>
      </c>
      <c r="T134" s="20" t="n">
        <v>0.000336085664174312</v>
      </c>
      <c r="U134" s="20" t="n">
        <v>-0.00231889469286894</v>
      </c>
      <c r="V134" s="20" t="n">
        <v>0.00247792515315303</v>
      </c>
      <c r="W134" s="20" t="n">
        <v>0.0137847707980172</v>
      </c>
      <c r="X134" s="20" t="n">
        <v>0.0163848147087772</v>
      </c>
    </row>
    <row r="135" customFormat="false" ht="13.5" hidden="false" customHeight="true" outlineLevel="0" collapsed="false">
      <c r="A135" s="47" t="n">
        <v>42565</v>
      </c>
      <c r="B135" s="20" t="n">
        <v>-0.00312441673788121</v>
      </c>
      <c r="C135" s="20" t="n">
        <v>0.0076324735050024</v>
      </c>
      <c r="D135" s="20" t="n">
        <v>-0.00460165133633161</v>
      </c>
      <c r="E135" s="20" t="n">
        <v>-0.00147278803323258</v>
      </c>
      <c r="F135" s="20" t="n">
        <v>0.000732349287759337</v>
      </c>
      <c r="G135" s="20" t="n">
        <v>-0.0159441336263399</v>
      </c>
      <c r="H135" s="20" t="n">
        <v>0.00389105191932759</v>
      </c>
      <c r="I135" s="20" t="n">
        <v>-0.00826023491125527</v>
      </c>
      <c r="J135" s="20" t="n">
        <v>0.00481928200602332</v>
      </c>
      <c r="K135" s="20" t="n">
        <v>-0.0139863119332426</v>
      </c>
      <c r="L135" s="20" t="n">
        <v>0.00373831844549954</v>
      </c>
      <c r="M135" s="20" t="n">
        <v>-0.00407105227689275</v>
      </c>
      <c r="N135" s="20" t="n">
        <v>0.000638788207758977</v>
      </c>
      <c r="O135" s="20" t="n">
        <v>0.00280175135643023</v>
      </c>
      <c r="P135" s="20" t="n">
        <v>0.00250312782795703</v>
      </c>
      <c r="Q135" s="20" t="n">
        <v>-0.0171530623899685</v>
      </c>
      <c r="R135" s="20" t="n">
        <v>-0.00380368235813755</v>
      </c>
      <c r="S135" s="20" t="n">
        <v>-0.00895975649415659</v>
      </c>
      <c r="T135" s="20" t="n">
        <v>0.00201408144684966</v>
      </c>
      <c r="U135" s="20" t="n">
        <v>0.0070846170201344</v>
      </c>
      <c r="V135" s="20" t="n">
        <v>-0.0100805548263211</v>
      </c>
      <c r="W135" s="20" t="n">
        <v>-0.0254540296152248</v>
      </c>
      <c r="X135" s="20" t="n">
        <v>0.00324507445578658</v>
      </c>
    </row>
    <row r="136" customFormat="false" ht="13.5" hidden="false" customHeight="true" outlineLevel="0" collapsed="false">
      <c r="A136" s="47" t="n">
        <v>42566</v>
      </c>
      <c r="B136" s="20" t="n">
        <v>0.000500574601915104</v>
      </c>
      <c r="C136" s="20" t="n">
        <v>0.000911951025893031</v>
      </c>
      <c r="D136" s="20" t="n">
        <v>-0.00337147444971641</v>
      </c>
      <c r="E136" s="20" t="n">
        <v>0.00587804232669464</v>
      </c>
      <c r="F136" s="20" t="n">
        <v>0.0324118985606198</v>
      </c>
      <c r="G136" s="20" t="n">
        <v>-0.0101301054023674</v>
      </c>
      <c r="H136" s="20" t="n">
        <v>0.0154146245980477</v>
      </c>
      <c r="I136" s="20" t="n">
        <v>0.00671659241292843</v>
      </c>
      <c r="J136" s="20" t="n">
        <v>0.00240101651323021</v>
      </c>
      <c r="K136" s="20" t="n">
        <v>-0.0699993831559813</v>
      </c>
      <c r="L136" s="20" t="n">
        <v>0.0148150713942039</v>
      </c>
      <c r="M136" s="20" t="n">
        <v>-0.003541784614697</v>
      </c>
      <c r="N136" s="20" t="n">
        <v>-0.0128536351921195</v>
      </c>
      <c r="O136" s="20" t="n">
        <v>-0.000933074864150285</v>
      </c>
      <c r="P136" s="20" t="n">
        <v>-0.011313779190778</v>
      </c>
      <c r="Q136" s="20" t="n">
        <v>0.00861326829265296</v>
      </c>
      <c r="R136" s="20" t="n">
        <v>-0.00226844387177393</v>
      </c>
      <c r="S136" s="20" t="n">
        <v>0.00796816208033268</v>
      </c>
      <c r="T136" s="20" t="n">
        <v>0.00301356843762601</v>
      </c>
      <c r="U136" s="20" t="n">
        <v>-0.00346378597134577</v>
      </c>
      <c r="V136" s="20" t="n">
        <v>-0.000526466395001534</v>
      </c>
      <c r="W136" s="20" t="n">
        <v>0.0118763706069113</v>
      </c>
      <c r="X136" s="20" t="n">
        <v>0.00431034729298618</v>
      </c>
    </row>
    <row r="137" customFormat="false" ht="13.5" hidden="false" customHeight="true" outlineLevel="0" collapsed="false">
      <c r="A137" s="47" t="n">
        <v>42569</v>
      </c>
      <c r="B137" s="20" t="n">
        <v>-0.00175306066156455</v>
      </c>
      <c r="C137" s="20" t="n">
        <v>0.000607565885852423</v>
      </c>
      <c r="D137" s="20" t="n">
        <v>0.00025017849917841</v>
      </c>
      <c r="E137" s="20" t="n">
        <v>0</v>
      </c>
      <c r="F137" s="20" t="n">
        <v>0.010574689503922</v>
      </c>
      <c r="G137" s="20" t="n">
        <v>-0.00358376867319831</v>
      </c>
      <c r="H137" s="20" t="n">
        <v>-0.00767757336273167</v>
      </c>
      <c r="I137" s="20" t="n">
        <v>-0.0187115965855628</v>
      </c>
      <c r="J137" s="20" t="n">
        <v>0</v>
      </c>
      <c r="K137" s="20" t="n">
        <v>0.0149927703838403</v>
      </c>
      <c r="L137" s="20" t="n">
        <v>-0.0451204824787183</v>
      </c>
      <c r="M137" s="20" t="n">
        <v>0</v>
      </c>
      <c r="N137" s="20" t="n">
        <v>-0.0140044726933044</v>
      </c>
      <c r="O137" s="20" t="n">
        <v>-0.00186867649227995</v>
      </c>
      <c r="P137" s="20" t="n">
        <v>-0.0204349191238022</v>
      </c>
      <c r="Q137" s="20" t="n">
        <v>0.00171383569223793</v>
      </c>
      <c r="R137" s="20" t="n">
        <v>0.000309632852093955</v>
      </c>
      <c r="S137" s="20" t="n">
        <v>-0.0230817611624907</v>
      </c>
      <c r="T137" s="20" t="n">
        <v>0.000334288115919179</v>
      </c>
      <c r="U137" s="20" t="n">
        <v>0.000722639701630001</v>
      </c>
      <c r="V137" s="20" t="n">
        <v>-0.00647163141987228</v>
      </c>
      <c r="W137" s="20" t="n">
        <v>0.00186239380720332</v>
      </c>
      <c r="X137" s="20" t="n">
        <v>-0.00323099170937801</v>
      </c>
    </row>
    <row r="138" customFormat="false" ht="13.5" hidden="false" customHeight="true" outlineLevel="0" collapsed="false">
      <c r="A138" s="47" t="n">
        <v>42570</v>
      </c>
      <c r="B138" s="20" t="n">
        <v>0.0110925220741551</v>
      </c>
      <c r="C138" s="20" t="n">
        <v>-0.00456555563574312</v>
      </c>
      <c r="D138" s="20" t="n">
        <v>0.0038689291142564</v>
      </c>
      <c r="E138" s="20" t="n">
        <v>0.00657177645166839</v>
      </c>
      <c r="F138" s="20" t="n">
        <v>0.00976974905423189</v>
      </c>
      <c r="G138" s="20" t="n">
        <v>0.00523351806872085</v>
      </c>
      <c r="H138" s="20" t="n">
        <v>0.020973102929171</v>
      </c>
      <c r="I138" s="20" t="n">
        <v>-0.0588882076214338</v>
      </c>
      <c r="J138" s="20" t="n">
        <v>0.00239515136272894</v>
      </c>
      <c r="K138" s="20" t="n">
        <v>0.0147713035345011</v>
      </c>
      <c r="L138" s="20" t="n">
        <v>-0.00578588563021242</v>
      </c>
      <c r="M138" s="20" t="n">
        <v>0.00109113256035175</v>
      </c>
      <c r="N138" s="20" t="n">
        <v>0.00196590715075606</v>
      </c>
      <c r="O138" s="20" t="n">
        <v>-0.00140386952425863</v>
      </c>
      <c r="P138" s="20" t="n">
        <v>0.0279916231121064</v>
      </c>
      <c r="Q138" s="20" t="n">
        <v>0.0034188034047502</v>
      </c>
      <c r="R138" s="20" t="n">
        <v>0.00103144385971809</v>
      </c>
      <c r="S138" s="20" t="n">
        <v>0.132007330190504</v>
      </c>
      <c r="T138" s="20" t="n">
        <v>0.0234527377894093</v>
      </c>
      <c r="U138" s="20" t="n">
        <v>-0.00303840325443349</v>
      </c>
      <c r="V138" s="20" t="n">
        <v>0.00330709999094214</v>
      </c>
      <c r="W138" s="20" t="n">
        <v>0.00494951886074668</v>
      </c>
      <c r="X138" s="20" t="n">
        <v>-0.00324156807612574</v>
      </c>
    </row>
    <row r="139" customFormat="false" ht="13.5" hidden="false" customHeight="true" outlineLevel="0" collapsed="false">
      <c r="A139" s="47" t="n">
        <v>42571</v>
      </c>
      <c r="B139" s="20" t="n">
        <v>-0.0056555488926282</v>
      </c>
      <c r="C139" s="20" t="n">
        <v>-0.00581305721881042</v>
      </c>
      <c r="D139" s="20" t="n">
        <v>0.00149368644094582</v>
      </c>
      <c r="E139" s="20" t="n">
        <v>0.0130153902510237</v>
      </c>
      <c r="F139" s="20" t="n">
        <v>-0.00906871652351304</v>
      </c>
      <c r="G139" s="20" t="n">
        <v>-0.0121616324186284</v>
      </c>
      <c r="H139" s="20" t="n">
        <v>-0.022901741933315</v>
      </c>
      <c r="I139" s="20" t="n">
        <v>0.00941574845545689</v>
      </c>
      <c r="J139" s="20" t="n">
        <v>-0.00479616787595915</v>
      </c>
      <c r="K139" s="20" t="n">
        <v>0.0116619635603156</v>
      </c>
      <c r="L139" s="20" t="n">
        <v>0.0267191212004793</v>
      </c>
      <c r="M139" s="20" t="n">
        <v>0.000817516861074452</v>
      </c>
      <c r="N139" s="20" t="n">
        <v>0.00294166430816433</v>
      </c>
      <c r="O139" s="20" t="n">
        <v>-0.00445849917788265</v>
      </c>
      <c r="P139" s="20" t="n">
        <v>0.0393654980682769</v>
      </c>
      <c r="Q139" s="20" t="n">
        <v>-0.0034188034047502</v>
      </c>
      <c r="R139" s="20" t="n">
        <v>-0.000515628292368397</v>
      </c>
      <c r="S139" s="20" t="n">
        <v>0.00355239829475362</v>
      </c>
      <c r="T139" s="20" t="n">
        <v>-0.0016336954395979</v>
      </c>
      <c r="U139" s="20" t="n">
        <v>-0.00406561861203957</v>
      </c>
      <c r="V139" s="20" t="n">
        <v>-0.00290968620742049</v>
      </c>
      <c r="W139" s="20" t="n">
        <v>-0.00639773875077542</v>
      </c>
      <c r="X139" s="20" t="n">
        <v>-0.00869569885485921</v>
      </c>
    </row>
    <row r="140" customFormat="false" ht="13.5" hidden="false" customHeight="true" outlineLevel="0" collapsed="false">
      <c r="A140" s="47" t="n">
        <v>42572</v>
      </c>
      <c r="B140" s="20" t="n">
        <v>0.0100460373258535</v>
      </c>
      <c r="C140" s="20" t="n">
        <v>-0.0163963314671216</v>
      </c>
      <c r="D140" s="20" t="n">
        <v>0.0146924653929021</v>
      </c>
      <c r="E140" s="20" t="n">
        <v>-0.0057636991725003</v>
      </c>
      <c r="F140" s="20" t="n">
        <v>0.00767889668375154</v>
      </c>
      <c r="G140" s="20" t="n">
        <v>0.000556031655845501</v>
      </c>
      <c r="H140" s="20" t="n">
        <v>0.0134230071684897</v>
      </c>
      <c r="I140" s="20" t="n">
        <v>0.00932791847861436</v>
      </c>
      <c r="J140" s="20" t="n">
        <v>0.0119476191619387</v>
      </c>
      <c r="K140" s="20" t="n">
        <v>-0.0145987854473441</v>
      </c>
      <c r="L140" s="20" t="n">
        <v>0</v>
      </c>
      <c r="M140" s="20" t="n">
        <v>0.000816952902686907</v>
      </c>
      <c r="N140" s="20" t="n">
        <v>0.00844984660610093</v>
      </c>
      <c r="O140" s="20" t="n">
        <v>0.0137804386774562</v>
      </c>
      <c r="P140" s="20" t="n">
        <v>-0.00604964840118071</v>
      </c>
      <c r="Q140" s="20" t="n">
        <v>0.0119149826312137</v>
      </c>
      <c r="R140" s="20" t="n">
        <v>-0.00413430972843542</v>
      </c>
      <c r="S140" s="20" t="n">
        <v>0.0374119584701206</v>
      </c>
      <c r="T140" s="20" t="n">
        <v>0.00424210663468427</v>
      </c>
      <c r="U140" s="20" t="n">
        <v>0.00188963279819009</v>
      </c>
      <c r="V140" s="20" t="n">
        <v>0.00238127252109343</v>
      </c>
      <c r="W140" s="20" t="n">
        <v>0.00041400244815648</v>
      </c>
      <c r="X140" s="20" t="n">
        <v>0.0130153559954808</v>
      </c>
    </row>
    <row r="141" customFormat="false" ht="13.5" hidden="false" customHeight="true" outlineLevel="0" collapsed="false">
      <c r="A141" s="47" t="n">
        <v>42573</v>
      </c>
      <c r="B141" s="20" t="n">
        <v>0.00357222953217561</v>
      </c>
      <c r="C141" s="20" t="n">
        <v>-0.0131870234461013</v>
      </c>
      <c r="D141" s="20" t="n">
        <v>0.00476869546797686</v>
      </c>
      <c r="E141" s="20" t="n">
        <v>-0.000722821054547573</v>
      </c>
      <c r="F141" s="20" t="n">
        <v>-0.000695668124183868</v>
      </c>
      <c r="G141" s="20" t="n">
        <v>-0.00529466544119205</v>
      </c>
      <c r="H141" s="20" t="n">
        <v>-0.0192314193996618</v>
      </c>
      <c r="I141" s="20" t="n">
        <v>-0.0165201576224189</v>
      </c>
      <c r="J141" s="20" t="n">
        <v>-0.0143542995326177</v>
      </c>
      <c r="K141" s="20" t="n">
        <v>-0.0118344816474726</v>
      </c>
      <c r="L141" s="20" t="n">
        <v>0.00375939938582559</v>
      </c>
      <c r="M141" s="20" t="n">
        <v>0.00108806051488041</v>
      </c>
      <c r="N141" s="20" t="n">
        <v>-0.000647473579073132</v>
      </c>
      <c r="O141" s="20" t="n">
        <v>-0.00395124244803879</v>
      </c>
      <c r="P141" s="20" t="n">
        <v>-0.0638914510776649</v>
      </c>
      <c r="Q141" s="20" t="n">
        <v>-0.0084961792264635</v>
      </c>
      <c r="R141" s="20" t="n">
        <v>-0.0263408070752007</v>
      </c>
      <c r="S141" s="20" t="n">
        <v>-0.0146239230929432</v>
      </c>
      <c r="T141" s="20" t="n">
        <v>0.00260168703027252</v>
      </c>
      <c r="U141" s="20" t="n">
        <v>-0.000871677477794818</v>
      </c>
      <c r="V141" s="20" t="n">
        <v>-0.00158691845359282</v>
      </c>
      <c r="W141" s="20" t="n">
        <v>-0.00414767840126595</v>
      </c>
      <c r="X141" s="20" t="n">
        <v>0.0021529026448821</v>
      </c>
    </row>
    <row r="142" customFormat="false" ht="13.5" hidden="false" customHeight="true" outlineLevel="0" collapsed="false">
      <c r="A142" s="47" t="n">
        <v>42576</v>
      </c>
      <c r="B142" s="20" t="n">
        <v>-0.00326384375230315</v>
      </c>
      <c r="C142" s="20" t="n">
        <v>-0.00538743672391905</v>
      </c>
      <c r="D142" s="20" t="n">
        <v>0.00134080572487427</v>
      </c>
      <c r="E142" s="20" t="n">
        <v>0.00216682883088292</v>
      </c>
      <c r="F142" s="20" t="n">
        <v>0.0110727670773784</v>
      </c>
      <c r="G142" s="20" t="n">
        <v>0.0174494736649153</v>
      </c>
      <c r="H142" s="20" t="n">
        <v>-0.004866185179766</v>
      </c>
      <c r="I142" s="20" t="n">
        <v>0.0159738462602319</v>
      </c>
      <c r="J142" s="20" t="n">
        <v>0.0470674659543342</v>
      </c>
      <c r="K142" s="20" t="n">
        <v>0.00888892151446829</v>
      </c>
      <c r="L142" s="20" t="n">
        <v>0.0618379073316908</v>
      </c>
      <c r="M142" s="20" t="n">
        <v>0.00135859418650774</v>
      </c>
      <c r="N142" s="20" t="n">
        <v>-0.00812880453371045</v>
      </c>
      <c r="O142" s="20" t="n">
        <v>-0.0131271824255705</v>
      </c>
      <c r="P142" s="20" t="n">
        <v>0.0405632500574504</v>
      </c>
      <c r="Q142" s="20" t="n">
        <v>0.00510634862256575</v>
      </c>
      <c r="R142" s="20" t="n">
        <v>-0.00202248663355941</v>
      </c>
      <c r="S142" s="20" t="n">
        <v>0.00862821402404989</v>
      </c>
      <c r="T142" s="20" t="n">
        <v>0.00291870630835155</v>
      </c>
      <c r="U142" s="20" t="n">
        <v>-0.0127260216005273</v>
      </c>
      <c r="V142" s="20" t="n">
        <v>-0.00663924914166802</v>
      </c>
      <c r="W142" s="20" t="n">
        <v>-0.00312202794837768</v>
      </c>
      <c r="X142" s="20" t="n">
        <v>0.0117585167134492</v>
      </c>
    </row>
    <row r="143" customFormat="false" ht="13.5" hidden="false" customHeight="true" outlineLevel="0" collapsed="false">
      <c r="A143" s="47" t="n">
        <v>42577</v>
      </c>
      <c r="B143" s="20" t="n">
        <v>-0.00179035879812516</v>
      </c>
      <c r="C143" s="20" t="n">
        <v>-0.00605577109691246</v>
      </c>
      <c r="D143" s="20" t="n">
        <v>0.0158321659113438</v>
      </c>
      <c r="E143" s="20" t="n">
        <v>-0.00144400777633535</v>
      </c>
      <c r="F143" s="20" t="n">
        <v>0.00685876364994397</v>
      </c>
      <c r="G143" s="20" t="n">
        <v>-0.0236154466426041</v>
      </c>
      <c r="H143" s="20" t="n">
        <v>0</v>
      </c>
      <c r="I143" s="20" t="n">
        <v>0.0296119159744465</v>
      </c>
      <c r="J143" s="20" t="n">
        <v>0.0114287394215866</v>
      </c>
      <c r="K143" s="20" t="n">
        <v>-0.0576790945536391</v>
      </c>
      <c r="L143" s="20" t="n">
        <v>0.0174829460189951</v>
      </c>
      <c r="M143" s="20" t="n">
        <v>0.000542797054140731</v>
      </c>
      <c r="N143" s="20" t="n">
        <v>0.00260841119508636</v>
      </c>
      <c r="O143" s="20" t="n">
        <v>0.00892646886020642</v>
      </c>
      <c r="P143" s="20" t="n">
        <v>-0.0522745294215218</v>
      </c>
      <c r="Q143" s="20" t="n">
        <v>-0.00169919362223835</v>
      </c>
      <c r="R143" s="20" t="n">
        <v>-0.0120056657605243</v>
      </c>
      <c r="S143" s="20" t="n">
        <v>0.00257398103770434</v>
      </c>
      <c r="T143" s="20" t="n">
        <v>-0.00389354590099255</v>
      </c>
      <c r="U143" s="20" t="n">
        <v>-0.0175234704153552</v>
      </c>
      <c r="V143" s="20" t="n">
        <v>0.0186107618384854</v>
      </c>
      <c r="W143" s="20" t="n">
        <v>0.000625169946699255</v>
      </c>
      <c r="X143" s="20" t="n">
        <v>0.00106215930563235</v>
      </c>
    </row>
    <row r="144" customFormat="false" ht="13.5" hidden="false" customHeight="true" outlineLevel="0" collapsed="false">
      <c r="A144" s="47" t="n">
        <v>42578</v>
      </c>
      <c r="B144" s="20" t="n">
        <v>-0.00284657814870392</v>
      </c>
      <c r="C144" s="20" t="n">
        <v>-0.000959559016584066</v>
      </c>
      <c r="D144" s="20" t="n">
        <v>-0.00565144551757779</v>
      </c>
      <c r="E144" s="20" t="n">
        <v>-0.085173873011962</v>
      </c>
      <c r="F144" s="20" t="n">
        <v>0.00341182112053184</v>
      </c>
      <c r="G144" s="20" t="n">
        <v>-0.0334459686444836</v>
      </c>
      <c r="H144" s="20" t="n">
        <v>-0.020700572054592</v>
      </c>
      <c r="I144" s="20" t="n">
        <v>-0.0612548398636181</v>
      </c>
      <c r="J144" s="20" t="n">
        <v>-0.00913247461511934</v>
      </c>
      <c r="K144" s="20" t="n">
        <v>0.0606246546866435</v>
      </c>
      <c r="L144" s="20" t="n">
        <v>0.00518587322331631</v>
      </c>
      <c r="M144" s="20" t="n">
        <v>-0.00489664507758735</v>
      </c>
      <c r="N144" s="20" t="n">
        <v>0.00389993478268957</v>
      </c>
      <c r="O144" s="20" t="n">
        <v>-0.00421834443561852</v>
      </c>
      <c r="P144" s="20" t="n">
        <v>0.0155847779874869</v>
      </c>
      <c r="Q144" s="20" t="n">
        <v>-0.00170216702916903</v>
      </c>
      <c r="R144" s="20" t="n">
        <v>0.00709218557281854</v>
      </c>
      <c r="S144" s="20" t="n">
        <v>0.0186762867415284</v>
      </c>
      <c r="T144" s="20" t="n">
        <v>-0.00783293066326962</v>
      </c>
      <c r="U144" s="20" t="n">
        <v>0.0053787759845818</v>
      </c>
      <c r="V144" s="20" t="n">
        <v>-0.023954000482373</v>
      </c>
      <c r="W144" s="20" t="n">
        <v>0.00270469459942335</v>
      </c>
      <c r="X144" s="20" t="n">
        <v>0.00423729040881992</v>
      </c>
    </row>
    <row r="145" customFormat="false" ht="13.5" hidden="false" customHeight="true" outlineLevel="0" collapsed="false">
      <c r="A145" s="47" t="n">
        <v>42579</v>
      </c>
      <c r="B145" s="20" t="n">
        <v>-0.00465853833423324</v>
      </c>
      <c r="C145" s="20" t="n">
        <v>-0.0035261755106295</v>
      </c>
      <c r="D145" s="20" t="n">
        <v>-0.000482461902990394</v>
      </c>
      <c r="E145" s="20" t="n">
        <v>-0.00394168353942392</v>
      </c>
      <c r="F145" s="20" t="n">
        <v>-0.0130273034381671</v>
      </c>
      <c r="G145" s="20" t="n">
        <v>-0.00612344525154018</v>
      </c>
      <c r="H145" s="20" t="n">
        <v>0.0400249025421766</v>
      </c>
      <c r="I145" s="20" t="n">
        <v>0.00842462854085379</v>
      </c>
      <c r="J145" s="20" t="n">
        <v>0.00685710869026334</v>
      </c>
      <c r="K145" s="20" t="n">
        <v>0.0116960632055098</v>
      </c>
      <c r="L145" s="20" t="n">
        <v>-0.00865809562843522</v>
      </c>
      <c r="M145" s="20" t="n">
        <v>0.00598156291349027</v>
      </c>
      <c r="N145" s="20" t="n">
        <v>0.0195927451241777</v>
      </c>
      <c r="O145" s="20" t="n">
        <v>0.0165369801345658</v>
      </c>
      <c r="P145" s="20" t="n">
        <v>0.0366897514340349</v>
      </c>
      <c r="Q145" s="20" t="n">
        <v>-0.0154508953607994</v>
      </c>
      <c r="R145" s="20" t="n">
        <v>-0.00720005438913862</v>
      </c>
      <c r="S145" s="20" t="n">
        <v>-0.011844498987438</v>
      </c>
      <c r="T145" s="20" t="n">
        <v>0.000327607822566022</v>
      </c>
      <c r="U145" s="20" t="n">
        <v>0.00875306157562416</v>
      </c>
      <c r="V145" s="20" t="n">
        <v>0.00200701071263154</v>
      </c>
      <c r="W145" s="20" t="n">
        <v>-0.0033298645461226</v>
      </c>
      <c r="X145" s="20" t="n">
        <v>0.00421941151025873</v>
      </c>
    </row>
    <row r="146" customFormat="false" ht="13.5" hidden="false" customHeight="true" outlineLevel="0" collapsed="false">
      <c r="A146" s="47" t="n">
        <v>42580</v>
      </c>
      <c r="B146" s="20" t="n">
        <v>0.00515418194156147</v>
      </c>
      <c r="C146" s="20" t="n">
        <v>0.0003210641242819</v>
      </c>
      <c r="D146" s="20" t="n">
        <v>0.00349251774358361</v>
      </c>
      <c r="E146" s="20" t="n">
        <v>-0.0143200784017745</v>
      </c>
      <c r="F146" s="20" t="n">
        <v>-0.0111035040207343</v>
      </c>
      <c r="G146" s="20" t="n">
        <v>-0.00527861381780869</v>
      </c>
      <c r="H146" s="20" t="n">
        <v>-0.0193243304875845</v>
      </c>
      <c r="I146" s="20" t="n">
        <v>0.0111236279358566</v>
      </c>
      <c r="J146" s="20" t="n">
        <v>-0.0114548134029626</v>
      </c>
      <c r="K146" s="20" t="n">
        <v>-0.0116960632055098</v>
      </c>
      <c r="L146" s="20" t="n">
        <v>-0.0408219979755968</v>
      </c>
      <c r="M146" s="20" t="n">
        <v>0.0113209289772435</v>
      </c>
      <c r="N146" s="20" t="n">
        <v>-0.013448812042129</v>
      </c>
      <c r="O146" s="20" t="n">
        <v>-0.00254425044840411</v>
      </c>
      <c r="P146" s="20" t="n">
        <v>-0.0562089257060494</v>
      </c>
      <c r="Q146" s="20" t="n">
        <v>0.00345423145438639</v>
      </c>
      <c r="R146" s="20" t="n">
        <v>0.00827024365642081</v>
      </c>
      <c r="S146" s="20" t="n">
        <v>0.00847465918250955</v>
      </c>
      <c r="T146" s="20" t="n">
        <v>0.0065295320084493</v>
      </c>
      <c r="U146" s="20" t="n">
        <v>-0.000738757668277578</v>
      </c>
      <c r="V146" s="20" t="n">
        <v>0.0182787192790199</v>
      </c>
      <c r="W146" s="20" t="n">
        <v>-0.00334098959925199</v>
      </c>
      <c r="X146" s="20" t="n">
        <v>-0.0127120233878379</v>
      </c>
    </row>
    <row r="147" customFormat="false" ht="13.5" hidden="false" customHeight="true" outlineLevel="0" collapsed="false">
      <c r="A147" s="47" t="n">
        <v>42583</v>
      </c>
      <c r="B147" s="20" t="n">
        <v>-0.00540320614280354</v>
      </c>
      <c r="C147" s="20" t="n">
        <v>-0.00321541716536755</v>
      </c>
      <c r="D147" s="20" t="n">
        <v>0.00168167474644942</v>
      </c>
      <c r="E147" s="20" t="n">
        <v>-0.0442332534408214</v>
      </c>
      <c r="F147" s="20" t="n">
        <v>-0.0140550317204279</v>
      </c>
      <c r="G147" s="20" t="n">
        <v>-0.0420355411490209</v>
      </c>
      <c r="H147" s="20" t="n">
        <v>0.0106745974109381</v>
      </c>
      <c r="I147" s="20" t="n">
        <v>0.00110560860322239</v>
      </c>
      <c r="J147" s="20" t="n">
        <v>-0.0256723857035279</v>
      </c>
      <c r="K147" s="20" t="n">
        <v>0.0058651312421023</v>
      </c>
      <c r="L147" s="20" t="n">
        <v>0.00361663703979497</v>
      </c>
      <c r="M147" s="20" t="n">
        <v>-0.0249674291890911</v>
      </c>
      <c r="N147" s="20" t="n">
        <v>-0.0139590093544677</v>
      </c>
      <c r="O147" s="20" t="n">
        <v>-0.000463295299654387</v>
      </c>
      <c r="P147" s="20" t="n">
        <v>0.0259417671068371</v>
      </c>
      <c r="Q147" s="20" t="n">
        <v>-0.00865809562843522</v>
      </c>
      <c r="R147" s="20" t="n">
        <v>0.0477250554726262</v>
      </c>
      <c r="S147" s="20" t="n">
        <v>-0.0422295167017461</v>
      </c>
      <c r="T147" s="20" t="n">
        <v>-0.00358594360852926</v>
      </c>
      <c r="U147" s="20" t="n">
        <v>-0.00459301782173859</v>
      </c>
      <c r="V147" s="20" t="n">
        <v>-0.01507565378611</v>
      </c>
      <c r="W147" s="20" t="n">
        <v>-0.00230343747310657</v>
      </c>
      <c r="X147" s="20" t="n">
        <v>-0.0117963462597003</v>
      </c>
    </row>
    <row r="148" customFormat="false" ht="13.5" hidden="false" customHeight="true" outlineLevel="0" collapsed="false">
      <c r="A148" s="47" t="n">
        <v>42584</v>
      </c>
      <c r="B148" s="20" t="n">
        <v>0.000560288499579009</v>
      </c>
      <c r="C148" s="20" t="n">
        <v>0.00257312208027249</v>
      </c>
      <c r="D148" s="20" t="n">
        <v>-0.00722718721290682</v>
      </c>
      <c r="E148" s="20" t="n">
        <v>0.015787659569816</v>
      </c>
      <c r="F148" s="20" t="n">
        <v>0.0244681505484756</v>
      </c>
      <c r="G148" s="20" t="n">
        <v>0.01793089038462</v>
      </c>
      <c r="H148" s="20" t="n">
        <v>0.0443677813358835</v>
      </c>
      <c r="I148" s="20" t="n">
        <v>-0.00110560860322239</v>
      </c>
      <c r="J148" s="20" t="n">
        <v>0</v>
      </c>
      <c r="K148" s="20" t="n">
        <v>0.0595920900004858</v>
      </c>
      <c r="L148" s="20" t="n">
        <v>0.0441377911230229</v>
      </c>
      <c r="M148" s="20" t="n">
        <v>-0.0306943312214138</v>
      </c>
      <c r="N148" s="20" t="n">
        <v>-0.00261865692053309</v>
      </c>
      <c r="O148" s="20" t="n">
        <v>-0.000463510041681658</v>
      </c>
      <c r="P148" s="20" t="n">
        <v>0.0487291744848263</v>
      </c>
      <c r="Q148" s="20" t="n">
        <v>-0.00348432075390481</v>
      </c>
      <c r="R148" s="20" t="n">
        <v>-0.00644533675651448</v>
      </c>
      <c r="S148" s="20" t="n">
        <v>-0.00529564047344521</v>
      </c>
      <c r="T148" s="20" t="n">
        <v>0.00326046829017778</v>
      </c>
      <c r="U148" s="20" t="n">
        <v>-0.0145091708098314</v>
      </c>
      <c r="V148" s="20" t="n">
        <v>-0.00333667296313322</v>
      </c>
      <c r="W148" s="20" t="n">
        <v>-0.00272910985994245</v>
      </c>
      <c r="X148" s="20" t="n">
        <v>0.0117963462597003</v>
      </c>
    </row>
    <row r="149" customFormat="false" ht="13.5" hidden="false" customHeight="true" outlineLevel="0" collapsed="false">
      <c r="A149" s="47" t="n">
        <v>42585</v>
      </c>
      <c r="B149" s="20" t="n">
        <v>0.00546215050211795</v>
      </c>
      <c r="C149" s="20" t="n">
        <v>0.00128411425252439</v>
      </c>
      <c r="D149" s="20" t="n">
        <v>-0.00363332182264297</v>
      </c>
      <c r="E149" s="20" t="n">
        <v>-0.00413054619954955</v>
      </c>
      <c r="F149" s="20" t="n">
        <v>0</v>
      </c>
      <c r="G149" s="20" t="n">
        <v>-0.0197725536869688</v>
      </c>
      <c r="H149" s="20" t="n">
        <v>0.0228215989969382</v>
      </c>
      <c r="I149" s="20" t="n">
        <v>-0.00276927544550753</v>
      </c>
      <c r="J149" s="20" t="n">
        <v>0</v>
      </c>
      <c r="K149" s="20" t="n">
        <v>0.178641651218696</v>
      </c>
      <c r="L149" s="20" t="n">
        <v>0.0222041767869247</v>
      </c>
      <c r="M149" s="20" t="n">
        <v>-0.00397500196297828</v>
      </c>
      <c r="N149" s="20" t="n">
        <v>-0.00855832175359072</v>
      </c>
      <c r="O149" s="20" t="n">
        <v>-0.00139173202107389</v>
      </c>
      <c r="P149" s="20" t="n">
        <v>0.00850043337805894</v>
      </c>
      <c r="Q149" s="20" t="n">
        <v>0.0224340923175947</v>
      </c>
      <c r="R149" s="20" t="n">
        <v>-0.00473250966459026</v>
      </c>
      <c r="S149" s="20" t="n">
        <v>0.00968740790332622</v>
      </c>
      <c r="T149" s="20" t="n">
        <v>0.00260077928103763</v>
      </c>
      <c r="U149" s="20" t="n">
        <v>0.00375968545240557</v>
      </c>
      <c r="V149" s="20" t="n">
        <v>0.00692777395789701</v>
      </c>
      <c r="W149" s="20" t="n">
        <v>0.00565980880303174</v>
      </c>
      <c r="X149" s="20" t="n">
        <v>-0.00320339111916112</v>
      </c>
    </row>
    <row r="150" customFormat="false" ht="13.5" hidden="false" customHeight="true" outlineLevel="0" collapsed="false">
      <c r="A150" s="47" t="n">
        <v>42586</v>
      </c>
      <c r="B150" s="20" t="n">
        <v>0.011998279176316</v>
      </c>
      <c r="C150" s="20" t="n">
        <v>0.00352285123550233</v>
      </c>
      <c r="D150" s="20" t="n">
        <v>-0.0104891879221398</v>
      </c>
      <c r="E150" s="20" t="n">
        <v>0.00906472287920801</v>
      </c>
      <c r="F150" s="20" t="n">
        <v>0.038609648524241</v>
      </c>
      <c r="G150" s="20" t="n">
        <v>0.00214821923310681</v>
      </c>
      <c r="H150" s="20" t="n">
        <v>0.0027039198397305</v>
      </c>
      <c r="I150" s="20" t="n">
        <v>-0.0321245773229716</v>
      </c>
      <c r="J150" s="20" t="n">
        <v>0.00236121769501473</v>
      </c>
      <c r="K150" s="20" t="n">
        <v>0.141563597832232</v>
      </c>
      <c r="L150" s="20" t="n">
        <v>0.0167507943689715</v>
      </c>
      <c r="M150" s="20" t="n">
        <v>0.00821642531996502</v>
      </c>
      <c r="N150" s="20" t="n">
        <v>-0.0123068522990283</v>
      </c>
      <c r="O150" s="20" t="n">
        <v>0.00185524206275555</v>
      </c>
      <c r="P150" s="20" t="n">
        <v>0.00842867027864846</v>
      </c>
      <c r="Q150" s="20" t="n">
        <v>0.0285974191602322</v>
      </c>
      <c r="R150" s="20" t="n">
        <v>0.00411651829343018</v>
      </c>
      <c r="S150" s="20" t="n">
        <v>0</v>
      </c>
      <c r="T150" s="20" t="n">
        <v>0.00776205960133236</v>
      </c>
      <c r="U150" s="20" t="n">
        <v>-0.00135191858748751</v>
      </c>
      <c r="V150" s="20" t="n">
        <v>-0.174176395568335</v>
      </c>
      <c r="W150" s="20" t="n">
        <v>0.0174061615564213</v>
      </c>
      <c r="X150" s="20" t="n">
        <v>0.0418909009102597</v>
      </c>
    </row>
    <row r="151" customFormat="false" ht="13.5" hidden="false" customHeight="true" outlineLevel="0" collapsed="false">
      <c r="A151" s="47" t="n">
        <v>42587</v>
      </c>
      <c r="B151" s="20" t="n">
        <v>-0.00896981343621305</v>
      </c>
      <c r="C151" s="20" t="n">
        <v>-0.000319729565172011</v>
      </c>
      <c r="D151" s="20" t="n">
        <v>0.000490327498178899</v>
      </c>
      <c r="E151" s="20" t="n">
        <v>-0.000820621732919413</v>
      </c>
      <c r="F151" s="20" t="n">
        <v>0.00530153149580803</v>
      </c>
      <c r="G151" s="20" t="n">
        <v>-0.00954874210868794</v>
      </c>
      <c r="H151" s="20" t="n">
        <v>-0.00813379240804423</v>
      </c>
      <c r="I151" s="20" t="n">
        <v>0.0113896885597495</v>
      </c>
      <c r="J151" s="20" t="n">
        <v>-0.00472813693199891</v>
      </c>
      <c r="K151" s="20" t="n">
        <v>-0.0512933069358969</v>
      </c>
      <c r="L151" s="20" t="n">
        <v>0.00165978938080479</v>
      </c>
      <c r="M151" s="20" t="n">
        <v>-0.0144950194316111</v>
      </c>
      <c r="N151" s="20" t="n">
        <v>0.0132981190679615</v>
      </c>
      <c r="O151" s="20" t="n">
        <v>-0.00534324750938042</v>
      </c>
      <c r="P151" s="20" t="n">
        <v>0.0434085605775216</v>
      </c>
      <c r="Q151" s="20" t="n">
        <v>0.0115417100120789</v>
      </c>
      <c r="R151" s="20" t="n">
        <v>-0.0019532510802751</v>
      </c>
      <c r="S151" s="20" t="n">
        <v>0</v>
      </c>
      <c r="T151" s="20" t="n">
        <v>-0.000966984316837837</v>
      </c>
      <c r="U151" s="20" t="n">
        <v>-0.000601427119869768</v>
      </c>
      <c r="V151" s="20" t="n">
        <v>-0.0482372130881492</v>
      </c>
      <c r="W151" s="20" t="n">
        <v>0.00471359704315288</v>
      </c>
      <c r="X151" s="20" t="n">
        <v>-0.00102619085447441</v>
      </c>
    </row>
    <row r="152" customFormat="false" ht="13.5" hidden="false" customHeight="true" outlineLevel="0" collapsed="false">
      <c r="A152" s="47" t="n">
        <v>42590</v>
      </c>
      <c r="B152" s="20" t="n">
        <v>-0.00166757714878063</v>
      </c>
      <c r="C152" s="20" t="n">
        <v>0.000958882177860331</v>
      </c>
      <c r="D152" s="20" t="n">
        <v>-0.00122622302374786</v>
      </c>
      <c r="E152" s="20" t="n">
        <v>0.0106166869465935</v>
      </c>
      <c r="F152" s="20" t="n">
        <v>0.00395775361903982</v>
      </c>
      <c r="G152" s="20" t="n">
        <v>-0.000619209216535576</v>
      </c>
      <c r="H152" s="20" t="n">
        <v>0.0135198673294447</v>
      </c>
      <c r="I152" s="20" t="n">
        <v>0.025162119062279</v>
      </c>
      <c r="J152" s="20" t="n">
        <v>-0.00713433073982039</v>
      </c>
      <c r="K152" s="20" t="n">
        <v>0.0104712900638997</v>
      </c>
      <c r="L152" s="20" t="n">
        <v>0.006611587818518</v>
      </c>
      <c r="M152" s="20" t="n">
        <v>0.00428515214500091</v>
      </c>
      <c r="N152" s="20" t="n">
        <v>-0.00430254072498481</v>
      </c>
      <c r="O152" s="20" t="n">
        <v>0.00348800544662486</v>
      </c>
      <c r="P152" s="20" t="n">
        <v>0.00572413583227637</v>
      </c>
      <c r="Q152" s="20" t="n">
        <v>0.00490601307185101</v>
      </c>
      <c r="R152" s="20" t="n">
        <v>0.00277446251935753</v>
      </c>
      <c r="S152" s="20" t="n">
        <v>0.0156525200163257</v>
      </c>
      <c r="T152" s="20" t="n">
        <v>-0.00225987808726824</v>
      </c>
      <c r="U152" s="20" t="n">
        <v>0.00195334570735727</v>
      </c>
      <c r="V152" s="20" t="n">
        <v>0.0214921138524317</v>
      </c>
      <c r="W152" s="20" t="n">
        <v>0.000408840106522312</v>
      </c>
      <c r="X152" s="20" t="n">
        <v>-0.00411522830933241</v>
      </c>
    </row>
    <row r="153" customFormat="false" ht="13.5" hidden="false" customHeight="true" outlineLevel="0" collapsed="false">
      <c r="A153" s="47" t="n">
        <v>42591</v>
      </c>
      <c r="B153" s="20" t="n">
        <v>0.00191445204528672</v>
      </c>
      <c r="C153" s="20" t="n">
        <v>-0.000958882177860331</v>
      </c>
      <c r="D153" s="20" t="n">
        <v>-0.0117248727373313</v>
      </c>
      <c r="E153" s="20" t="n">
        <v>-0.00488603729309078</v>
      </c>
      <c r="F153" s="20" t="n">
        <v>-0.0253346323701029</v>
      </c>
      <c r="G153" s="20" t="n">
        <v>0.00648247621223063</v>
      </c>
      <c r="H153" s="20" t="n">
        <v>-0.0071878755503818</v>
      </c>
      <c r="I153" s="20" t="n">
        <v>0.0458671429417854</v>
      </c>
      <c r="J153" s="20" t="n">
        <v>0.00476190916484808</v>
      </c>
      <c r="K153" s="20" t="n">
        <v>0.0606246254686803</v>
      </c>
      <c r="L153" s="20" t="n">
        <v>-0.045500682914005</v>
      </c>
      <c r="M153" s="20" t="n">
        <v>0.00142427698185887</v>
      </c>
      <c r="N153" s="20" t="n">
        <v>0.00628206842885203</v>
      </c>
      <c r="O153" s="20" t="n">
        <v>0.00278161811892241</v>
      </c>
      <c r="P153" s="20" t="n">
        <v>-0.0161108596769703</v>
      </c>
      <c r="Q153" s="20" t="n">
        <v>-0.0065466618398231</v>
      </c>
      <c r="R153" s="20" t="n">
        <v>-0.00349503174601029</v>
      </c>
      <c r="S153" s="20" t="n">
        <v>-0.0104077160952309</v>
      </c>
      <c r="T153" s="20" t="n">
        <v>-0.00291309968928965</v>
      </c>
      <c r="U153" s="20" t="n">
        <v>0.00329677494487956</v>
      </c>
      <c r="V153" s="20" t="n">
        <v>-0.016859369108686</v>
      </c>
      <c r="W153" s="20" t="n">
        <v>-0.015446708017218</v>
      </c>
      <c r="X153" s="20" t="n">
        <v>-0.0166323843843883</v>
      </c>
    </row>
    <row r="154" customFormat="false" ht="13.5" hidden="false" customHeight="true" outlineLevel="0" collapsed="false">
      <c r="A154" s="47" t="n">
        <v>42592</v>
      </c>
      <c r="B154" s="20" t="n">
        <v>0.00890640048199387</v>
      </c>
      <c r="C154" s="20" t="n">
        <v>0.000639356936023016</v>
      </c>
      <c r="D154" s="20" t="n">
        <v>0.000124070595380665</v>
      </c>
      <c r="E154" s="20" t="n">
        <v>0.00488603729309078</v>
      </c>
      <c r="F154" s="20" t="n">
        <v>0.00471538048282527</v>
      </c>
      <c r="G154" s="20" t="n">
        <v>-0.0061728827274976</v>
      </c>
      <c r="H154" s="20" t="n">
        <v>0.0240546592691071</v>
      </c>
      <c r="I154" s="20" t="n">
        <v>0</v>
      </c>
      <c r="J154" s="20" t="n">
        <v>0.00473934081195648</v>
      </c>
      <c r="K154" s="20" t="n">
        <v>-0.00985228718583508</v>
      </c>
      <c r="L154" s="20" t="n">
        <v>0.0136988309355821</v>
      </c>
      <c r="M154" s="20" t="n">
        <v>0.000569164984786318</v>
      </c>
      <c r="N154" s="20" t="n">
        <v>0.0026333103895153</v>
      </c>
      <c r="O154" s="20" t="n">
        <v>0.00438847283291821</v>
      </c>
      <c r="P154" s="20" t="n">
        <v>0.0607610906285791</v>
      </c>
      <c r="Q154" s="20" t="n">
        <v>0.0195127953109288</v>
      </c>
      <c r="R154" s="20" t="n">
        <v>-0.00113338438803634</v>
      </c>
      <c r="S154" s="20" t="n">
        <v>-0.00436874351331262</v>
      </c>
      <c r="T154" s="20" t="n">
        <v>0.00323626106461016</v>
      </c>
      <c r="U154" s="20" t="n">
        <v>-0.00149720762302241</v>
      </c>
      <c r="V154" s="20" t="n">
        <v>0.00641712411660755</v>
      </c>
      <c r="W154" s="20" t="n">
        <v>0.00124458369221613</v>
      </c>
      <c r="X154" s="20" t="n">
        <v>0.00313969211450526</v>
      </c>
    </row>
    <row r="155" customFormat="false" ht="13.5" hidden="false" customHeight="true" outlineLevel="0" collapsed="false">
      <c r="A155" s="47" t="n">
        <v>42593</v>
      </c>
      <c r="B155" s="20" t="n">
        <v>-0.00970882550608376</v>
      </c>
      <c r="C155" s="20" t="n">
        <v>-0.00159922294835945</v>
      </c>
      <c r="D155" s="20" t="n">
        <v>-0.00422934254601692</v>
      </c>
      <c r="E155" s="20" t="n">
        <v>0.00162333670475822</v>
      </c>
      <c r="F155" s="20" t="n">
        <v>0.00201408144684966</v>
      </c>
      <c r="G155" s="20" t="n">
        <v>0.00863145276750465</v>
      </c>
      <c r="H155" s="20" t="n">
        <v>-0.0070671603463206</v>
      </c>
      <c r="I155" s="20" t="n">
        <v>-0.00422833227313557</v>
      </c>
      <c r="J155" s="20" t="n">
        <v>-0.00473934081195648</v>
      </c>
      <c r="K155" s="20" t="n">
        <v>-0.0782291458271093</v>
      </c>
      <c r="L155" s="20" t="n">
        <v>-0.0416727395360758</v>
      </c>
      <c r="M155" s="20" t="n">
        <v>-0.0048482051631522</v>
      </c>
      <c r="N155" s="20" t="n">
        <v>-0.0152371612484705</v>
      </c>
      <c r="O155" s="20" t="n">
        <v>-0.00253837941017831</v>
      </c>
      <c r="P155" s="20" t="n">
        <v>0.0247991677547925</v>
      </c>
      <c r="Q155" s="20" t="n">
        <v>-0.00161164080085929</v>
      </c>
      <c r="R155" s="20" t="n">
        <v>0.00442319606612429</v>
      </c>
      <c r="S155" s="20" t="n">
        <v>-0.00175288897040237</v>
      </c>
      <c r="T155" s="20" t="n">
        <v>-0.00258815808119505</v>
      </c>
      <c r="U155" s="20" t="n">
        <v>0</v>
      </c>
      <c r="V155" s="20" t="n">
        <v>-0.00559212224051552</v>
      </c>
      <c r="W155" s="20" t="n">
        <v>-0.00707305094063892</v>
      </c>
      <c r="X155" s="20" t="n">
        <v>-0.00944890559644395</v>
      </c>
    </row>
    <row r="156" customFormat="false" ht="13.5" hidden="false" customHeight="true" outlineLevel="0" collapsed="false">
      <c r="A156" s="47" t="n">
        <v>42594</v>
      </c>
      <c r="B156" s="20" t="n">
        <v>-0.000432276602685632</v>
      </c>
      <c r="C156" s="20" t="n">
        <v>0</v>
      </c>
      <c r="D156" s="20" t="n">
        <v>0.000498515896298457</v>
      </c>
      <c r="E156" s="20" t="n">
        <v>0.00807761908558557</v>
      </c>
      <c r="F156" s="20" t="n">
        <v>0.00735055827021291</v>
      </c>
      <c r="G156" s="20" t="n">
        <v>0.00459341515133227</v>
      </c>
      <c r="H156" s="20" t="n">
        <v>0.0105820990515725</v>
      </c>
      <c r="I156" s="20" t="n">
        <v>-0.00212083901906989</v>
      </c>
      <c r="J156" s="20" t="n">
        <v>0.00710055850697122</v>
      </c>
      <c r="K156" s="20" t="n">
        <v>0.0782291458271093</v>
      </c>
      <c r="L156" s="20" t="n">
        <v>0.0279739086004937</v>
      </c>
      <c r="M156" s="20" t="n">
        <v>0.00370955106030557</v>
      </c>
      <c r="N156" s="20" t="n">
        <v>0.00200071336324336</v>
      </c>
      <c r="O156" s="20" t="n">
        <v>-0.0060254718531385</v>
      </c>
      <c r="P156" s="20" t="n">
        <v>0.0168958446821112</v>
      </c>
      <c r="Q156" s="20" t="n">
        <v>0.0112270903154483</v>
      </c>
      <c r="R156" s="20" t="n">
        <v>0.00153839858283522</v>
      </c>
      <c r="S156" s="20" t="n">
        <v>0.025975503563393</v>
      </c>
      <c r="T156" s="20" t="n">
        <v>0.0103126820423122</v>
      </c>
      <c r="U156" s="20" t="n">
        <v>-0.00721801220310869</v>
      </c>
      <c r="V156" s="20" t="n">
        <v>-0.00994542077171534</v>
      </c>
      <c r="W156" s="20" t="n">
        <v>0.00769472288342232</v>
      </c>
      <c r="X156" s="20" t="n">
        <v>0.0208776648352868</v>
      </c>
    </row>
    <row r="157" customFormat="false" ht="13.5" hidden="false" customHeight="true" outlineLevel="0" collapsed="false">
      <c r="A157" s="47" t="n">
        <v>42597</v>
      </c>
      <c r="B157" s="20" t="n">
        <v>-0.00731609641776209</v>
      </c>
      <c r="C157" s="20" t="n">
        <v>-0.00160178455953241</v>
      </c>
      <c r="D157" s="20" t="n">
        <v>-0.00524680532004406</v>
      </c>
      <c r="E157" s="20" t="n">
        <v>-0.00726689923162204</v>
      </c>
      <c r="F157" s="20" t="n">
        <v>0.00993712157677517</v>
      </c>
      <c r="G157" s="20" t="n">
        <v>-0.0194360919262304</v>
      </c>
      <c r="H157" s="20" t="n">
        <v>-0.00792605758364639</v>
      </c>
      <c r="I157" s="20" t="n">
        <v>-0.000530938630024291</v>
      </c>
      <c r="J157" s="20" t="n">
        <v>-0.00947873538604082</v>
      </c>
      <c r="K157" s="20" t="n">
        <v>0.0273454513889507</v>
      </c>
      <c r="L157" s="20" t="n">
        <v>0.0255332370635639</v>
      </c>
      <c r="M157" s="20" t="n">
        <v>-0.00915599208465201</v>
      </c>
      <c r="N157" s="20" t="n">
        <v>-0.0201891236873796</v>
      </c>
      <c r="O157" s="20" t="n">
        <v>-0.0249483727712553</v>
      </c>
      <c r="P157" s="20" t="n">
        <v>0</v>
      </c>
      <c r="Q157" s="20" t="n">
        <v>0.00159366228627355</v>
      </c>
      <c r="R157" s="20" t="n">
        <v>-0.000205024829287303</v>
      </c>
      <c r="S157" s="20" t="n">
        <v>-0.013769567727262</v>
      </c>
      <c r="T157" s="20" t="n">
        <v>-0.00224682146458654</v>
      </c>
      <c r="U157" s="20" t="n">
        <v>0</v>
      </c>
      <c r="V157" s="20" t="n">
        <v>-0.0103818571296043</v>
      </c>
      <c r="W157" s="20" t="n">
        <v>0.0035156311787392</v>
      </c>
      <c r="X157" s="20" t="n">
        <v>-0.00414078857806199</v>
      </c>
    </row>
    <row r="158" customFormat="false" ht="13.5" hidden="false" customHeight="true" outlineLevel="0" collapsed="false">
      <c r="A158" s="47" t="n">
        <v>42598</v>
      </c>
      <c r="B158" s="20" t="n">
        <v>-0.00161919763426876</v>
      </c>
      <c r="C158" s="20" t="n">
        <v>0.00320100750789187</v>
      </c>
      <c r="D158" s="20" t="n">
        <v>0.00337611171083995</v>
      </c>
      <c r="E158" s="20" t="n">
        <v>0.00404369250816749</v>
      </c>
      <c r="F158" s="20" t="n">
        <v>-0.00131929161384736</v>
      </c>
      <c r="G158" s="20" t="n">
        <v>-0.00687715500354846</v>
      </c>
      <c r="H158" s="20" t="n">
        <v>0.00880286521036</v>
      </c>
      <c r="I158" s="20" t="n">
        <v>-0.0176806065330588</v>
      </c>
      <c r="J158" s="20" t="n">
        <v>0.00947873538604082</v>
      </c>
      <c r="K158" s="20" t="n">
        <v>-0.0534251271080181</v>
      </c>
      <c r="L158" s="20" t="n">
        <v>0.00335570475947477</v>
      </c>
      <c r="M158" s="20" t="n">
        <v>0.010010049910142</v>
      </c>
      <c r="N158" s="20" t="n">
        <v>-0.00579514408869386</v>
      </c>
      <c r="O158" s="20" t="n">
        <v>-0.00238603011040972</v>
      </c>
      <c r="P158" s="20" t="n">
        <v>-0.00419727384008661</v>
      </c>
      <c r="Q158" s="20" t="n">
        <v>-0.00478855014076939</v>
      </c>
      <c r="R158" s="20" t="n">
        <v>-0.000102449969897833</v>
      </c>
      <c r="S158" s="20" t="n">
        <v>0.00604750836417977</v>
      </c>
      <c r="T158" s="20" t="n">
        <v>-0.0129368403501151</v>
      </c>
      <c r="U158" s="20" t="n">
        <v>0.00301382003896222</v>
      </c>
      <c r="V158" s="20" t="n">
        <v>-0.0188604795292555</v>
      </c>
      <c r="W158" s="20" t="n">
        <v>0.00350339327891457</v>
      </c>
      <c r="X158" s="20" t="n">
        <v>0.00207248819173155</v>
      </c>
    </row>
    <row r="159" customFormat="false" ht="13.5" hidden="false" customHeight="true" outlineLevel="0" collapsed="false">
      <c r="A159" s="47" t="n">
        <v>42599</v>
      </c>
      <c r="B159" s="20" t="n">
        <v>0.00571784130970698</v>
      </c>
      <c r="C159" s="20" t="n">
        <v>0.00446427858586151</v>
      </c>
      <c r="D159" s="20" t="n">
        <v>-0.00412786666954989</v>
      </c>
      <c r="E159" s="20" t="n">
        <v>-0.00485441236213102</v>
      </c>
      <c r="F159" s="20" t="n">
        <v>0.000659863373203339</v>
      </c>
      <c r="G159" s="20" t="n">
        <v>0.0180297062844068</v>
      </c>
      <c r="H159" s="20" t="n">
        <v>-0.00615385961526815</v>
      </c>
      <c r="I159" s="20" t="n">
        <v>0.0107528325751622</v>
      </c>
      <c r="J159" s="20" t="n">
        <v>-0.0118624676718193</v>
      </c>
      <c r="K159" s="20" t="n">
        <v>0.0221114676971674</v>
      </c>
      <c r="L159" s="20" t="n">
        <v>-0.0101010866613204</v>
      </c>
      <c r="M159" s="20" t="n">
        <v>0.00142184691864555</v>
      </c>
      <c r="N159" s="20" t="n">
        <v>-0.00411103151645742</v>
      </c>
      <c r="O159" s="20" t="n">
        <v>-0.0110498139103896</v>
      </c>
      <c r="P159" s="20" t="n">
        <v>0.0651297672797821</v>
      </c>
      <c r="Q159" s="20" t="n">
        <v>-0.0161293664229844</v>
      </c>
      <c r="R159" s="20" t="n">
        <v>-0.00380016623508527</v>
      </c>
      <c r="S159" s="20" t="n">
        <v>0.0034393811290232</v>
      </c>
      <c r="T159" s="20" t="n">
        <v>-0.00784317012777746</v>
      </c>
      <c r="U159" s="20" t="n">
        <v>-0.00225957058812831</v>
      </c>
      <c r="V159" s="20" t="n">
        <v>0.00649687820545175</v>
      </c>
      <c r="W159" s="20" t="n">
        <v>-0.00164714534990784</v>
      </c>
      <c r="X159" s="20" t="n">
        <v>-0.0156497318037893</v>
      </c>
    </row>
    <row r="160" customFormat="false" ht="13.5" hidden="false" customHeight="true" outlineLevel="0" collapsed="false">
      <c r="A160" s="47" t="n">
        <v>42600</v>
      </c>
      <c r="B160" s="20" t="n">
        <v>-0.00821415539065029</v>
      </c>
      <c r="C160" s="20" t="n">
        <v>-0.00574346497329658</v>
      </c>
      <c r="D160" s="20" t="n">
        <v>-0.00906580418827829</v>
      </c>
      <c r="E160" s="20" t="n">
        <v>0.00485441236213102</v>
      </c>
      <c r="F160" s="20" t="n">
        <v>0.00394999982907773</v>
      </c>
      <c r="G160" s="20" t="n">
        <v>0.00461047463626762</v>
      </c>
      <c r="H160" s="20" t="n">
        <v>-0.00353356914295743</v>
      </c>
      <c r="I160" s="20" t="n">
        <v>-0.0199845069700721</v>
      </c>
      <c r="J160" s="20" t="n">
        <v>0</v>
      </c>
      <c r="K160" s="20" t="n">
        <v>-0.00598211338894805</v>
      </c>
      <c r="L160" s="20" t="n">
        <v>0.0101010866613204</v>
      </c>
      <c r="M160" s="20" t="n">
        <v>-0.0059854558044412</v>
      </c>
      <c r="N160" s="20" t="n">
        <v>-0.0100052244538173</v>
      </c>
      <c r="O160" s="20" t="n">
        <v>-0.00946501921251163</v>
      </c>
      <c r="P160" s="20" t="n">
        <v>-0.000985635883274938</v>
      </c>
      <c r="Q160" s="20" t="n">
        <v>0.00486614636735138</v>
      </c>
      <c r="R160" s="20" t="n">
        <v>-0.00185395361468909</v>
      </c>
      <c r="S160" s="20" t="n">
        <v>0.0420229911223453</v>
      </c>
      <c r="T160" s="20" t="n">
        <v>0.00131150561511361</v>
      </c>
      <c r="U160" s="20" t="n">
        <v>0.000301632579986055</v>
      </c>
      <c r="V160" s="20" t="n">
        <v>0.0103417146853317</v>
      </c>
      <c r="W160" s="20" t="n">
        <v>0.00246970173288429</v>
      </c>
      <c r="X160" s="20" t="n">
        <v>0</v>
      </c>
    </row>
    <row r="161" customFormat="false" ht="13.5" hidden="false" customHeight="true" outlineLevel="0" collapsed="false">
      <c r="A161" s="47" t="n">
        <v>42601</v>
      </c>
      <c r="B161" s="20" t="n">
        <v>-0.000249926804024802</v>
      </c>
      <c r="C161" s="20" t="n">
        <v>0.00223751932151516</v>
      </c>
      <c r="D161" s="20" t="n">
        <v>0.00290500184275988</v>
      </c>
      <c r="E161" s="20" t="n">
        <v>-0.00242429909809382</v>
      </c>
      <c r="F161" s="20" t="n">
        <v>-0.00263157790684909</v>
      </c>
      <c r="G161" s="20" t="n">
        <v>0.0076371226654972</v>
      </c>
      <c r="H161" s="20" t="n">
        <v>-0.0178576707177229</v>
      </c>
      <c r="I161" s="20" t="n">
        <v>-0.0215061712896216</v>
      </c>
      <c r="J161" s="20" t="n">
        <v>-0.00478469348386045</v>
      </c>
      <c r="K161" s="20" t="n">
        <v>-0.030459177989627</v>
      </c>
      <c r="L161" s="20" t="n">
        <v>-0.032343173277425</v>
      </c>
      <c r="M161" s="20" t="n">
        <v>-0.00401030014003822</v>
      </c>
      <c r="N161" s="20" t="n">
        <v>0.00311581182921827</v>
      </c>
      <c r="O161" s="20" t="n">
        <v>-0.00244137026427093</v>
      </c>
      <c r="P161" s="20" t="n">
        <v>-0.0119048906795815</v>
      </c>
      <c r="Q161" s="20" t="n">
        <v>-0.0130294881474168</v>
      </c>
      <c r="R161" s="20" t="n">
        <v>0.0102565001671894</v>
      </c>
      <c r="S161" s="20" t="n">
        <v>0.022783791684299</v>
      </c>
      <c r="T161" s="20" t="n">
        <v>0.00359767203055172</v>
      </c>
      <c r="U161" s="20" t="n">
        <v>0.000150667174082741</v>
      </c>
      <c r="V161" s="20" t="n">
        <v>-0.000506159339144218</v>
      </c>
      <c r="W161" s="20" t="n">
        <v>-0.000411193616615346</v>
      </c>
      <c r="X161" s="20" t="n">
        <v>0.0146139751955631</v>
      </c>
    </row>
    <row r="162" customFormat="false" ht="13.5" hidden="false" customHeight="true" outlineLevel="0" collapsed="false">
      <c r="A162" s="47" t="n">
        <v>42604</v>
      </c>
      <c r="B162" s="20" t="n">
        <v>0.00162364683952098</v>
      </c>
      <c r="C162" s="20" t="n">
        <v>-0.00287769489955547</v>
      </c>
      <c r="D162" s="20" t="n">
        <v>0.00352510472325562</v>
      </c>
      <c r="E162" s="20" t="n">
        <v>0.00484265839554032</v>
      </c>
      <c r="F162" s="20" t="n">
        <v>0.0111367068133638</v>
      </c>
      <c r="G162" s="20" t="n">
        <v>-0.0187380879416423</v>
      </c>
      <c r="H162" s="20" t="n">
        <v>-0.0099593306798178</v>
      </c>
      <c r="I162" s="20" t="n">
        <v>-0.014033348038251</v>
      </c>
      <c r="J162" s="20" t="n">
        <v>0.00478469348386045</v>
      </c>
      <c r="K162" s="20" t="n">
        <v>0.0696798544631263</v>
      </c>
      <c r="L162" s="20" t="n">
        <v>0.0154508953607994</v>
      </c>
      <c r="M162" s="20" t="n">
        <v>0.00715003757961829</v>
      </c>
      <c r="N162" s="20" t="n">
        <v>0.00585905774956296</v>
      </c>
      <c r="O162" s="20" t="n">
        <v>-0.00146774425866968</v>
      </c>
      <c r="P162" s="20" t="n">
        <v>0.0168236647136539</v>
      </c>
      <c r="Q162" s="20" t="n">
        <v>-0.00493012219356092</v>
      </c>
      <c r="R162" s="20" t="n">
        <v>-0.0074768963007239</v>
      </c>
      <c r="S162" s="20" t="n">
        <v>-0.0170389544789371</v>
      </c>
      <c r="T162" s="20" t="n">
        <v>0.0113619267670022</v>
      </c>
      <c r="U162" s="20" t="n">
        <v>0.00180727083405951</v>
      </c>
      <c r="V162" s="20" t="n">
        <v>0.0100739987992239</v>
      </c>
      <c r="W162" s="20" t="n">
        <v>-0.00453424558020376</v>
      </c>
      <c r="X162" s="20" t="n">
        <v>-0.00103673158350536</v>
      </c>
    </row>
    <row r="163" customFormat="false" ht="13.5" hidden="false" customHeight="true" outlineLevel="0" collapsed="false">
      <c r="A163" s="47" t="n">
        <v>42605</v>
      </c>
      <c r="B163" s="20" t="n">
        <v>-0.00757882469078285</v>
      </c>
      <c r="C163" s="20" t="n">
        <v>-0.000320305076486171</v>
      </c>
      <c r="D163" s="20" t="n">
        <v>-0.01430310110148</v>
      </c>
      <c r="E163" s="20" t="n">
        <v>-0.00970880476289171</v>
      </c>
      <c r="F163" s="20" t="n">
        <v>0.00325198576416774</v>
      </c>
      <c r="G163" s="20" t="n">
        <v>0.0226864928767551</v>
      </c>
      <c r="H163" s="20" t="n">
        <v>-0.000910331486532856</v>
      </c>
      <c r="I163" s="20" t="n">
        <v>-0.097290736320641</v>
      </c>
      <c r="J163" s="20" t="n">
        <v>-0.012004992003114</v>
      </c>
      <c r="K163" s="20" t="n">
        <v>0.0597192463301764</v>
      </c>
      <c r="L163" s="20" t="n">
        <v>-0.0417451518655249</v>
      </c>
      <c r="M163" s="20" t="n">
        <v>-0.00772426836793505</v>
      </c>
      <c r="N163" s="20" t="n">
        <v>-0.00171973025142824</v>
      </c>
      <c r="O163" s="20" t="n">
        <v>0.000489487488934958</v>
      </c>
      <c r="P163" s="20" t="n">
        <v>-0.0298826257066178</v>
      </c>
      <c r="Q163" s="20" t="n">
        <v>0</v>
      </c>
      <c r="R163" s="20" t="n">
        <v>-0.00102857936232858</v>
      </c>
      <c r="S163" s="20" t="n">
        <v>-0.00904244638058449</v>
      </c>
      <c r="T163" s="20" t="n">
        <v>0.00257898031353587</v>
      </c>
      <c r="U163" s="20" t="n">
        <v>-0.00452414308308046</v>
      </c>
      <c r="V163" s="20" t="n">
        <v>-0.0214444764598393</v>
      </c>
      <c r="W163" s="20" t="n">
        <v>0.00453424558020376</v>
      </c>
      <c r="X163" s="20" t="n">
        <v>-0.0135772436120578</v>
      </c>
    </row>
    <row r="164" customFormat="false" ht="13.5" hidden="false" customHeight="true" outlineLevel="0" collapsed="false">
      <c r="A164" s="47" t="n">
        <v>42606</v>
      </c>
      <c r="B164" s="20" t="n">
        <v>-0.00264416018105961</v>
      </c>
      <c r="C164" s="20" t="n">
        <v>-0.000320344146782503</v>
      </c>
      <c r="D164" s="20" t="n">
        <v>-0.00549698146837052</v>
      </c>
      <c r="E164" s="20" t="n">
        <v>0.0137265032203712</v>
      </c>
      <c r="F164" s="20" t="n">
        <v>0.00840613531738831</v>
      </c>
      <c r="G164" s="20" t="n">
        <v>-0.00699632836891961</v>
      </c>
      <c r="H164" s="20" t="n">
        <v>-0.00731264000939746</v>
      </c>
      <c r="I164" s="20" t="n">
        <v>0.000622873223860676</v>
      </c>
      <c r="J164" s="20" t="n">
        <v>0.00241260163534429</v>
      </c>
      <c r="K164" s="20" t="n">
        <v>0.0425595964222238</v>
      </c>
      <c r="L164" s="20" t="n">
        <v>0.00177457935861813</v>
      </c>
      <c r="M164" s="20" t="n">
        <v>-0.00143696639041301</v>
      </c>
      <c r="N164" s="20" t="n">
        <v>0.00343644267511766</v>
      </c>
      <c r="O164" s="20" t="n">
        <v>0.00488164909611255</v>
      </c>
      <c r="P164" s="20" t="n">
        <v>0.00302874863895219</v>
      </c>
      <c r="Q164" s="20" t="n">
        <v>-0.0182881458739421</v>
      </c>
      <c r="R164" s="20" t="n">
        <v>-0.0355104023627479</v>
      </c>
      <c r="S164" s="20" t="n">
        <v>0.00576375812258422</v>
      </c>
      <c r="T164" s="20" t="n">
        <v>0.00737778641405784</v>
      </c>
      <c r="U164" s="20" t="n">
        <v>-0.00363424824345859</v>
      </c>
      <c r="V164" s="20" t="n">
        <v>0.00289728657986021</v>
      </c>
      <c r="W164" s="20" t="n">
        <v>-0.00515411912031504</v>
      </c>
      <c r="X164" s="20" t="n">
        <v>0.00941923758543028</v>
      </c>
    </row>
    <row r="165" customFormat="false" ht="13.5" hidden="false" customHeight="true" outlineLevel="0" collapsed="false">
      <c r="A165" s="47" t="n">
        <v>42607</v>
      </c>
      <c r="B165" s="20" t="n">
        <v>-0.00195612964507674</v>
      </c>
      <c r="C165" s="20" t="n">
        <v>0.000640649223268674</v>
      </c>
      <c r="D165" s="20" t="n">
        <v>0.00294394743872228</v>
      </c>
      <c r="E165" s="20" t="n">
        <v>-0.00724350460517619</v>
      </c>
      <c r="F165" s="20" t="n">
        <v>0.0166032058854463</v>
      </c>
      <c r="G165" s="20" t="n">
        <v>-0.00244492841951071</v>
      </c>
      <c r="H165" s="20" t="n">
        <v>0.00640147906430943</v>
      </c>
      <c r="I165" s="20" t="n">
        <v>-0.0068728579921613</v>
      </c>
      <c r="J165" s="20" t="n">
        <v>0.00240668037067903</v>
      </c>
      <c r="K165" s="20" t="n">
        <v>0.117783081647622</v>
      </c>
      <c r="L165" s="20" t="n">
        <v>-0.034268468159271</v>
      </c>
      <c r="M165" s="20" t="n">
        <v>0.00143696639041301</v>
      </c>
      <c r="N165" s="20" t="n">
        <v>-0.0134693588988761</v>
      </c>
      <c r="O165" s="20" t="n">
        <v>-0.00954134185561983</v>
      </c>
      <c r="P165" s="20" t="n">
        <v>0</v>
      </c>
      <c r="Q165" s="20" t="n">
        <v>-0.0169208611048081</v>
      </c>
      <c r="R165" s="20" t="n">
        <v>-0.0055602863584161</v>
      </c>
      <c r="S165" s="20" t="n">
        <v>0.00736200869313874</v>
      </c>
      <c r="T165" s="20" t="n">
        <v>0.00191569230680954</v>
      </c>
      <c r="U165" s="20" t="n">
        <v>-0.00136616852961246</v>
      </c>
      <c r="V165" s="20" t="n">
        <v>0.000170205672739065</v>
      </c>
      <c r="W165" s="20" t="n">
        <v>0.00268340039719516</v>
      </c>
      <c r="X165" s="20" t="n">
        <v>0.00933124438835752</v>
      </c>
    </row>
    <row r="166" customFormat="false" ht="13.5" hidden="false" customHeight="true" outlineLevel="0" collapsed="false">
      <c r="A166" s="47" t="n">
        <v>42608</v>
      </c>
      <c r="B166" s="20" t="n">
        <v>0.00880394228136172</v>
      </c>
      <c r="C166" s="20" t="n">
        <v>0.00415402410620302</v>
      </c>
      <c r="D166" s="20" t="n">
        <v>0.00459068159894027</v>
      </c>
      <c r="E166" s="20" t="n">
        <v>0.00724350460517619</v>
      </c>
      <c r="F166" s="20" t="n">
        <v>0.00316157016769702</v>
      </c>
      <c r="G166" s="20" t="n">
        <v>-0.0107676309563702</v>
      </c>
      <c r="H166" s="20" t="n">
        <v>0.0243146177798279</v>
      </c>
      <c r="I166" s="20" t="n">
        <v>0.0229325135639095</v>
      </c>
      <c r="J166" s="20" t="n">
        <v>0</v>
      </c>
      <c r="K166" s="20" t="n">
        <v>0.21197024658204</v>
      </c>
      <c r="L166" s="20" t="n">
        <v>0.0289351696560342</v>
      </c>
      <c r="M166" s="20" t="n">
        <v>0.00829408198866055</v>
      </c>
      <c r="N166" s="20" t="n">
        <v>-0.000347773567825893</v>
      </c>
      <c r="O166" s="20" t="n">
        <v>0.00783548802208589</v>
      </c>
      <c r="P166" s="20" t="n">
        <v>0.00301960301346504</v>
      </c>
      <c r="Q166" s="20" t="n">
        <v>0.0152415611283092</v>
      </c>
      <c r="R166" s="20" t="n">
        <v>-0.00193195618042718</v>
      </c>
      <c r="S166" s="20" t="n">
        <v>0.00244198185489885</v>
      </c>
      <c r="T166" s="20" t="n">
        <v>0.007309727164579</v>
      </c>
      <c r="U166" s="20" t="n">
        <v>0.00409303447855702</v>
      </c>
      <c r="V166" s="20" t="n">
        <v>-0.000170205672739065</v>
      </c>
      <c r="W166" s="20" t="n">
        <v>0.0214141568139107</v>
      </c>
      <c r="X166" s="20" t="n">
        <v>0.00719804127743151</v>
      </c>
    </row>
    <row r="167" customFormat="false" ht="13.5" hidden="false" customHeight="true" outlineLevel="0" collapsed="false">
      <c r="A167" s="47" t="n">
        <v>42611</v>
      </c>
      <c r="B167" s="20" t="n">
        <v>-0.00200556177223809</v>
      </c>
      <c r="C167" s="20" t="n">
        <v>0.000318812121772982</v>
      </c>
      <c r="D167" s="20" t="n">
        <v>-0.010615970479983</v>
      </c>
      <c r="E167" s="20" t="n">
        <v>0.0063948996701475</v>
      </c>
      <c r="F167" s="20" t="n">
        <v>0.0218554046570718</v>
      </c>
      <c r="G167" s="20" t="n">
        <v>-0.00527220880761891</v>
      </c>
      <c r="H167" s="20" t="n">
        <v>0.0035523981292731</v>
      </c>
      <c r="I167" s="20" t="n">
        <v>-0.0534886489904162</v>
      </c>
      <c r="J167" s="20" t="n">
        <v>0</v>
      </c>
      <c r="K167" s="20" t="n">
        <v>-0.147721144192268</v>
      </c>
      <c r="L167" s="20" t="n">
        <v>-0.0307716719476458</v>
      </c>
      <c r="M167" s="20" t="n">
        <v>-0.00657237790097342</v>
      </c>
      <c r="N167" s="20" t="n">
        <v>-0.00628056168236401</v>
      </c>
      <c r="O167" s="20" t="n">
        <v>-0.00268654725442774</v>
      </c>
      <c r="P167" s="20" t="n">
        <v>-0.0213314378458866</v>
      </c>
      <c r="Q167" s="20" t="n">
        <v>-0.00336700343958029</v>
      </c>
      <c r="R167" s="20" t="n">
        <v>-0.00312047287418071</v>
      </c>
      <c r="S167" s="20" t="n">
        <v>0</v>
      </c>
      <c r="T167" s="20" t="n">
        <v>-0.0012673958492102</v>
      </c>
      <c r="U167" s="20" t="n">
        <v>-0.00333386015448056</v>
      </c>
      <c r="V167" s="20" t="n">
        <v>-0.0262083387293214</v>
      </c>
      <c r="W167" s="20" t="n">
        <v>0.0211626495457148</v>
      </c>
      <c r="X167" s="20" t="n">
        <v>0.0132317564727424</v>
      </c>
    </row>
    <row r="168" customFormat="false" ht="13.5" hidden="false" customHeight="true" outlineLevel="0" collapsed="false">
      <c r="A168" s="47" t="n">
        <v>42612</v>
      </c>
      <c r="B168" s="20" t="n">
        <v>-0.00326749703598316</v>
      </c>
      <c r="C168" s="20" t="n">
        <v>-0.00415269721086009</v>
      </c>
      <c r="D168" s="20" t="n">
        <v>-0.000257158482616759</v>
      </c>
      <c r="E168" s="20" t="n">
        <v>0.00397616345701745</v>
      </c>
      <c r="F168" s="20" t="n">
        <v>-0.00309317565070532</v>
      </c>
      <c r="G168" s="20" t="n">
        <v>-0.00530009275948373</v>
      </c>
      <c r="H168" s="20" t="n">
        <v>-0.0178896181335357</v>
      </c>
      <c r="I168" s="20" t="n">
        <v>-0.0149791466060409</v>
      </c>
      <c r="J168" s="20" t="n">
        <v>-0.00481928200602332</v>
      </c>
      <c r="K168" s="20" t="n">
        <v>-0.0940085320975545</v>
      </c>
      <c r="L168" s="20" t="n">
        <v>-0.0317487124523043</v>
      </c>
      <c r="M168" s="20" t="n">
        <v>-0.00229626480646727</v>
      </c>
      <c r="N168" s="20" t="n">
        <v>-0.0273212123082697</v>
      </c>
      <c r="O168" s="20" t="n">
        <v>-0.000244547426368146</v>
      </c>
      <c r="P168" s="20" t="n">
        <v>-0.0207476126937207</v>
      </c>
      <c r="Q168" s="20" t="n">
        <v>0</v>
      </c>
      <c r="R168" s="20" t="n">
        <v>0.00655247634008215</v>
      </c>
      <c r="S168" s="20" t="n">
        <v>0.00809716396203219</v>
      </c>
      <c r="T168" s="20" t="n">
        <v>-0.00317562601482057</v>
      </c>
      <c r="U168" s="20" t="n">
        <v>0.0031825304526567</v>
      </c>
      <c r="V168" s="20" t="n">
        <v>0.00261707747354655</v>
      </c>
      <c r="W168" s="20" t="n">
        <v>0.00354960554962158</v>
      </c>
      <c r="X168" s="20" t="n">
        <v>0.0120604358436962</v>
      </c>
    </row>
    <row r="169" customFormat="false" ht="13.5" hidden="false" customHeight="true" outlineLevel="0" collapsed="false">
      <c r="A169" s="47" t="n">
        <v>42613</v>
      </c>
      <c r="B169" s="20" t="n">
        <v>0.00414540137075647</v>
      </c>
      <c r="C169" s="20" t="n">
        <v>-0.0012812350404241</v>
      </c>
      <c r="D169" s="20" t="n">
        <v>-0.00671052501146718</v>
      </c>
      <c r="E169" s="20" t="n">
        <v>-0.0127797906530204</v>
      </c>
      <c r="F169" s="20" t="n">
        <v>-0.00996271333362885</v>
      </c>
      <c r="G169" s="20" t="n">
        <v>-0.000938254554597062</v>
      </c>
      <c r="H169" s="20" t="n">
        <v>0.00540061883477371</v>
      </c>
      <c r="I169" s="20" t="n">
        <v>0.023988177293563</v>
      </c>
      <c r="J169" s="20" t="n">
        <v>0.00241260163534429</v>
      </c>
      <c r="K169" s="20" t="n">
        <v>0.0616528347314828</v>
      </c>
      <c r="L169" s="20" t="n">
        <v>0.0225150012161305</v>
      </c>
      <c r="M169" s="20" t="n">
        <v>-0.0034542041447767</v>
      </c>
      <c r="N169" s="20" t="n">
        <v>-0.00216058661700735</v>
      </c>
      <c r="O169" s="20" t="n">
        <v>0.00195498635599822</v>
      </c>
      <c r="P169" s="20" t="n">
        <v>-0.01159735245397</v>
      </c>
      <c r="Q169" s="20" t="n">
        <v>0.0266239227156102</v>
      </c>
      <c r="R169" s="20" t="n">
        <v>-0.000321237659887785</v>
      </c>
      <c r="S169" s="20" t="n">
        <v>0.037202570868664</v>
      </c>
      <c r="T169" s="20" t="n">
        <v>0.00444302186403078</v>
      </c>
      <c r="U169" s="20" t="n">
        <v>0.00347411215406001</v>
      </c>
      <c r="V169" s="20" t="n">
        <v>-0.0110382387645708</v>
      </c>
      <c r="W169" s="20" t="n">
        <v>-0.00731009742583621</v>
      </c>
      <c r="X169" s="20" t="n">
        <v>-0.00500754076592313</v>
      </c>
    </row>
    <row r="170" customFormat="false" ht="13.5" hidden="false" customHeight="true" outlineLevel="0" collapsed="false">
      <c r="A170" s="47" t="n">
        <v>42614</v>
      </c>
      <c r="B170" s="48" t="n">
        <v>6.27394512084933E-005</v>
      </c>
      <c r="C170" s="20" t="n">
        <v>0.00288045798878355</v>
      </c>
      <c r="D170" s="20" t="n">
        <v>-0.00493257591855922</v>
      </c>
      <c r="E170" s="20" t="n">
        <v>0.00481159072846892</v>
      </c>
      <c r="F170" s="20" t="n">
        <v>0.00125081054769005</v>
      </c>
      <c r="G170" s="20" t="n">
        <v>0.0167549970836553</v>
      </c>
      <c r="H170" s="20" t="n">
        <v>0.0151450407666882</v>
      </c>
      <c r="I170" s="20" t="n">
        <v>0.0259262576811538</v>
      </c>
      <c r="J170" s="20" t="n">
        <v>0.00720284824663819</v>
      </c>
      <c r="K170" s="20" t="n">
        <v>0.0872604559510858</v>
      </c>
      <c r="L170" s="20" t="n">
        <v>0.0382212205610608</v>
      </c>
      <c r="M170" s="20" t="n">
        <v>0.00259179847314383</v>
      </c>
      <c r="N170" s="20" t="n">
        <v>0.00718396630754325</v>
      </c>
      <c r="O170" s="20" t="n">
        <v>-0.000244129449431973</v>
      </c>
      <c r="P170" s="20" t="n">
        <v>0.0374653236383037</v>
      </c>
      <c r="Q170" s="20" t="n">
        <v>0.0065466618398231</v>
      </c>
      <c r="R170" s="20" t="n">
        <v>0.00502104140824144</v>
      </c>
      <c r="S170" s="20" t="n">
        <v>0.0108192974012086</v>
      </c>
      <c r="T170" s="20" t="n">
        <v>0.00788523248548012</v>
      </c>
      <c r="U170" s="20" t="n">
        <v>0.00840842148365528</v>
      </c>
      <c r="V170" s="20" t="n">
        <v>-0.00724960931335694</v>
      </c>
      <c r="W170" s="20" t="n">
        <v>0.00237668823360515</v>
      </c>
      <c r="X170" s="20" t="n">
        <v>0.00600606591519081</v>
      </c>
    </row>
    <row r="171" customFormat="false" ht="13.5" hidden="false" customHeight="true" outlineLevel="0" collapsed="false">
      <c r="A171" s="47" t="n">
        <v>42615</v>
      </c>
      <c r="B171" s="20" t="n">
        <v>0.00500159235133779</v>
      </c>
      <c r="C171" s="20" t="n">
        <v>-0.00769971493915022</v>
      </c>
      <c r="D171" s="20" t="n">
        <v>0.0213705822905074</v>
      </c>
      <c r="E171" s="20" t="n">
        <v>0.0135083560464135</v>
      </c>
      <c r="F171" s="20" t="n">
        <v>-0.0138454237440308</v>
      </c>
      <c r="G171" s="20" t="n">
        <v>0.00521708023030997</v>
      </c>
      <c r="H171" s="20" t="n">
        <v>0.0218635520541039</v>
      </c>
      <c r="I171" s="20" t="n">
        <v>0.0463497717448064</v>
      </c>
      <c r="J171" s="20" t="n">
        <v>-0.00479616787595915</v>
      </c>
      <c r="K171" s="20" t="n">
        <v>0.0415887681413215</v>
      </c>
      <c r="L171" s="20" t="n">
        <v>0.0212021880007196</v>
      </c>
      <c r="M171" s="20" t="n">
        <v>0</v>
      </c>
      <c r="N171" s="20" t="n">
        <v>0.00819821165335987</v>
      </c>
      <c r="O171" s="20" t="n">
        <v>0.00681430668604621</v>
      </c>
      <c r="P171" s="20" t="n">
        <v>0.0162110793552736</v>
      </c>
      <c r="Q171" s="20" t="n">
        <v>0.0193866951311989</v>
      </c>
      <c r="R171" s="20" t="n">
        <v>-0.0051281708042703</v>
      </c>
      <c r="S171" s="20" t="n">
        <v>-0.00539505347229685</v>
      </c>
      <c r="T171" s="20" t="n">
        <v>0.00125591586518414</v>
      </c>
      <c r="U171" s="20" t="n">
        <v>0.00477327440690977</v>
      </c>
      <c r="V171" s="20" t="n">
        <v>0.0107670376233697</v>
      </c>
      <c r="W171" s="20" t="n">
        <v>-0.0111399113721821</v>
      </c>
      <c r="X171" s="20" t="n">
        <v>-0.0160970075469233</v>
      </c>
    </row>
    <row r="172" customFormat="false" ht="13.5" hidden="false" customHeight="true" outlineLevel="0" collapsed="false">
      <c r="A172" s="47" t="n">
        <v>42619</v>
      </c>
      <c r="B172" s="20" t="n">
        <v>0.00801267223140822</v>
      </c>
      <c r="C172" s="20" t="n">
        <v>0.000321994593515562</v>
      </c>
      <c r="D172" s="20" t="n">
        <v>0.00101838586060765</v>
      </c>
      <c r="E172" s="20" t="n">
        <v>0.00236497809138303</v>
      </c>
      <c r="F172" s="20" t="n">
        <v>-0.00508259829020518</v>
      </c>
      <c r="G172" s="20" t="n">
        <v>-0.0422003081871982</v>
      </c>
      <c r="H172" s="20" t="n">
        <v>-0.00956112408997156</v>
      </c>
      <c r="I172" s="20" t="n">
        <v>-0.00717711437977097</v>
      </c>
      <c r="J172" s="20" t="n">
        <v>0.00479616787595915</v>
      </c>
      <c r="K172" s="20" t="n">
        <v>0.0697810078527889</v>
      </c>
      <c r="L172" s="20" t="n">
        <v>-0.0140847268747239</v>
      </c>
      <c r="M172" s="20" t="n">
        <v>0.00201119717872977</v>
      </c>
      <c r="N172" s="20" t="n">
        <v>0.00813154713850616</v>
      </c>
      <c r="O172" s="20" t="n">
        <v>0.000969719240289102</v>
      </c>
      <c r="P172" s="20" t="n">
        <v>0.0248151695895604</v>
      </c>
      <c r="Q172" s="20" t="n">
        <v>-0.00803220246095248</v>
      </c>
      <c r="R172" s="20" t="n">
        <v>0.00267422738789324</v>
      </c>
      <c r="S172" s="20" t="n">
        <v>-0.0242483112214406</v>
      </c>
      <c r="T172" s="20" t="n">
        <v>-0.00251335104033056</v>
      </c>
      <c r="U172" s="20" t="n">
        <v>-0.00716842576963916</v>
      </c>
      <c r="V172" s="20" t="n">
        <v>-0.00687044707015083</v>
      </c>
      <c r="W172" s="20" t="n">
        <v>-0.00441061693348476</v>
      </c>
      <c r="X172" s="20" t="n">
        <v>0.00404858481345637</v>
      </c>
    </row>
    <row r="173" customFormat="false" ht="13.5" hidden="false" customHeight="true" outlineLevel="0" collapsed="false">
      <c r="A173" s="47" t="n">
        <v>42620</v>
      </c>
      <c r="B173" s="20" t="n">
        <v>-0.0164674342140482</v>
      </c>
      <c r="C173" s="20" t="n">
        <v>-0.000644156806955731</v>
      </c>
      <c r="D173" s="20" t="n">
        <v>0.0164062625736196</v>
      </c>
      <c r="E173" s="20" t="n">
        <v>0.00235939816382213</v>
      </c>
      <c r="F173" s="20" t="n">
        <v>0.0101394943540724</v>
      </c>
      <c r="G173" s="20" t="n">
        <v>-0.000319343097583413</v>
      </c>
      <c r="H173" s="20" t="n">
        <v>-0.00349956275377238</v>
      </c>
      <c r="I173" s="20" t="n">
        <v>-0.00783367420747449</v>
      </c>
      <c r="J173" s="20" t="n">
        <v>0.00477327440691</v>
      </c>
      <c r="K173" s="20" t="n">
        <v>0.00732609127682548</v>
      </c>
      <c r="L173" s="20" t="n">
        <v>-0.0178895479637433</v>
      </c>
      <c r="M173" s="20" t="n">
        <v>-0.00345023141332889</v>
      </c>
      <c r="N173" s="20" t="n">
        <v>-0.00176208810564437</v>
      </c>
      <c r="O173" s="20" t="n">
        <v>-0.00194037974882332</v>
      </c>
      <c r="P173" s="20" t="n">
        <v>0.0384663355150021</v>
      </c>
      <c r="Q173" s="20" t="n">
        <v>0.00643088441419648</v>
      </c>
      <c r="R173" s="20" t="n">
        <v>-0.00535562544820145</v>
      </c>
      <c r="S173" s="20" t="n">
        <v>-0.00635426464764865</v>
      </c>
      <c r="T173" s="20" t="n">
        <v>-0.0101171144646703</v>
      </c>
      <c r="U173" s="20" t="n">
        <v>-0.00480769688390925</v>
      </c>
      <c r="V173" s="20" t="n">
        <v>0.00423358678203111</v>
      </c>
      <c r="W173" s="20" t="n">
        <v>0.00260863126816301</v>
      </c>
      <c r="X173" s="20" t="n">
        <v>-0.00101053825949692</v>
      </c>
    </row>
    <row r="174" customFormat="false" ht="13.5" hidden="false" customHeight="true" outlineLevel="0" collapsed="false">
      <c r="A174" s="47" t="n">
        <v>42621</v>
      </c>
      <c r="B174" s="20" t="n">
        <v>-0.0210373358374473</v>
      </c>
      <c r="C174" s="20" t="n">
        <v>-0.0304193230226244</v>
      </c>
      <c r="D174" s="20" t="n">
        <v>-0.0208696824310488</v>
      </c>
      <c r="E174" s="20" t="n">
        <v>-0.0278791001094083</v>
      </c>
      <c r="F174" s="20" t="n">
        <v>-0.00759496611177334</v>
      </c>
      <c r="G174" s="20" t="n">
        <v>0.00636744475174699</v>
      </c>
      <c r="H174" s="20" t="n">
        <v>-0.065181447416142</v>
      </c>
      <c r="I174" s="20" t="n">
        <v>-0.0376007681637147</v>
      </c>
      <c r="J174" s="20" t="n">
        <v>-0.0240975294263463</v>
      </c>
      <c r="K174" s="20" t="n">
        <v>-0.0171783342017862</v>
      </c>
      <c r="L174" s="20" t="n">
        <v>-0.0652607856705234</v>
      </c>
      <c r="M174" s="20" t="n">
        <v>-0.0180185854083605</v>
      </c>
      <c r="N174" s="20" t="n">
        <v>-0.0174350533700144</v>
      </c>
      <c r="O174" s="20" t="n">
        <v>-0.0365924530197654</v>
      </c>
      <c r="P174" s="20" t="n">
        <v>-0.0326011750549364</v>
      </c>
      <c r="Q174" s="20" t="n">
        <v>-0.040888771784854</v>
      </c>
      <c r="R174" s="20" t="n">
        <v>-0.0172241055038995</v>
      </c>
      <c r="S174" s="20" t="n">
        <v>-0.0193087064919628</v>
      </c>
      <c r="T174" s="20" t="n">
        <v>-0.0198979265405614</v>
      </c>
      <c r="U174" s="20" t="n">
        <v>-0.0437127161877617</v>
      </c>
      <c r="V174" s="20" t="n">
        <v>-0.0204506373861219</v>
      </c>
      <c r="W174" s="20" t="n">
        <v>-0.0239313848790838</v>
      </c>
      <c r="X174" s="20" t="n">
        <v>-0.00303804655395945</v>
      </c>
    </row>
    <row r="175" customFormat="false" ht="13.5" hidden="false" customHeight="true" outlineLevel="0" collapsed="false">
      <c r="A175" s="47" t="n">
        <v>42622</v>
      </c>
      <c r="B175" s="20" t="n">
        <v>0.0165618848998816</v>
      </c>
      <c r="C175" s="20" t="n">
        <v>0.0125414333937698</v>
      </c>
      <c r="D175" s="20" t="n">
        <v>0.0106790230338731</v>
      </c>
      <c r="E175" s="20" t="n">
        <v>0.0255197019455861</v>
      </c>
      <c r="F175" s="20" t="n">
        <v>0.0101138567865346</v>
      </c>
      <c r="G175" s="20" t="n">
        <v>-0.0198724758613493</v>
      </c>
      <c r="H175" s="20" t="n">
        <v>0.0285865207971447</v>
      </c>
      <c r="I175" s="20" t="n">
        <v>0.0315327654149082</v>
      </c>
      <c r="J175" s="20" t="n">
        <v>0.00970880513745386</v>
      </c>
      <c r="K175" s="20" t="n">
        <v>0.0256580571940804</v>
      </c>
      <c r="L175" s="20" t="n">
        <v>0.0396652630279301</v>
      </c>
      <c r="M175" s="20" t="n">
        <v>0.0160004301305325</v>
      </c>
      <c r="N175" s="20" t="n">
        <v>0.00644010455768118</v>
      </c>
      <c r="O175" s="20" t="n">
        <v>0.0248707179380587</v>
      </c>
      <c r="P175" s="20" t="n">
        <v>0.000974206462570403</v>
      </c>
      <c r="Q175" s="20" t="n">
        <v>0.0149133095130291</v>
      </c>
      <c r="R175" s="20" t="n">
        <v>0.0056657841625185</v>
      </c>
      <c r="S175" s="20" t="n">
        <v>0.0185115578789245</v>
      </c>
      <c r="T175" s="20" t="n">
        <v>0.0189442218308673</v>
      </c>
      <c r="U175" s="20" t="n">
        <v>0.0173130238699519</v>
      </c>
      <c r="V175" s="20" t="n">
        <v>0.011787953074867</v>
      </c>
      <c r="W175" s="20" t="n">
        <v>-0.00370142929737227</v>
      </c>
      <c r="X175" s="20" t="n">
        <v>0.0140989591992544</v>
      </c>
    </row>
    <row r="176" customFormat="false" ht="13.5" hidden="false" customHeight="true" outlineLevel="0" collapsed="false">
      <c r="A176" s="47" t="n">
        <v>42625</v>
      </c>
      <c r="B176" s="20" t="n">
        <v>-0.0157914507225269</v>
      </c>
      <c r="C176" s="20" t="n">
        <v>-0.0212139359605201</v>
      </c>
      <c r="D176" s="20" t="n">
        <v>-0.00761616342538573</v>
      </c>
      <c r="E176" s="20" t="n">
        <v>-0.0255197019455861</v>
      </c>
      <c r="F176" s="20" t="n">
        <v>-0.0113852812467531</v>
      </c>
      <c r="G176" s="20" t="n">
        <v>0.00194053660969606</v>
      </c>
      <c r="H176" s="20" t="n">
        <v>-0.0446170230629909</v>
      </c>
      <c r="I176" s="20" t="n">
        <v>-0.0429037221756343</v>
      </c>
      <c r="J176" s="20" t="n">
        <v>-0.0121507482251042</v>
      </c>
      <c r="K176" s="20" t="n">
        <v>-0.0244212146139418</v>
      </c>
      <c r="L176" s="20" t="n">
        <v>-0.0870114331825615</v>
      </c>
      <c r="M176" s="20" t="n">
        <v>-0.0177614390720148</v>
      </c>
      <c r="N176" s="20" t="n">
        <v>-0.0216302724967243</v>
      </c>
      <c r="O176" s="20" t="n">
        <v>-0.0183445367621684</v>
      </c>
      <c r="P176" s="20" t="n">
        <v>-0.0674639303031452</v>
      </c>
      <c r="Q176" s="20" t="n">
        <v>-0.0437043921913014</v>
      </c>
      <c r="R176" s="20" t="n">
        <v>-0.0121332920202412</v>
      </c>
      <c r="S176" s="20" t="n">
        <v>-0.00720292457210414</v>
      </c>
      <c r="T176" s="20" t="n">
        <v>-0.0121601840214156</v>
      </c>
      <c r="U176" s="20" t="n">
        <v>-0.0174704015145605</v>
      </c>
      <c r="V176" s="20" t="n">
        <v>-0.0128665326185117</v>
      </c>
      <c r="W176" s="20" t="n">
        <v>-0.0330920631358084</v>
      </c>
      <c r="X176" s="20" t="n">
        <v>-0.0120725696511807</v>
      </c>
    </row>
    <row r="177" customFormat="false" ht="13.5" hidden="false" customHeight="true" outlineLevel="0" collapsed="false">
      <c r="A177" s="47" t="n">
        <v>42626</v>
      </c>
      <c r="B177" s="20" t="n">
        <v>-0.0113600557072848</v>
      </c>
      <c r="C177" s="20" t="n">
        <v>-0.00503782994179857</v>
      </c>
      <c r="D177" s="20" t="n">
        <v>-0.00242396541761547</v>
      </c>
      <c r="E177" s="20" t="n">
        <v>-0.0195764625888212</v>
      </c>
      <c r="F177" s="20" t="n">
        <v>-0.00574165223236455</v>
      </c>
      <c r="G177" s="20" t="n">
        <v>-0.00778471914061018</v>
      </c>
      <c r="H177" s="20" t="n">
        <v>-0.0019029482941657</v>
      </c>
      <c r="I177" s="20" t="n">
        <v>0.00126987050484794</v>
      </c>
      <c r="J177" s="20" t="n">
        <v>0</v>
      </c>
      <c r="K177" s="20" t="n">
        <v>0.00493220236728486</v>
      </c>
      <c r="L177" s="20" t="n">
        <v>0.0140423918558361</v>
      </c>
      <c r="M177" s="20" t="n">
        <v>-0.00294211125704269</v>
      </c>
      <c r="N177" s="20" t="n">
        <v>-0.000364506245292606</v>
      </c>
      <c r="O177" s="20" t="n">
        <v>-0.00200355264726637</v>
      </c>
      <c r="P177" s="20" t="n">
        <v>-0.0199902008284351</v>
      </c>
      <c r="Q177" s="20" t="n">
        <v>0.0102564901348485</v>
      </c>
      <c r="R177" s="20" t="n">
        <v>-0.0165219463906129</v>
      </c>
      <c r="S177" s="20" t="n">
        <v>0.000802908830214388</v>
      </c>
      <c r="T177" s="20" t="n">
        <v>-0.00193359604100917</v>
      </c>
      <c r="U177" s="20" t="n">
        <v>-0.00678932601448067</v>
      </c>
      <c r="V177" s="20" t="n">
        <v>-0.00667689818789085</v>
      </c>
      <c r="W177" s="20" t="n">
        <v>-0.00941381853333211</v>
      </c>
      <c r="X177" s="20" t="n">
        <v>-0.00813011820359799</v>
      </c>
    </row>
    <row r="178" customFormat="false" ht="13.5" hidden="false" customHeight="true" outlineLevel="0" collapsed="false">
      <c r="A178" s="47" t="n">
        <v>42627</v>
      </c>
      <c r="B178" s="20" t="n">
        <v>0.0103969202047231</v>
      </c>
      <c r="C178" s="20" t="n">
        <v>0.00168214264521004</v>
      </c>
      <c r="D178" s="20" t="n">
        <v>0.00674687528117701</v>
      </c>
      <c r="E178" s="20" t="n">
        <v>-0.00247428469699562</v>
      </c>
      <c r="F178" s="20" t="n">
        <v>0.00255590948145867</v>
      </c>
      <c r="G178" s="20" t="n">
        <v>0.0174310715417069</v>
      </c>
      <c r="H178" s="20" t="n">
        <v>0.0281708499080801</v>
      </c>
      <c r="I178" s="20" t="n">
        <v>0.00253485315205548</v>
      </c>
      <c r="J178" s="20" t="n">
        <v>0.0193710467443577</v>
      </c>
      <c r="K178" s="20" t="n">
        <v>0.0780537686202104</v>
      </c>
      <c r="L178" s="20" t="n">
        <v>0.00199009591890986</v>
      </c>
      <c r="M178" s="20" t="n">
        <v>0.00587548014462946</v>
      </c>
      <c r="N178" s="20" t="n">
        <v>-0.0165414822623013</v>
      </c>
      <c r="O178" s="20" t="n">
        <v>0.0139410117493485</v>
      </c>
      <c r="P178" s="20" t="n">
        <v>0.0375435755269153</v>
      </c>
      <c r="Q178" s="20" t="n">
        <v>0.0151901108874565</v>
      </c>
      <c r="R178" s="20" t="n">
        <v>0.00790692987195651</v>
      </c>
      <c r="S178" s="20" t="n">
        <v>0.00878948190318906</v>
      </c>
      <c r="T178" s="20" t="n">
        <v>0.00995031379607391</v>
      </c>
      <c r="U178" s="20" t="n">
        <v>0.00205746799198891</v>
      </c>
      <c r="V178" s="20" t="n">
        <v>0.0133095790884416</v>
      </c>
      <c r="W178" s="20" t="n">
        <v>-0.0079853434782855</v>
      </c>
      <c r="X178" s="20" t="n">
        <v>-0.00102095249337264</v>
      </c>
    </row>
    <row r="179" customFormat="false" ht="13.5" hidden="false" customHeight="true" outlineLevel="0" collapsed="false">
      <c r="A179" s="47" t="n">
        <v>42628</v>
      </c>
      <c r="B179" s="20" t="n">
        <v>-0.011761087581716</v>
      </c>
      <c r="C179" s="20" t="n">
        <v>-0.00235573932538546</v>
      </c>
      <c r="D179" s="20" t="n">
        <v>-0.000253732303328035</v>
      </c>
      <c r="E179" s="20" t="n">
        <v>0</v>
      </c>
      <c r="F179" s="20" t="n">
        <v>-0.0115534215840455</v>
      </c>
      <c r="G179" s="20" t="n">
        <v>-0.00545485313772431</v>
      </c>
      <c r="H179" s="20" t="n">
        <v>-0.0168071022646596</v>
      </c>
      <c r="I179" s="20" t="n">
        <v>-0.0146639858590837</v>
      </c>
      <c r="J179" s="20" t="n">
        <v>-0.0144929931132207</v>
      </c>
      <c r="K179" s="20" t="n">
        <v>0.0269376433413486</v>
      </c>
      <c r="L179" s="20" t="n">
        <v>0</v>
      </c>
      <c r="M179" s="20" t="n">
        <v>-0.00587548014462946</v>
      </c>
      <c r="N179" s="20" t="n">
        <v>-0.00334138623014546</v>
      </c>
      <c r="O179" s="20" t="n">
        <v>-0.00619964776222881</v>
      </c>
      <c r="P179" s="20" t="n">
        <v>-0.00204922789894368</v>
      </c>
      <c r="Q179" s="20" t="n">
        <v>-0.0117945251850879</v>
      </c>
      <c r="R179" s="20" t="n">
        <v>-0.000332820534341138</v>
      </c>
      <c r="S179" s="20" t="n">
        <v>0.0134336338543592</v>
      </c>
      <c r="T179" s="20" t="n">
        <v>-0.0151249646383648</v>
      </c>
      <c r="U179" s="20" t="n">
        <v>-0.00714006628219365</v>
      </c>
      <c r="V179" s="20" t="n">
        <v>-0.0066326809005508</v>
      </c>
      <c r="W179" s="20" t="n">
        <v>-0.0157243075235191</v>
      </c>
      <c r="X179" s="20" t="n">
        <v>-0.00614760349460796</v>
      </c>
    </row>
    <row r="180" customFormat="false" ht="13.5" hidden="false" customHeight="true" outlineLevel="0" collapsed="false">
      <c r="A180" s="47" t="n">
        <v>42629</v>
      </c>
      <c r="B180" s="20" t="n">
        <v>0.00667294632376247</v>
      </c>
      <c r="C180" s="20" t="n">
        <v>-0.00845887156444735</v>
      </c>
      <c r="D180" s="20" t="n">
        <v>0.00455813140475935</v>
      </c>
      <c r="E180" s="20" t="n">
        <v>0</v>
      </c>
      <c r="F180" s="20" t="n">
        <v>0.00643505320456005</v>
      </c>
      <c r="G180" s="20" t="n">
        <v>-0.00937453137371013</v>
      </c>
      <c r="H180" s="20" t="n">
        <v>0.00750471845329547</v>
      </c>
      <c r="I180" s="20" t="n">
        <v>0.00767757375506406</v>
      </c>
      <c r="J180" s="20" t="n">
        <v>0.00727269459396717</v>
      </c>
      <c r="K180" s="20" t="n">
        <v>0.0454623696762667</v>
      </c>
      <c r="L180" s="20" t="n">
        <v>0.00989122074884885</v>
      </c>
      <c r="M180" s="20" t="n">
        <v>-0.00858111790744331</v>
      </c>
      <c r="N180" s="20" t="n">
        <v>0.00556283745033647</v>
      </c>
      <c r="O180" s="20" t="n">
        <v>-0.00348865008504306</v>
      </c>
      <c r="P180" s="20" t="n">
        <v>0.0112188487850355</v>
      </c>
      <c r="Q180" s="20" t="n">
        <v>0.00169343852376746</v>
      </c>
      <c r="R180" s="20" t="n">
        <v>-0.0105975064286223</v>
      </c>
      <c r="S180" s="20" t="n">
        <v>0.0124806496179195</v>
      </c>
      <c r="T180" s="20" t="n">
        <v>0.00581961886258675</v>
      </c>
      <c r="U180" s="20" t="n">
        <v>-0.00127466582054225</v>
      </c>
      <c r="V180" s="20" t="n">
        <v>-0.00939646670866878</v>
      </c>
      <c r="W180" s="20" t="n">
        <v>0.012686041198092</v>
      </c>
      <c r="X180" s="20" t="n">
        <v>-0.0010282032068396</v>
      </c>
    </row>
    <row r="181" customFormat="false" ht="13.5" hidden="false" customHeight="true" outlineLevel="0" collapsed="false">
      <c r="A181" s="47" t="n">
        <v>42632</v>
      </c>
      <c r="B181" s="20" t="n">
        <v>-0.00271562419390569</v>
      </c>
      <c r="C181" s="20" t="n">
        <v>0.00812190299823312</v>
      </c>
      <c r="D181" s="20" t="n">
        <v>0.00905430716727995</v>
      </c>
      <c r="E181" s="20" t="n">
        <v>-0.00912487942664874</v>
      </c>
      <c r="F181" s="20" t="n">
        <v>0.000641245851444427</v>
      </c>
      <c r="G181" s="20" t="n">
        <v>0.00969623730762725</v>
      </c>
      <c r="H181" s="20" t="n">
        <v>0.00744881691909427</v>
      </c>
      <c r="I181" s="20" t="n">
        <v>0.00254614796814411</v>
      </c>
      <c r="J181" s="20" t="n">
        <v>-0.00241832090476012</v>
      </c>
      <c r="K181" s="20" t="n">
        <v>0.070473321597168</v>
      </c>
      <c r="L181" s="20" t="n">
        <v>0.00588818377177879</v>
      </c>
      <c r="M181" s="20" t="n">
        <v>0.00474355590136843</v>
      </c>
      <c r="N181" s="20" t="n">
        <v>-0.0107828116910071</v>
      </c>
      <c r="O181" s="20" t="n">
        <v>-0.00249943364926785</v>
      </c>
      <c r="P181" s="20" t="n">
        <v>-0.0791134602092866</v>
      </c>
      <c r="Q181" s="20" t="n">
        <v>0.0067453819018457</v>
      </c>
      <c r="R181" s="20" t="n">
        <v>0.00915388969496255</v>
      </c>
      <c r="S181" s="20" t="n">
        <v>-0.0243244216203049</v>
      </c>
      <c r="T181" s="20" t="n">
        <v>0.00257565894565381</v>
      </c>
      <c r="U181" s="20" t="n">
        <v>0.00397804638122867</v>
      </c>
      <c r="V181" s="20" t="n">
        <v>0.00867683549940068</v>
      </c>
      <c r="W181" s="20" t="n">
        <v>0.0118831052313654</v>
      </c>
      <c r="X181" s="20" t="n">
        <v>-0.00102935971258588</v>
      </c>
    </row>
    <row r="182" customFormat="false" ht="13.5" hidden="false" customHeight="true" outlineLevel="0" collapsed="false">
      <c r="A182" s="47" t="n">
        <v>42633</v>
      </c>
      <c r="B182" s="20" t="n">
        <v>0.00696823160208381</v>
      </c>
      <c r="C182" s="20" t="n">
        <v>0.00604839518818822</v>
      </c>
      <c r="D182" s="20" t="n">
        <v>0.0123174869068956</v>
      </c>
      <c r="E182" s="20" t="n">
        <v>0.0074720274597011</v>
      </c>
      <c r="F182" s="20" t="n">
        <v>0.003199953902421</v>
      </c>
      <c r="G182" s="20" t="n">
        <v>-0.00807367533574821</v>
      </c>
      <c r="H182" s="20" t="n">
        <v>0.028351209359271</v>
      </c>
      <c r="I182" s="20" t="n">
        <v>0.0675933157006314</v>
      </c>
      <c r="J182" s="20" t="n">
        <v>0.0120337707867426</v>
      </c>
      <c r="K182" s="20" t="n">
        <v>0.0676770596109924</v>
      </c>
      <c r="L182" s="20" t="n">
        <v>0.0680791477340247</v>
      </c>
      <c r="M182" s="20" t="n">
        <v>0.0138054007821142</v>
      </c>
      <c r="N182" s="20" t="n">
        <v>0.00633503426861059</v>
      </c>
      <c r="O182" s="20" t="n">
        <v>0.0151499388268949</v>
      </c>
      <c r="P182" s="20" t="n">
        <v>0.0260037105139914</v>
      </c>
      <c r="Q182" s="20" t="n">
        <v>0.0150128181297413</v>
      </c>
      <c r="R182" s="20" t="n">
        <v>0.00299588875905065</v>
      </c>
      <c r="S182" s="20" t="n">
        <v>0.0258736440835352</v>
      </c>
      <c r="T182" s="20" t="n">
        <v>0.00832538349385236</v>
      </c>
      <c r="U182" s="20" t="n">
        <v>0.00838146401252348</v>
      </c>
      <c r="V182" s="20" t="n">
        <v>0.00663737168648115</v>
      </c>
      <c r="W182" s="20" t="n">
        <v>-0.0158028944440422</v>
      </c>
      <c r="X182" s="20" t="n">
        <v>0.00205756291942549</v>
      </c>
    </row>
    <row r="183" customFormat="false" ht="13.5" hidden="false" customHeight="true" outlineLevel="0" collapsed="false">
      <c r="A183" s="47" t="n">
        <v>42634</v>
      </c>
      <c r="B183" s="20" t="n">
        <v>0.00372225967052663</v>
      </c>
      <c r="C183" s="20" t="n">
        <v>0.00634496159520736</v>
      </c>
      <c r="D183" s="20" t="n">
        <v>0.00518005795030696</v>
      </c>
      <c r="E183" s="20" t="n">
        <v>0.00741661008953187</v>
      </c>
      <c r="F183" s="20" t="n">
        <v>-0.003199953902421</v>
      </c>
      <c r="G183" s="20" t="n">
        <v>-0.00292255939032859</v>
      </c>
      <c r="H183" s="20" t="n">
        <v>0.0116541581693576</v>
      </c>
      <c r="I183" s="20" t="n">
        <v>0.0153305023864858</v>
      </c>
      <c r="J183" s="20" t="n">
        <v>0.0071514512859796</v>
      </c>
      <c r="K183" s="20" t="n">
        <v>-0.0815800221509224</v>
      </c>
      <c r="L183" s="20" t="n">
        <v>-0.00918274854977241</v>
      </c>
      <c r="M183" s="20" t="n">
        <v>-0.0037994274213382</v>
      </c>
      <c r="N183" s="20" t="n">
        <v>0.0253085404376145</v>
      </c>
      <c r="O183" s="20" t="n">
        <v>0.0132225460604247</v>
      </c>
      <c r="P183" s="20" t="n">
        <v>0.015915414506999</v>
      </c>
      <c r="Q183" s="20" t="n">
        <v>0.00824410114628859</v>
      </c>
      <c r="R183" s="20" t="n">
        <v>0.00342861095097912</v>
      </c>
      <c r="S183" s="20" t="n">
        <v>0.00309118960800791</v>
      </c>
      <c r="T183" s="20" t="n">
        <v>0.00952083468833819</v>
      </c>
      <c r="U183" s="20" t="n">
        <v>0.00971646467773368</v>
      </c>
      <c r="V183" s="20" t="n">
        <v>0.00872275882996476</v>
      </c>
      <c r="W183" s="20" t="n">
        <v>-0.00240307284806906</v>
      </c>
      <c r="X183" s="20" t="n">
        <v>0.0152986741915785</v>
      </c>
    </row>
    <row r="184" customFormat="false" ht="13.5" hidden="false" customHeight="true" outlineLevel="0" collapsed="false">
      <c r="A184" s="47" t="n">
        <v>42635</v>
      </c>
      <c r="B184" s="20" t="n">
        <v>-0.00726484211034605</v>
      </c>
      <c r="C184" s="20" t="n">
        <v>-0.00500582004667249</v>
      </c>
      <c r="D184" s="20" t="n">
        <v>-0.00160045894125548</v>
      </c>
      <c r="E184" s="20" t="n">
        <v>-0.00082137406877969</v>
      </c>
      <c r="F184" s="20" t="n">
        <v>-0.00514139445852457</v>
      </c>
      <c r="G184" s="20" t="n">
        <v>-0.00980397504113828</v>
      </c>
      <c r="H184" s="20" t="n">
        <v>-0.0116541581693576</v>
      </c>
      <c r="I184" s="20" t="n">
        <v>-0.0254828784762297</v>
      </c>
      <c r="J184" s="20" t="n">
        <v>0</v>
      </c>
      <c r="K184" s="20" t="n">
        <v>0.0059821133889481</v>
      </c>
      <c r="L184" s="20" t="n">
        <v>0</v>
      </c>
      <c r="M184" s="20" t="n">
        <v>0.00321581320548292</v>
      </c>
      <c r="N184" s="20" t="n">
        <v>-0.00690537113165268</v>
      </c>
      <c r="O184" s="20" t="n">
        <v>0.0041266758454328</v>
      </c>
      <c r="P184" s="20" t="n">
        <v>-0.0430173431639415</v>
      </c>
      <c r="Q184" s="20" t="n">
        <v>-0.00328947342558882</v>
      </c>
      <c r="R184" s="20" t="n">
        <v>0.000331167189647985</v>
      </c>
      <c r="S184" s="20" t="n">
        <v>0.00385061624960814</v>
      </c>
      <c r="T184" s="20" t="n">
        <v>-0.0101588078366212</v>
      </c>
      <c r="U184" s="20" t="n">
        <v>-0.00390661972615191</v>
      </c>
      <c r="V184" s="20" t="n">
        <v>0.00106291196025676</v>
      </c>
      <c r="W184" s="20" t="n">
        <v>0.000437359664301251</v>
      </c>
      <c r="X184" s="20" t="n">
        <v>0.00202219526538272</v>
      </c>
    </row>
    <row r="185" customFormat="false" ht="13.5" hidden="false" customHeight="true" outlineLevel="0" collapsed="false">
      <c r="A185" s="47" t="n">
        <v>42636</v>
      </c>
      <c r="B185" s="20" t="n">
        <v>-0.0064733526649352</v>
      </c>
      <c r="C185" s="20" t="n">
        <v>-0.0117786938456894</v>
      </c>
      <c r="D185" s="20" t="n">
        <v>-0.0204140399463517</v>
      </c>
      <c r="E185" s="20" t="n">
        <v>-0.0132342581189566</v>
      </c>
      <c r="F185" s="20" t="n">
        <v>-0.0280972613585417</v>
      </c>
      <c r="G185" s="20" t="n">
        <v>-0.0122255226661174</v>
      </c>
      <c r="H185" s="20" t="n">
        <v>-0.00814852101792462</v>
      </c>
      <c r="I185" s="20" t="n">
        <v>-0.0139016769562809</v>
      </c>
      <c r="J185" s="20" t="n">
        <v>-0.00954660264870854</v>
      </c>
      <c r="K185" s="20" t="n">
        <v>0.013820495207735</v>
      </c>
      <c r="L185" s="20" t="n">
        <v>-0.00740743408268951</v>
      </c>
      <c r="M185" s="20" t="n">
        <v>-0.0182626269428256</v>
      </c>
      <c r="N185" s="20" t="n">
        <v>-0.00401976098636147</v>
      </c>
      <c r="O185" s="20" t="n">
        <v>-0.00339722221316307</v>
      </c>
      <c r="P185" s="20" t="n">
        <v>0.017429617932795</v>
      </c>
      <c r="Q185" s="20" t="n">
        <v>-0.00993384672108366</v>
      </c>
      <c r="R185" s="20" t="n">
        <v>-0.00753383042477562</v>
      </c>
      <c r="S185" s="20" t="n">
        <v>-0.0108192974012086</v>
      </c>
      <c r="T185" s="20" t="n">
        <v>-0.00865252821391004</v>
      </c>
      <c r="U185" s="20" t="n">
        <v>-0.013238966692227</v>
      </c>
      <c r="V185" s="20" t="n">
        <v>-0.0178639978844428</v>
      </c>
      <c r="W185" s="20" t="n">
        <v>-0.0189809402766543</v>
      </c>
      <c r="X185" s="20" t="n">
        <v>-0.0297305313516202</v>
      </c>
    </row>
    <row r="186" customFormat="false" ht="13.5" hidden="false" customHeight="true" outlineLevel="0" collapsed="false">
      <c r="A186" s="47" t="n">
        <v>42639</v>
      </c>
      <c r="B186" s="20" t="n">
        <v>0.0179570942304438</v>
      </c>
      <c r="C186" s="20" t="n">
        <v>0.0114440931396542</v>
      </c>
      <c r="D186" s="20" t="n">
        <v>0.0169580206201276</v>
      </c>
      <c r="E186" s="20" t="n">
        <v>-0.00250110067285147</v>
      </c>
      <c r="F186" s="20" t="n">
        <v>0.0131667345544617</v>
      </c>
      <c r="G186" s="20" t="n">
        <v>-0.00600202890681522</v>
      </c>
      <c r="H186" s="20" t="n">
        <v>0.0198026791872822</v>
      </c>
      <c r="I186" s="20" t="n">
        <v>-0.00978600125708872</v>
      </c>
      <c r="J186" s="20" t="n">
        <v>-0.00240101651323021</v>
      </c>
      <c r="K186" s="20" t="n">
        <v>0.0048899807333389</v>
      </c>
      <c r="L186" s="20" t="n">
        <v>0.0110906759410789</v>
      </c>
      <c r="M186" s="20" t="n">
        <v>0.00563221995666962</v>
      </c>
      <c r="N186" s="20" t="n">
        <v>0.00146362688546863</v>
      </c>
      <c r="O186" s="20" t="n">
        <v>0.00774821553660221</v>
      </c>
      <c r="P186" s="20" t="n">
        <v>-0.0430292899558808</v>
      </c>
      <c r="Q186" s="20" t="n">
        <v>0.0132233201466724</v>
      </c>
      <c r="R186" s="20" t="n">
        <v>0.00709222171365375</v>
      </c>
      <c r="S186" s="20" t="n">
        <v>0.0169495788626701</v>
      </c>
      <c r="T186" s="20" t="n">
        <v>0.0131096954250344</v>
      </c>
      <c r="U186" s="20" t="n">
        <v>0.00459044603523128</v>
      </c>
      <c r="V186" s="20" t="n">
        <v>0.00467546497056758</v>
      </c>
      <c r="W186" s="20" t="n">
        <v>0.00466821080326695</v>
      </c>
      <c r="X186" s="20" t="n">
        <v>0.0134369068986539</v>
      </c>
    </row>
    <row r="187" customFormat="false" ht="13.5" hidden="false" customHeight="true" outlineLevel="0" collapsed="false">
      <c r="A187" s="47" t="n">
        <v>42640</v>
      </c>
      <c r="B187" s="20" t="n">
        <v>0.00964896094917477</v>
      </c>
      <c r="C187" s="20" t="n">
        <v>0.00066908949188571</v>
      </c>
      <c r="D187" s="20" t="n">
        <v>-0.00210406876062396</v>
      </c>
      <c r="E187" s="20" t="n">
        <v>0.00914012277105591</v>
      </c>
      <c r="F187" s="20" t="n">
        <v>0.0058689540723158</v>
      </c>
      <c r="G187" s="20" t="n">
        <v>-0.00200868718936053</v>
      </c>
      <c r="H187" s="20" t="n">
        <v>0.0106383878164468</v>
      </c>
      <c r="I187" s="20" t="n">
        <v>0.0194771640335456</v>
      </c>
      <c r="J187" s="20" t="n">
        <v>0.00240101651323021</v>
      </c>
      <c r="K187" s="20" t="n">
        <v>0.0145280871434771</v>
      </c>
      <c r="L187" s="20" t="n">
        <v>0.037876490651223</v>
      </c>
      <c r="M187" s="20" t="n">
        <v>0.00471837617142645</v>
      </c>
      <c r="N187" s="20" t="n">
        <v>0.00728596509032586</v>
      </c>
      <c r="O187" s="20" t="n">
        <v>-0.0148223009726549</v>
      </c>
      <c r="P187" s="20" t="n">
        <v>0.0559049917991893</v>
      </c>
      <c r="Q187" s="20" t="n">
        <v>0.0098039905480376</v>
      </c>
      <c r="R187" s="20" t="n">
        <v>-0.00420491111886978</v>
      </c>
      <c r="S187" s="20" t="n">
        <v>0.00609292996956245</v>
      </c>
      <c r="T187" s="20" t="n">
        <v>0.000635136823797566</v>
      </c>
      <c r="U187" s="20" t="n">
        <v>0.00708163731230282</v>
      </c>
      <c r="V187" s="20" t="n">
        <v>-0.0117298379118127</v>
      </c>
      <c r="W187" s="20" t="n">
        <v>0.00486729317076406</v>
      </c>
      <c r="X187" s="20" t="n">
        <v>0.0183118348324216</v>
      </c>
    </row>
    <row r="188" customFormat="false" ht="13.5" hidden="false" customHeight="true" outlineLevel="0" collapsed="false">
      <c r="A188" s="47" t="n">
        <v>42641</v>
      </c>
      <c r="B188" s="20" t="n">
        <v>-0.00113775410031458</v>
      </c>
      <c r="C188" s="20" t="n">
        <v>-0.0124518156441064</v>
      </c>
      <c r="D188" s="20" t="n">
        <v>-0.0120911568296016</v>
      </c>
      <c r="E188" s="20" t="n">
        <v>-0.00997513536964866</v>
      </c>
      <c r="F188" s="20" t="n">
        <v>-0.0144076013693283</v>
      </c>
      <c r="G188" s="20" t="n">
        <v>-0.0114595171033209</v>
      </c>
      <c r="H188" s="20" t="n">
        <v>-0.0368250316586411</v>
      </c>
      <c r="I188" s="20" t="n">
        <v>0.0036100801154224</v>
      </c>
      <c r="J188" s="20" t="n">
        <v>-0.00722029851925354</v>
      </c>
      <c r="K188" s="20" t="n">
        <v>0</v>
      </c>
      <c r="L188" s="20" t="n">
        <v>-0.021467708563271</v>
      </c>
      <c r="M188" s="20" t="n">
        <v>-0.0199086049495127</v>
      </c>
      <c r="N188" s="20" t="n">
        <v>-0.00108947820702365</v>
      </c>
      <c r="O188" s="20" t="n">
        <v>-0.00294187353145369</v>
      </c>
      <c r="P188" s="20" t="n">
        <v>0.0739556863978356</v>
      </c>
      <c r="Q188" s="20" t="n">
        <v>-0.0197050517921444</v>
      </c>
      <c r="R188" s="20" t="n">
        <v>-0.0070105137914771</v>
      </c>
      <c r="S188" s="20" t="n">
        <v>0.00530101167351437</v>
      </c>
      <c r="T188" s="20" t="n">
        <v>-0.00349819442186527</v>
      </c>
      <c r="U188" s="20" t="n">
        <v>-0.0150093782529738</v>
      </c>
      <c r="V188" s="20" t="n">
        <v>-0.0223944973896208</v>
      </c>
      <c r="W188" s="20" t="n">
        <v>-0.0209642476699278</v>
      </c>
      <c r="X188" s="20" t="n">
        <v>-0.021396642755842</v>
      </c>
    </row>
    <row r="189" customFormat="false" ht="13.5" hidden="false" customHeight="true" outlineLevel="0" collapsed="false">
      <c r="A189" s="47" t="n">
        <v>42642</v>
      </c>
      <c r="B189" s="20" t="n">
        <v>0.00466940195631249</v>
      </c>
      <c r="C189" s="20" t="n">
        <v>0.0030431749962112</v>
      </c>
      <c r="D189" s="20" t="n">
        <v>0.00650007629188742</v>
      </c>
      <c r="E189" s="20" t="n">
        <v>0.00831946794756088</v>
      </c>
      <c r="F189" s="20" t="n">
        <v>0.0318105224620381</v>
      </c>
      <c r="G189" s="20" t="n">
        <v>0.00608316523560814</v>
      </c>
      <c r="H189" s="20" t="n">
        <v>0.000914493950006312</v>
      </c>
      <c r="I189" s="20" t="n">
        <v>-0.00783839771286087</v>
      </c>
      <c r="J189" s="20" t="n">
        <v>0.00722029851925354</v>
      </c>
      <c r="K189" s="20" t="n">
        <v>0.01904817766891</v>
      </c>
      <c r="L189" s="20" t="n">
        <v>-0.00543976123584455</v>
      </c>
      <c r="M189" s="20" t="n">
        <v>0.0163718271542432</v>
      </c>
      <c r="N189" s="20" t="n">
        <v>-0.00327571362386436</v>
      </c>
      <c r="O189" s="20" t="n">
        <v>-0.00295055369354635</v>
      </c>
      <c r="P189" s="20" t="n">
        <v>0.0359785887701362</v>
      </c>
      <c r="Q189" s="20" t="n">
        <v>0.00990106124410683</v>
      </c>
      <c r="R189" s="20" t="n">
        <v>-0.00627318272205101</v>
      </c>
      <c r="S189" s="20" t="n">
        <v>0.00226334961853336</v>
      </c>
      <c r="T189" s="20" t="n">
        <v>0.010458023709841</v>
      </c>
      <c r="U189" s="20" t="n">
        <v>0.00650537557830155</v>
      </c>
      <c r="V189" s="20" t="n">
        <v>0.000927715780524529</v>
      </c>
      <c r="W189" s="20" t="n">
        <v>-0.00203046104528814</v>
      </c>
      <c r="X189" s="20" t="n">
        <v>0.0153298475629304</v>
      </c>
    </row>
    <row r="190" customFormat="false" ht="13.5" hidden="false" customHeight="true" outlineLevel="0" collapsed="false">
      <c r="A190" s="47" t="n">
        <v>42643</v>
      </c>
      <c r="B190" s="20" t="n">
        <v>-0.00783676807867106</v>
      </c>
      <c r="C190" s="20" t="n">
        <v>0.000674960679140745</v>
      </c>
      <c r="D190" s="20" t="n">
        <v>0.00917776321729135</v>
      </c>
      <c r="E190" s="20" t="n">
        <v>0.00248247430350501</v>
      </c>
      <c r="F190" s="20" t="n">
        <v>-0.00127874085583856</v>
      </c>
      <c r="G190" s="20" t="n">
        <v>-0.0135687160372639</v>
      </c>
      <c r="H190" s="20" t="n">
        <v>0.0376726509919373</v>
      </c>
      <c r="I190" s="20" t="n">
        <v>-0.0458284973067466</v>
      </c>
      <c r="J190" s="20" t="n">
        <v>0.00478469348386045</v>
      </c>
      <c r="K190" s="20" t="n">
        <v>0.0532725478870793</v>
      </c>
      <c r="L190" s="20" t="n">
        <v>0.0286757730176745</v>
      </c>
      <c r="M190" s="20" t="n">
        <v>-0.00562543685878358</v>
      </c>
      <c r="N190" s="20" t="n">
        <v>0.00327571362386436</v>
      </c>
      <c r="O190" s="20" t="n">
        <v>0.00393217133132139</v>
      </c>
      <c r="P190" s="20" t="n">
        <v>0.0189220220773553</v>
      </c>
      <c r="Q190" s="20" t="n">
        <v>0.0065466618398231</v>
      </c>
      <c r="R190" s="20" t="n">
        <v>-0.0215819552085481</v>
      </c>
      <c r="S190" s="20" t="n">
        <v>-0.0190192109013249</v>
      </c>
      <c r="T190" s="20" t="n">
        <v>-0.00695982928797578</v>
      </c>
      <c r="U190" s="20" t="n">
        <v>-0.00602795407271106</v>
      </c>
      <c r="V190" s="20" t="n">
        <v>0.0136307450630179</v>
      </c>
      <c r="W190" s="20" t="n">
        <v>-0.0102145240656099</v>
      </c>
      <c r="X190" s="20" t="n">
        <v>-0.00610372865552433</v>
      </c>
    </row>
    <row r="191" customFormat="false" ht="13.5" hidden="false" customHeight="true" outlineLevel="0" collapsed="false">
      <c r="A191" s="47" t="n">
        <v>42646</v>
      </c>
      <c r="B191" s="20" t="n">
        <v>-0.00732320189198176</v>
      </c>
      <c r="C191" s="20" t="n">
        <v>-0.00473452156469944</v>
      </c>
      <c r="D191" s="20" t="n">
        <v>0.00135711093479962</v>
      </c>
      <c r="E191" s="20" t="n">
        <v>0.00823045197608696</v>
      </c>
      <c r="F191" s="20" t="n">
        <v>0.0108178003494865</v>
      </c>
      <c r="G191" s="20" t="n">
        <v>-0.00960888255764436</v>
      </c>
      <c r="H191" s="20" t="n">
        <v>-0.0115096333181452</v>
      </c>
      <c r="I191" s="20" t="n">
        <v>-0.0908208990733472</v>
      </c>
      <c r="J191" s="20" t="n">
        <v>-0.00238954212113151</v>
      </c>
      <c r="K191" s="20" t="n">
        <v>0.0334243838952749</v>
      </c>
      <c r="L191" s="20" t="n">
        <v>-0.0378082915781703</v>
      </c>
      <c r="M191" s="20" t="n">
        <v>0.00118697089964969</v>
      </c>
      <c r="N191" s="20" t="n">
        <v>-0.0161175844722771</v>
      </c>
      <c r="O191" s="20" t="n">
        <v>-0.0215701659207194</v>
      </c>
      <c r="P191" s="20" t="n">
        <v>-0.0151088657975955</v>
      </c>
      <c r="Q191" s="20" t="n">
        <v>-0.028124281139354</v>
      </c>
      <c r="R191" s="20" t="n">
        <v>-0.0100398411779423</v>
      </c>
      <c r="S191" s="20" t="n">
        <v>0</v>
      </c>
      <c r="T191" s="20" t="n">
        <v>-0.00477326658456434</v>
      </c>
      <c r="U191" s="20" t="n">
        <v>-0.0171712430265884</v>
      </c>
      <c r="V191" s="20" t="n">
        <v>0.0100119020049769</v>
      </c>
      <c r="W191" s="20" t="n">
        <v>-0.00182694340338152</v>
      </c>
      <c r="X191" s="20" t="n">
        <v>0.00813011820359799</v>
      </c>
    </row>
    <row r="192" customFormat="false" ht="13.5" hidden="false" customHeight="true" outlineLevel="0" collapsed="false">
      <c r="A192" s="47" t="n">
        <v>42647</v>
      </c>
      <c r="B192" s="20" t="n">
        <v>0.00395481219862681</v>
      </c>
      <c r="C192" s="20" t="n">
        <v>0</v>
      </c>
      <c r="D192" s="20" t="n">
        <v>0.00785954417012391</v>
      </c>
      <c r="E192" s="20" t="n">
        <v>0.0226913901562939</v>
      </c>
      <c r="F192" s="20" t="n">
        <v>0.0194302829706374</v>
      </c>
      <c r="G192" s="20" t="n">
        <v>-0.0055325122788834</v>
      </c>
      <c r="H192" s="20" t="n">
        <v>0.0341389497533404</v>
      </c>
      <c r="I192" s="20" t="n">
        <v>0.00277200193639348</v>
      </c>
      <c r="J192" s="20" t="n">
        <v>-0.00479616787595915</v>
      </c>
      <c r="K192" s="20" t="n">
        <v>0.161783325384841</v>
      </c>
      <c r="L192" s="20" t="n">
        <v>0.0145722797963403</v>
      </c>
      <c r="M192" s="20" t="n">
        <v>0.00532389006276634</v>
      </c>
      <c r="N192" s="20" t="n">
        <v>-0.00184805953527478</v>
      </c>
      <c r="O192" s="20" t="n">
        <v>-0.0187205483726109</v>
      </c>
      <c r="P192" s="20" t="n">
        <v>0.0391841234429892</v>
      </c>
      <c r="Q192" s="20" t="n">
        <v>0.0182881458739421</v>
      </c>
      <c r="R192" s="20" t="n">
        <v>-0.000232041210568745</v>
      </c>
      <c r="S192" s="20" t="n">
        <v>0.0114548496092772</v>
      </c>
      <c r="T192" s="20" t="n">
        <v>0.00762634039723009</v>
      </c>
      <c r="U192" s="20" t="n">
        <v>-0.00910571427468287</v>
      </c>
      <c r="V192" s="20" t="n">
        <v>-0.00763636745324003</v>
      </c>
      <c r="W192" s="20" t="n">
        <v>0.0279486673570095</v>
      </c>
      <c r="X192" s="20" t="n">
        <v>0.0259755086784312</v>
      </c>
    </row>
    <row r="193" customFormat="false" ht="13.5" hidden="false" customHeight="true" outlineLevel="0" collapsed="false">
      <c r="A193" s="47" t="n">
        <v>42648</v>
      </c>
      <c r="B193" s="20" t="n">
        <v>-0.00127402835404133</v>
      </c>
      <c r="C193" s="20" t="n">
        <v>-0.00782720943808579</v>
      </c>
      <c r="D193" s="20" t="n">
        <v>-0.00343094047134417</v>
      </c>
      <c r="E193" s="20" t="n">
        <v>-0.00723760291078345</v>
      </c>
      <c r="F193" s="20" t="n">
        <v>0.006804771278619</v>
      </c>
      <c r="G193" s="20" t="n">
        <v>0.0182104560774489</v>
      </c>
      <c r="H193" s="20" t="n">
        <v>0.00686108389837736</v>
      </c>
      <c r="I193" s="20" t="n">
        <v>-0.0231021773985813</v>
      </c>
      <c r="J193" s="20" t="n">
        <v>0</v>
      </c>
      <c r="K193" s="20" t="n">
        <v>0.113276118680024</v>
      </c>
      <c r="L193" s="20" t="n">
        <v>-0.00362318877009437</v>
      </c>
      <c r="M193" s="20" t="n">
        <v>-0.00740195796126075</v>
      </c>
      <c r="N193" s="20" t="n">
        <v>-0.00222227399941044</v>
      </c>
      <c r="O193" s="20" t="n">
        <v>-0.00127760939233967</v>
      </c>
      <c r="P193" s="20" t="n">
        <v>-0.0184678161288105</v>
      </c>
      <c r="Q193" s="20" t="n">
        <v>0.00164605007802998</v>
      </c>
      <c r="R193" s="20" t="n">
        <v>0.00335863335283459</v>
      </c>
      <c r="S193" s="20" t="n">
        <v>0.000759030680621108</v>
      </c>
      <c r="T193" s="20" t="n">
        <v>-0.00348821063646331</v>
      </c>
      <c r="U193" s="20" t="n">
        <v>0.00910571427468287</v>
      </c>
      <c r="V193" s="20" t="n">
        <v>0.00473413704958503</v>
      </c>
      <c r="W193" s="20" t="n">
        <v>0.00421423763388961</v>
      </c>
      <c r="X193" s="20" t="n">
        <v>0.00197039511054608</v>
      </c>
    </row>
    <row r="194" customFormat="false" ht="13.5" hidden="false" customHeight="true" outlineLevel="0" collapsed="false">
      <c r="A194" s="47" t="n">
        <v>42649</v>
      </c>
      <c r="B194" s="20" t="n">
        <v>-0.00774284272725012</v>
      </c>
      <c r="C194" s="20" t="n">
        <v>-0.00651242200695856</v>
      </c>
      <c r="D194" s="20" t="n">
        <v>0.00758129244324834</v>
      </c>
      <c r="E194" s="20" t="n">
        <v>-0.008103802876676</v>
      </c>
      <c r="F194" s="20" t="n">
        <v>-0.0055641662462369</v>
      </c>
      <c r="G194" s="20" t="n">
        <v>-0.0126779437985655</v>
      </c>
      <c r="H194" s="20" t="n">
        <v>0.0110498258410054</v>
      </c>
      <c r="I194" s="20" t="n">
        <v>-0.00141739952150254</v>
      </c>
      <c r="J194" s="20" t="n">
        <v>0</v>
      </c>
      <c r="K194" s="20" t="n">
        <v>0.110603049121784</v>
      </c>
      <c r="L194" s="20" t="n">
        <v>0.0108304200539353</v>
      </c>
      <c r="M194" s="20" t="n">
        <v>-0.00267817891684396</v>
      </c>
      <c r="N194" s="20" t="n">
        <v>0.0288710321915917</v>
      </c>
      <c r="O194" s="20" t="n">
        <v>-0.00615548698848167</v>
      </c>
      <c r="P194" s="20" t="n">
        <v>0.0120427689117077</v>
      </c>
      <c r="Q194" s="20" t="n">
        <v>-0.00329489279082628</v>
      </c>
      <c r="R194" s="20" t="n">
        <v>-0.00104108214861398</v>
      </c>
      <c r="S194" s="20" t="n">
        <v>-0.00532528064106596</v>
      </c>
      <c r="T194" s="20" t="n">
        <v>-0.000317719750524414</v>
      </c>
      <c r="U194" s="20" t="n">
        <v>0.00226353197861151</v>
      </c>
      <c r="V194" s="20" t="n">
        <v>0.00687911962765852</v>
      </c>
      <c r="W194" s="20" t="n">
        <v>0.00331458755211722</v>
      </c>
      <c r="X194" s="20" t="n">
        <v>0.000983790430488795</v>
      </c>
    </row>
    <row r="195" customFormat="false" ht="13.5" hidden="false" customHeight="true" outlineLevel="0" collapsed="false">
      <c r="A195" s="47" t="n">
        <v>42650</v>
      </c>
      <c r="B195" s="20" t="n">
        <v>0.00863484269442338</v>
      </c>
      <c r="C195" s="20" t="n">
        <v>-0.00759409407241751</v>
      </c>
      <c r="D195" s="20" t="n">
        <v>0.0117470470600551</v>
      </c>
      <c r="E195" s="20" t="n">
        <v>-0.0139289492751917</v>
      </c>
      <c r="F195" s="20" t="n">
        <v>0.0104842208988471</v>
      </c>
      <c r="G195" s="20" t="n">
        <v>0.00172262704846959</v>
      </c>
      <c r="H195" s="20" t="n">
        <v>0.0025327132240509</v>
      </c>
      <c r="I195" s="20" t="n">
        <v>0.00424625305088</v>
      </c>
      <c r="J195" s="20" t="n">
        <v>-0.00481928200602332</v>
      </c>
      <c r="K195" s="20" t="n">
        <v>0.0571583592997507</v>
      </c>
      <c r="L195" s="20" t="n">
        <v>0.055860890237404</v>
      </c>
      <c r="M195" s="20" t="n">
        <v>0.00148873737735844</v>
      </c>
      <c r="N195" s="20" t="n">
        <v>0.00287769706347917</v>
      </c>
      <c r="O195" s="20" t="n">
        <v>0.00359526310702262</v>
      </c>
      <c r="P195" s="20" t="n">
        <v>0.0209575322290525</v>
      </c>
      <c r="Q195" s="20" t="n">
        <v>0.00657896490635723</v>
      </c>
      <c r="R195" s="20" t="n">
        <v>0.00496451168972011</v>
      </c>
      <c r="S195" s="20" t="n">
        <v>0.00456624996044485</v>
      </c>
      <c r="T195" s="20" t="n">
        <v>0</v>
      </c>
      <c r="U195" s="20" t="n">
        <v>-0.00274922420208767</v>
      </c>
      <c r="V195" s="20" t="n">
        <v>-0.10690517428154</v>
      </c>
      <c r="W195" s="20" t="n">
        <v>0.007034535119943</v>
      </c>
      <c r="X195" s="20" t="n">
        <v>-0.000983790430488795</v>
      </c>
    </row>
    <row r="196" customFormat="false" ht="13.5" hidden="false" customHeight="true" outlineLevel="0" collapsed="false">
      <c r="A196" s="47" t="n">
        <v>42653</v>
      </c>
      <c r="B196" s="20" t="n">
        <v>-0.0143038967680215</v>
      </c>
      <c r="C196" s="20" t="n">
        <v>0.00207681756380662</v>
      </c>
      <c r="D196" s="20" t="n">
        <v>-0.0151637531261092</v>
      </c>
      <c r="E196" s="20" t="n">
        <v>-0.0107840212488197</v>
      </c>
      <c r="F196" s="20" t="n">
        <v>-0.0117248259312292</v>
      </c>
      <c r="G196" s="20" t="n">
        <v>0.0358389057294243</v>
      </c>
      <c r="H196" s="20" t="n">
        <v>0.00168491880137233</v>
      </c>
      <c r="I196" s="20" t="n">
        <v>-0.0120783051725914</v>
      </c>
      <c r="J196" s="20" t="n">
        <v>-0.0145987858707927</v>
      </c>
      <c r="K196" s="20" t="n">
        <v>0</v>
      </c>
      <c r="L196" s="20" t="n">
        <v>-0.0188522560122068</v>
      </c>
      <c r="M196" s="20" t="n">
        <v>-0.0143844113449085</v>
      </c>
      <c r="N196" s="20" t="n">
        <v>-0.0072098641298206</v>
      </c>
      <c r="O196" s="20" t="n">
        <v>0.00230444747429681</v>
      </c>
      <c r="P196" s="20" t="n">
        <v>-0.000902140687925712</v>
      </c>
      <c r="Q196" s="20" t="n">
        <v>-0.00988474991426069</v>
      </c>
      <c r="R196" s="20" t="n">
        <v>-0.00496451168972011</v>
      </c>
      <c r="S196" s="20" t="n">
        <v>-0.0261553488671819</v>
      </c>
      <c r="T196" s="20" t="n">
        <v>-0.0137579644471657</v>
      </c>
      <c r="U196" s="20" t="n">
        <v>0.00387913328215372</v>
      </c>
      <c r="V196" s="20" t="n">
        <v>-0.00523354927714869</v>
      </c>
      <c r="W196" s="20" t="n">
        <v>-0.0043908030567481</v>
      </c>
      <c r="X196" s="20" t="n">
        <v>-0.0138752857901276</v>
      </c>
    </row>
    <row r="197" customFormat="false" ht="13.5" hidden="false" customHeight="true" outlineLevel="0" collapsed="false">
      <c r="A197" s="47" t="n">
        <v>42654</v>
      </c>
      <c r="B197" s="20" t="n">
        <v>-0.00323541127141169</v>
      </c>
      <c r="C197" s="20" t="n">
        <v>-0.000691770511286993</v>
      </c>
      <c r="D197" s="20" t="n">
        <v>-0.0160180288375952</v>
      </c>
      <c r="E197" s="20" t="n">
        <v>-0.00250519823799688</v>
      </c>
      <c r="F197" s="20" t="n">
        <v>-0.00497822561889593</v>
      </c>
      <c r="G197" s="20" t="n">
        <v>0.0345987334625497</v>
      </c>
      <c r="H197" s="20" t="n">
        <v>-0.00675677617689074</v>
      </c>
      <c r="I197" s="20" t="n">
        <v>0.0247100734951906</v>
      </c>
      <c r="J197" s="20" t="n">
        <v>0.0048899807333389</v>
      </c>
      <c r="K197" s="20" t="n">
        <v>-0.0930904052976893</v>
      </c>
      <c r="L197" s="20" t="n">
        <v>0.00689657225511997</v>
      </c>
      <c r="M197" s="20" t="n">
        <v>-0.00181273078640042</v>
      </c>
      <c r="N197" s="20" t="n">
        <v>-0.00253576285070478</v>
      </c>
      <c r="O197" s="20" t="n">
        <v>0.00586520503361676</v>
      </c>
      <c r="P197" s="20" t="n">
        <v>-0.00815592684424526</v>
      </c>
      <c r="Q197" s="20" t="n">
        <v>-0.00831263171429941</v>
      </c>
      <c r="R197" s="20" t="n">
        <v>0.0123081979167958</v>
      </c>
      <c r="S197" s="20" t="n">
        <v>0.00853708396386121</v>
      </c>
      <c r="T197" s="20" t="n">
        <v>-0.0228097458604485</v>
      </c>
      <c r="U197" s="20" t="n">
        <v>0.00883325787852307</v>
      </c>
      <c r="V197" s="20" t="n">
        <v>0.00924070648955677</v>
      </c>
      <c r="W197" s="20" t="n">
        <v>-0.00286440798382825</v>
      </c>
      <c r="X197" s="20" t="n">
        <v>-0.00500253058473765</v>
      </c>
    </row>
    <row r="198" customFormat="false" ht="13.5" hidden="false" customHeight="true" outlineLevel="0" collapsed="false">
      <c r="A198" s="47" t="n">
        <v>42655</v>
      </c>
      <c r="B198" s="20" t="n">
        <v>-0.00370113130261096</v>
      </c>
      <c r="C198" s="20" t="n">
        <v>-0.00450841753107278</v>
      </c>
      <c r="D198" s="20" t="n">
        <v>-0.00635479217173617</v>
      </c>
      <c r="E198" s="20" t="n">
        <v>-0.00418938115656875</v>
      </c>
      <c r="F198" s="20" t="n">
        <v>-0.012555140383148</v>
      </c>
      <c r="G198" s="20" t="n">
        <v>-0.00128413873239274</v>
      </c>
      <c r="H198" s="20" t="n">
        <v>0.0234517045292461</v>
      </c>
      <c r="I198" s="20" t="n">
        <v>0.0213874636119948</v>
      </c>
      <c r="J198" s="20" t="n">
        <v>0</v>
      </c>
      <c r="K198" s="20" t="n">
        <v>-0.0759859108036373</v>
      </c>
      <c r="L198" s="20" t="n">
        <v>-0.051112437764158</v>
      </c>
      <c r="M198" s="20" t="n">
        <v>-0.0094183100159082</v>
      </c>
      <c r="N198" s="20" t="n">
        <v>-0.00655025297533118</v>
      </c>
      <c r="O198" s="20" t="n">
        <v>0.00101644482556428</v>
      </c>
      <c r="P198" s="20" t="n">
        <v>0.0144537161044384</v>
      </c>
      <c r="Q198" s="20" t="n">
        <v>0.00499588223567637</v>
      </c>
      <c r="R198" s="20" t="n">
        <v>0.00604092309076609</v>
      </c>
      <c r="S198" s="20" t="n">
        <v>0.0046261008166577</v>
      </c>
      <c r="T198" s="20" t="n">
        <v>-0.00561892324987933</v>
      </c>
      <c r="U198" s="20" t="n">
        <v>0.0023955567110514</v>
      </c>
      <c r="V198" s="20" t="n">
        <v>0.00458860370072722</v>
      </c>
      <c r="W198" s="20" t="n">
        <v>-0.0126569847051416</v>
      </c>
      <c r="X198" s="20" t="n">
        <v>-0.0253949648125302</v>
      </c>
    </row>
    <row r="199" customFormat="false" ht="13.5" hidden="false" customHeight="true" outlineLevel="0" collapsed="false">
      <c r="A199" s="47" t="n">
        <v>42656</v>
      </c>
      <c r="B199" s="20" t="n">
        <v>0.00473762596799254</v>
      </c>
      <c r="C199" s="20" t="n">
        <v>0.00416235273771326</v>
      </c>
      <c r="D199" s="20" t="n">
        <v>-0.00916693017291425</v>
      </c>
      <c r="E199" s="20" t="n">
        <v>0</v>
      </c>
      <c r="F199" s="20" t="n">
        <v>0.0106818531664401</v>
      </c>
      <c r="G199" s="20" t="n">
        <v>0.0044872286142934</v>
      </c>
      <c r="H199" s="20" t="n">
        <v>0.00988474962306473</v>
      </c>
      <c r="I199" s="20" t="n">
        <v>-0.023481686532508</v>
      </c>
      <c r="J199" s="20" t="n">
        <v>0.00243611054348669</v>
      </c>
      <c r="K199" s="20" t="n">
        <v>0.0323653304593503</v>
      </c>
      <c r="L199" s="20" t="n">
        <v>0.00900090924619956</v>
      </c>
      <c r="M199" s="20" t="n">
        <v>-0.00305712487930964</v>
      </c>
      <c r="N199" s="20" t="n">
        <v>-0.00182712411432328</v>
      </c>
      <c r="O199" s="20" t="n">
        <v>-0.0038172259327589</v>
      </c>
      <c r="P199" s="20" t="n">
        <v>-0.00539564857226748</v>
      </c>
      <c r="Q199" s="20" t="n">
        <v>0.0115608506249116</v>
      </c>
      <c r="R199" s="20" t="n">
        <v>0.00904986988655931</v>
      </c>
      <c r="S199" s="20" t="n">
        <v>0</v>
      </c>
      <c r="T199" s="20" t="n">
        <v>0.000331407751786194</v>
      </c>
      <c r="U199" s="20" t="n">
        <v>-0.00399584972635391</v>
      </c>
      <c r="V199" s="20" t="n">
        <v>-0.00939915350087039</v>
      </c>
      <c r="W199" s="20" t="n">
        <v>-0.000894274951990681</v>
      </c>
      <c r="X199" s="20" t="n">
        <v>0.0102354453449637</v>
      </c>
    </row>
    <row r="200" customFormat="false" ht="13.5" hidden="false" customHeight="true" outlineLevel="0" collapsed="false">
      <c r="A200" s="47" t="n">
        <v>42657</v>
      </c>
      <c r="B200" s="20" t="n">
        <v>0.00206977192417667</v>
      </c>
      <c r="C200" s="20" t="n">
        <v>-0.0013855267837517</v>
      </c>
      <c r="D200" s="20" t="n">
        <v>-0.00937900265860136</v>
      </c>
      <c r="E200" s="20" t="n">
        <v>-0.00252204698789038</v>
      </c>
      <c r="F200" s="20" t="n">
        <v>0.0031200798010742</v>
      </c>
      <c r="G200" s="20" t="n">
        <v>-0.0141709466854251</v>
      </c>
      <c r="H200" s="20" t="n">
        <v>0.0146463014523172</v>
      </c>
      <c r="I200" s="20" t="n">
        <v>0.0159448465901066</v>
      </c>
      <c r="J200" s="20" t="n">
        <v>0</v>
      </c>
      <c r="K200" s="20" t="n">
        <v>0.0313504994185429</v>
      </c>
      <c r="L200" s="20" t="n">
        <v>0.0177624397905167</v>
      </c>
      <c r="M200" s="20" t="n">
        <v>-0.00491099353461566</v>
      </c>
      <c r="N200" s="20" t="n">
        <v>0.00109671683818968</v>
      </c>
      <c r="O200" s="20" t="n">
        <v>0.00127402835404177</v>
      </c>
      <c r="P200" s="20" t="n">
        <v>-0.0145324850119497</v>
      </c>
      <c r="Q200" s="20" t="n">
        <v>-0.00164342334755884</v>
      </c>
      <c r="R200" s="20" t="n">
        <v>-0.0243942257946452</v>
      </c>
      <c r="S200" s="20" t="n">
        <v>-0.0100503447455695</v>
      </c>
      <c r="T200" s="20" t="n">
        <v>0.00132447067147678</v>
      </c>
      <c r="U200" s="20" t="n">
        <v>-0.000160139691520733</v>
      </c>
      <c r="V200" s="20" t="n">
        <v>-0.00867728787425425</v>
      </c>
      <c r="W200" s="20" t="n">
        <v>-0.0047079805966792</v>
      </c>
      <c r="X200" s="20" t="n">
        <v>-0.0164274588608321</v>
      </c>
    </row>
    <row r="201" customFormat="false" ht="13.5" hidden="false" customHeight="true" outlineLevel="0" collapsed="false">
      <c r="A201" s="47" t="n">
        <v>42660</v>
      </c>
      <c r="B201" s="20" t="n">
        <v>-0.0265163526026963</v>
      </c>
      <c r="C201" s="20" t="n">
        <v>0.00449594386725094</v>
      </c>
      <c r="D201" s="20" t="n">
        <v>0.00305146925596133</v>
      </c>
      <c r="E201" s="20" t="n">
        <v>0.000841416010033402</v>
      </c>
      <c r="F201" s="20" t="n">
        <v>0.0129993161551826</v>
      </c>
      <c r="G201" s="20" t="n">
        <v>-0.00618191447109328</v>
      </c>
      <c r="H201" s="20" t="n">
        <v>0.0259133251300829</v>
      </c>
      <c r="I201" s="20" t="n">
        <v>0.0217695467040082</v>
      </c>
      <c r="J201" s="20" t="n">
        <v>-0.00243611054348669</v>
      </c>
      <c r="K201" s="20" t="n">
        <v>0.0540672406350073</v>
      </c>
      <c r="L201" s="20" t="n">
        <v>0.0277796204572127</v>
      </c>
      <c r="M201" s="20" t="n">
        <v>0.00582908939091231</v>
      </c>
      <c r="N201" s="20" t="n">
        <v>0.0191791214394543</v>
      </c>
      <c r="O201" s="20" t="n">
        <v>0.00228920744420468</v>
      </c>
      <c r="P201" s="20" t="n">
        <v>0.0172339484216084</v>
      </c>
      <c r="Q201" s="20" t="n">
        <v>0.00655739439500879</v>
      </c>
      <c r="R201" s="20" t="n">
        <v>0.00609721487059111</v>
      </c>
      <c r="S201" s="20" t="n">
        <v>0.0108192974012086</v>
      </c>
      <c r="T201" s="20" t="n">
        <v>0.00725361641505006</v>
      </c>
      <c r="U201" s="20" t="n">
        <v>0.00367734912693329</v>
      </c>
      <c r="V201" s="20" t="n">
        <v>0.0142873763238933</v>
      </c>
      <c r="W201" s="20" t="n">
        <v>0.0100615887185036</v>
      </c>
      <c r="X201" s="20" t="n">
        <v>0.0143887727106886</v>
      </c>
    </row>
    <row r="202" customFormat="false" ht="13.5" hidden="false" customHeight="true" outlineLevel="0" collapsed="false">
      <c r="A202" s="47" t="n">
        <v>42661</v>
      </c>
      <c r="B202" s="20" t="n">
        <v>0.00357635518464594</v>
      </c>
      <c r="C202" s="20" t="n">
        <v>0.00275673170769064</v>
      </c>
      <c r="D202" s="20" t="n">
        <v>-0.00266953812907999</v>
      </c>
      <c r="E202" s="20" t="n">
        <v>0.0100419155718909</v>
      </c>
      <c r="F202" s="20" t="n">
        <v>0.0128323843028295</v>
      </c>
      <c r="G202" s="20" t="n">
        <v>0.0120034155409616</v>
      </c>
      <c r="H202" s="20" t="n">
        <v>-0.013072069344937</v>
      </c>
      <c r="I202" s="20" t="n">
        <v>0.0304861282065616</v>
      </c>
      <c r="J202" s="20" t="n">
        <v>0.00970880513745386</v>
      </c>
      <c r="K202" s="20" t="n">
        <v>-0.0308813407112009</v>
      </c>
      <c r="L202" s="20" t="n">
        <v>0</v>
      </c>
      <c r="M202" s="20" t="n">
        <v>-0.00275693716004488</v>
      </c>
      <c r="N202" s="20" t="n">
        <v>0.00998584214548081</v>
      </c>
      <c r="O202" s="20" t="n">
        <v>0.000508012643318789</v>
      </c>
      <c r="P202" s="20" t="n">
        <v>0.0318610724855483</v>
      </c>
      <c r="Q202" s="20" t="n">
        <v>0.0129871834626196</v>
      </c>
      <c r="R202" s="20" t="n">
        <v>-0.00910197997006712</v>
      </c>
      <c r="S202" s="20" t="n">
        <v>-0.00771611707798136</v>
      </c>
      <c r="T202" s="20" t="n">
        <v>-0.00296102046355839</v>
      </c>
      <c r="U202" s="20" t="n">
        <v>-0.012041568022405</v>
      </c>
      <c r="V202" s="20" t="n">
        <v>-0.00360289237764455</v>
      </c>
      <c r="W202" s="20" t="n">
        <v>0.00687282522969923</v>
      </c>
      <c r="X202" s="20" t="n">
        <v>0.0231981702115646</v>
      </c>
    </row>
    <row r="203" customFormat="false" ht="13.5" hidden="false" customHeight="true" outlineLevel="0" collapsed="false">
      <c r="A203" s="47" t="n">
        <v>42662</v>
      </c>
      <c r="B203" s="20" t="n">
        <v>0.00171748352326339</v>
      </c>
      <c r="C203" s="20" t="n">
        <v>0.000344040672672463</v>
      </c>
      <c r="D203" s="20" t="n">
        <v>0.00228862541616337</v>
      </c>
      <c r="E203" s="20" t="n">
        <v>-0.00333611327144423</v>
      </c>
      <c r="F203" s="20" t="n">
        <v>0.00544961420838951</v>
      </c>
      <c r="G203" s="20" t="n">
        <v>-0.00290651430657762</v>
      </c>
      <c r="H203" s="20" t="n">
        <v>0.013072069344937</v>
      </c>
      <c r="I203" s="20" t="n">
        <v>0.00520834025646665</v>
      </c>
      <c r="J203" s="20" t="n">
        <v>-0.00241832090476012</v>
      </c>
      <c r="K203" s="20" t="n">
        <v>0.0308813407112009</v>
      </c>
      <c r="L203" s="20" t="n">
        <v>0.0320162225649824</v>
      </c>
      <c r="M203" s="20" t="n">
        <v>-0.00184211164022407</v>
      </c>
      <c r="N203" s="20" t="n">
        <v>-0.00748003463553947</v>
      </c>
      <c r="O203" s="20" t="n">
        <v>-0.0187112858214382</v>
      </c>
      <c r="P203" s="20" t="n">
        <v>-0.0158036084190489</v>
      </c>
      <c r="Q203" s="20" t="n">
        <v>0.00482707457355879</v>
      </c>
      <c r="R203" s="20" t="n">
        <v>0.0103628043320451</v>
      </c>
      <c r="S203" s="20" t="n">
        <v>0.0107859553452063</v>
      </c>
      <c r="T203" s="20" t="n">
        <v>-0.00627999199405104</v>
      </c>
      <c r="U203" s="20" t="n">
        <v>-0.000969640898609291</v>
      </c>
      <c r="V203" s="20" t="n">
        <v>0.00977762315587593</v>
      </c>
      <c r="W203" s="20" t="n">
        <v>-0.00731787324607902</v>
      </c>
      <c r="X203" s="20" t="n">
        <v>0.0109074566704645</v>
      </c>
    </row>
    <row r="204" customFormat="false" ht="13.5" hidden="false" customHeight="true" outlineLevel="0" collapsed="false">
      <c r="A204" s="47" t="n">
        <v>42663</v>
      </c>
      <c r="B204" s="20" t="n">
        <v>-0.0125520448072027</v>
      </c>
      <c r="C204" s="20" t="n">
        <v>-0.0031007723803631</v>
      </c>
      <c r="D204" s="20" t="n">
        <v>-0.00624242896514726</v>
      </c>
      <c r="E204" s="20" t="n">
        <v>0.00416842531250827</v>
      </c>
      <c r="F204" s="20" t="n">
        <v>0.00662058463216697</v>
      </c>
      <c r="G204" s="20" t="n">
        <v>-0.00518807410834876</v>
      </c>
      <c r="H204" s="20" t="n">
        <v>-0.00433839755988696</v>
      </c>
      <c r="I204" s="20" t="n">
        <v>0.00711750729667493</v>
      </c>
      <c r="J204" s="20" t="n">
        <v>0.00483092254010442</v>
      </c>
      <c r="K204" s="20" t="n">
        <v>-0.0171045418002143</v>
      </c>
      <c r="L204" s="20" t="n">
        <v>0.0374331761414188</v>
      </c>
      <c r="M204" s="20" t="n">
        <v>-0.0111249788786991</v>
      </c>
      <c r="N204" s="20" t="n">
        <v>0.00854400989539305</v>
      </c>
      <c r="O204" s="20" t="n">
        <v>-0.0304725389939592</v>
      </c>
      <c r="P204" s="20" t="n">
        <v>-0.0205640234447623</v>
      </c>
      <c r="Q204" s="20" t="n">
        <v>0.00480388581368362</v>
      </c>
      <c r="R204" s="20" t="n">
        <v>0.00125923668547667</v>
      </c>
      <c r="S204" s="20" t="n">
        <v>-0.0115608665880713</v>
      </c>
      <c r="T204" s="20" t="n">
        <v>-0.000331627559676306</v>
      </c>
      <c r="U204" s="20" t="n">
        <v>0.0294725003873299</v>
      </c>
      <c r="V204" s="20" t="n">
        <v>-0.00677428669482971</v>
      </c>
      <c r="W204" s="20" t="n">
        <v>0.00355476594274817</v>
      </c>
      <c r="X204" s="20" t="n">
        <v>-0.00792082563830254</v>
      </c>
    </row>
    <row r="205" customFormat="false" ht="13.5" hidden="false" customHeight="true" outlineLevel="0" collapsed="false">
      <c r="A205" s="47" t="n">
        <v>42664</v>
      </c>
      <c r="B205" s="20" t="n">
        <v>0.00626252815032657</v>
      </c>
      <c r="C205" s="20" t="n">
        <v>-0.00207258177885272</v>
      </c>
      <c r="D205" s="20" t="n">
        <v>-0.00872807885168125</v>
      </c>
      <c r="E205" s="20" t="n">
        <v>0.0140439418795916</v>
      </c>
      <c r="F205" s="20" t="n">
        <v>0.00598090179227472</v>
      </c>
      <c r="G205" s="20" t="n">
        <v>0.0135617213388443</v>
      </c>
      <c r="H205" s="20" t="n">
        <v>-0.0043573012949718</v>
      </c>
      <c r="I205" s="20" t="n">
        <v>-0.0142859744994225</v>
      </c>
      <c r="J205" s="20" t="n">
        <v>0.00720284824663819</v>
      </c>
      <c r="K205" s="20" t="n">
        <v>0.0459249526089313</v>
      </c>
      <c r="L205" s="20" t="n">
        <v>0.0360822737745509</v>
      </c>
      <c r="M205" s="20" t="n">
        <v>-0.00155494467632033</v>
      </c>
      <c r="N205" s="20" t="n">
        <v>0.00389176548963376</v>
      </c>
      <c r="O205" s="20" t="n">
        <v>-0.0169473067185537</v>
      </c>
      <c r="P205" s="20" t="n">
        <v>-0.0246925673619147</v>
      </c>
      <c r="Q205" s="20" t="n">
        <v>0</v>
      </c>
      <c r="R205" s="20" t="n">
        <v>0.00672707999004007</v>
      </c>
      <c r="S205" s="20" t="n">
        <v>0.0130922224904677</v>
      </c>
      <c r="T205" s="20" t="n">
        <v>0.0102294068895076</v>
      </c>
      <c r="U205" s="20" t="n">
        <v>0.0194331215751546</v>
      </c>
      <c r="V205" s="20" t="n">
        <v>-0.0159197501294463</v>
      </c>
      <c r="W205" s="20" t="n">
        <v>0.00949130405732834</v>
      </c>
      <c r="X205" s="20" t="n">
        <v>0.00396825523349919</v>
      </c>
    </row>
    <row r="206" customFormat="false" ht="13.5" hidden="false" customHeight="true" outlineLevel="0" collapsed="false">
      <c r="A206" s="47" t="n">
        <v>42667</v>
      </c>
      <c r="B206" s="20" t="n">
        <v>0.00205671026914</v>
      </c>
      <c r="C206" s="20" t="n">
        <v>-0.00937993840064255</v>
      </c>
      <c r="D206" s="20" t="n">
        <v>0.00231780049076135</v>
      </c>
      <c r="E206" s="20" t="n">
        <v>-0.0282880092974751</v>
      </c>
      <c r="F206" s="20" t="n">
        <v>-0.00298603654245921</v>
      </c>
      <c r="G206" s="20" t="n">
        <v>-0.00869712220967677</v>
      </c>
      <c r="H206" s="20" t="n">
        <v>0.0043573012949718</v>
      </c>
      <c r="I206" s="20" t="n">
        <v>0.0194306754111601</v>
      </c>
      <c r="J206" s="20" t="n">
        <v>0.00238954212113151</v>
      </c>
      <c r="K206" s="20" t="n">
        <v>-0.0411771595947705</v>
      </c>
      <c r="L206" s="20" t="n">
        <v>0.0451884405033427</v>
      </c>
      <c r="M206" s="20" t="n">
        <v>0.0046575992143496</v>
      </c>
      <c r="N206" s="20" t="n">
        <v>0.00457992933965378</v>
      </c>
      <c r="O206" s="20" t="n">
        <v>-0.00435019295125416</v>
      </c>
      <c r="P206" s="20" t="n">
        <v>-0.0396652630279299</v>
      </c>
      <c r="Q206" s="20" t="n">
        <v>-0.00480388581368362</v>
      </c>
      <c r="R206" s="20" t="n">
        <v>-0.00672707999004007</v>
      </c>
      <c r="S206" s="20" t="n">
        <v>0.00686241001554943</v>
      </c>
      <c r="T206" s="20" t="n">
        <v>-0.00394733846065564</v>
      </c>
      <c r="U206" s="20" t="n">
        <v>-0.00370196120932764</v>
      </c>
      <c r="V206" s="20" t="n">
        <v>0.00647906090699201</v>
      </c>
      <c r="W206" s="20" t="n">
        <v>0.00438406575175776</v>
      </c>
      <c r="X206" s="20" t="n">
        <v>0.00887134443887571</v>
      </c>
    </row>
    <row r="207" customFormat="false" ht="13.5" hidden="false" customHeight="true" outlineLevel="0" collapsed="false">
      <c r="A207" s="47" t="n">
        <v>42668</v>
      </c>
      <c r="B207" s="20" t="n">
        <v>0.00614487161526611</v>
      </c>
      <c r="C207" s="20" t="n">
        <v>0.0076495453099219</v>
      </c>
      <c r="D207" s="20" t="n">
        <v>-0.012814852089849</v>
      </c>
      <c r="E207" s="20" t="n">
        <v>0.00252842379489504</v>
      </c>
      <c r="F207" s="20" t="n">
        <v>0.00893137971572555</v>
      </c>
      <c r="G207" s="20" t="n">
        <v>-0.000323579649101901</v>
      </c>
      <c r="H207" s="20" t="n">
        <v>-0.00523104452449851</v>
      </c>
      <c r="I207" s="20" t="n">
        <v>-0.0174705484648791</v>
      </c>
      <c r="J207" s="20" t="n">
        <v>0.0118624676718193</v>
      </c>
      <c r="K207" s="20" t="n">
        <v>-0.0173190617758252</v>
      </c>
      <c r="L207" s="20" t="n">
        <v>0.0175186797449005</v>
      </c>
      <c r="M207" s="20" t="n">
        <v>0.00371066430764521</v>
      </c>
      <c r="N207" s="20" t="n">
        <v>-0.00705472979674182</v>
      </c>
      <c r="O207" s="20" t="n">
        <v>-0.00738415645154733</v>
      </c>
      <c r="P207" s="20" t="n">
        <v>-0.00773697500934122</v>
      </c>
      <c r="Q207" s="20" t="n">
        <v>-0.00160646284107501</v>
      </c>
      <c r="R207" s="20" t="n">
        <v>0.00182873556103135</v>
      </c>
      <c r="S207" s="20" t="n">
        <v>0.0180727641866287</v>
      </c>
      <c r="T207" s="20" t="n">
        <v>0.00689768169448479</v>
      </c>
      <c r="U207" s="20" t="n">
        <v>-0.00294053369335856</v>
      </c>
      <c r="V207" s="20" t="n">
        <v>-0.00526100608704327</v>
      </c>
      <c r="W207" s="20" t="n">
        <v>0.00936112838617297</v>
      </c>
      <c r="X207" s="20" t="n">
        <v>0.0488369175868035</v>
      </c>
    </row>
    <row r="208" customFormat="false" ht="13.5" hidden="false" customHeight="true" outlineLevel="0" collapsed="false">
      <c r="A208" s="47" t="n">
        <v>42669</v>
      </c>
      <c r="B208" s="20" t="n">
        <v>0.0100932074988326</v>
      </c>
      <c r="C208" s="20" t="n">
        <v>-0.00834783739018574</v>
      </c>
      <c r="D208" s="20" t="n">
        <v>-0.0078472604019657</v>
      </c>
      <c r="E208" s="20" t="n">
        <v>-0.0118545286635201</v>
      </c>
      <c r="F208" s="20" t="n">
        <v>0.00236820758199396</v>
      </c>
      <c r="G208" s="20" t="n">
        <v>0.0038760009470411</v>
      </c>
      <c r="H208" s="20" t="n">
        <v>0.0121634748549461</v>
      </c>
      <c r="I208" s="20" t="n">
        <v>-0.0372383097131292</v>
      </c>
      <c r="J208" s="20" t="n">
        <v>-0.0311401542689004</v>
      </c>
      <c r="K208" s="20" t="n">
        <v>0.0355067251983552</v>
      </c>
      <c r="L208" s="20" t="n">
        <v>0.00577201643544089</v>
      </c>
      <c r="M208" s="20" t="n">
        <v>0.0024660313064575</v>
      </c>
      <c r="N208" s="20" t="n">
        <v>0.0928937468926962</v>
      </c>
      <c r="O208" s="20" t="n">
        <v>0.00246744886385164</v>
      </c>
      <c r="P208" s="20" t="n">
        <v>0</v>
      </c>
      <c r="Q208" s="20" t="n">
        <v>-0.00969312024517488</v>
      </c>
      <c r="R208" s="20" t="n">
        <v>-0.00434879660848608</v>
      </c>
      <c r="S208" s="20" t="n">
        <v>-0.0211169036956633</v>
      </c>
      <c r="T208" s="20" t="n">
        <v>-0.0055801911010449</v>
      </c>
      <c r="U208" s="20" t="n">
        <v>-0.00139583334055881</v>
      </c>
      <c r="V208" s="20" t="n">
        <v>0.0527529348909618</v>
      </c>
      <c r="W208" s="20" t="n">
        <v>0.00561795595293501</v>
      </c>
      <c r="X208" s="20" t="n">
        <v>0.0046620309314993</v>
      </c>
    </row>
    <row r="209" customFormat="false" ht="13.5" hidden="false" customHeight="true" outlineLevel="0" collapsed="false">
      <c r="A209" s="47" t="n">
        <v>42670</v>
      </c>
      <c r="B209" s="20" t="n">
        <v>-0.00483727885926654</v>
      </c>
      <c r="C209" s="20" t="n">
        <v>0.0203982450057842</v>
      </c>
      <c r="D209" s="20" t="n">
        <v>-0.021634726052607</v>
      </c>
      <c r="E209" s="20" t="n">
        <v>-0.00170498797115836</v>
      </c>
      <c r="F209" s="20" t="n">
        <v>-0.0136947386604484</v>
      </c>
      <c r="G209" s="20" t="n">
        <v>0.00770715980976399</v>
      </c>
      <c r="H209" s="20" t="n">
        <v>-0.00259403277056069</v>
      </c>
      <c r="I209" s="20" t="n">
        <v>0.00405676459655701</v>
      </c>
      <c r="J209" s="20" t="n">
        <v>0</v>
      </c>
      <c r="K209" s="20" t="n">
        <v>-0.0175957446659745</v>
      </c>
      <c r="L209" s="20" t="n">
        <v>-0.00722020670825473</v>
      </c>
      <c r="M209" s="20" t="n">
        <v>-0.017078484915427</v>
      </c>
      <c r="N209" s="20" t="n">
        <v>-0.0198736176404055</v>
      </c>
      <c r="O209" s="20" t="n">
        <v>-0.000273918566621844</v>
      </c>
      <c r="P209" s="20" t="n">
        <v>-0.0295588207594921</v>
      </c>
      <c r="Q209" s="20" t="n">
        <v>-0.0380525687129886</v>
      </c>
      <c r="R209" s="20" t="n">
        <v>-0.0449210881137798</v>
      </c>
      <c r="S209" s="20" t="n">
        <v>-0.00152551546638024</v>
      </c>
      <c r="T209" s="20" t="n">
        <v>0.00688869360788357</v>
      </c>
      <c r="U209" s="20" t="n">
        <v>0.0222554957316596</v>
      </c>
      <c r="V209" s="20" t="n">
        <v>-0.0186485414582242</v>
      </c>
      <c r="W209" s="20" t="n">
        <v>-0.00388602186700159</v>
      </c>
      <c r="X209" s="20" t="n">
        <v>-0.0178324365591269</v>
      </c>
    </row>
    <row r="210" customFormat="false" ht="13.5" hidden="false" customHeight="true" outlineLevel="0" collapsed="false">
      <c r="A210" s="47" t="n">
        <v>42671</v>
      </c>
      <c r="B210" s="20" t="n">
        <v>0.00705195100228106</v>
      </c>
      <c r="C210" s="20" t="n">
        <v>-0.0041151797955421</v>
      </c>
      <c r="D210" s="20" t="n">
        <v>-0.00930117191552337</v>
      </c>
      <c r="E210" s="20" t="n">
        <v>0.00170498797115836</v>
      </c>
      <c r="F210" s="20" t="n">
        <v>-0.0108500343199757</v>
      </c>
      <c r="G210" s="20" t="n">
        <v>-0.00899751210258648</v>
      </c>
      <c r="H210" s="20" t="n">
        <v>0.0323708295085261</v>
      </c>
      <c r="I210" s="20" t="n">
        <v>0.0253178160281013</v>
      </c>
      <c r="J210" s="20" t="n">
        <v>0.0144929931132207</v>
      </c>
      <c r="K210" s="20" t="n">
        <v>-0.0191165106817029</v>
      </c>
      <c r="L210" s="20" t="n">
        <v>0.00289435523013414</v>
      </c>
      <c r="M210" s="20" t="n">
        <v>-0.00691395660596638</v>
      </c>
      <c r="N210" s="20" t="n">
        <v>-0.133954536429993</v>
      </c>
      <c r="O210" s="20" t="n">
        <v>0.00763994430715753</v>
      </c>
      <c r="P210" s="20" t="n">
        <v>-0.047091611532485</v>
      </c>
      <c r="Q210" s="20" t="n">
        <v>-0.00507181698603287</v>
      </c>
      <c r="R210" s="20" t="n">
        <v>0.00883796350834487</v>
      </c>
      <c r="S210" s="20" t="n">
        <v>-0.00535788868356323</v>
      </c>
      <c r="T210" s="20" t="n">
        <v>0.00293782329514025</v>
      </c>
      <c r="U210" s="20" t="n">
        <v>0.00363645087341701</v>
      </c>
      <c r="V210" s="20" t="n">
        <v>-0.00176626780728961</v>
      </c>
      <c r="W210" s="20" t="n">
        <v>-0.00477020041136055</v>
      </c>
      <c r="X210" s="20" t="n">
        <v>0.00378071909118604</v>
      </c>
    </row>
    <row r="211" customFormat="false" ht="13.5" hidden="false" customHeight="true" outlineLevel="0" collapsed="false">
      <c r="A211" s="47" t="n">
        <v>42674</v>
      </c>
      <c r="B211" s="20" t="n">
        <v>-0.00587321688165953</v>
      </c>
      <c r="C211" s="20" t="n">
        <v>-0.00758892331532745</v>
      </c>
      <c r="D211" s="20" t="n">
        <v>-0.0117150635931038</v>
      </c>
      <c r="E211" s="20" t="n">
        <v>-0.0111350287655493</v>
      </c>
      <c r="F211" s="20" t="n">
        <v>0.00664457946469809</v>
      </c>
      <c r="G211" s="20" t="n">
        <v>-0.00615182854164331</v>
      </c>
      <c r="H211" s="20" t="n">
        <v>-0.036709227068413</v>
      </c>
      <c r="I211" s="20" t="n">
        <v>0.0214782046623258</v>
      </c>
      <c r="J211" s="20" t="n">
        <v>-0.00240101651323021</v>
      </c>
      <c r="K211" s="20" t="n">
        <v>-0.0250394815428292</v>
      </c>
      <c r="L211" s="20" t="n">
        <v>-0.00289435523013414</v>
      </c>
      <c r="M211" s="20" t="n">
        <v>-0.0203893460956194</v>
      </c>
      <c r="N211" s="20" t="n">
        <v>-0.0624839736218851</v>
      </c>
      <c r="O211" s="20" t="n">
        <v>-0.00627130985329227</v>
      </c>
      <c r="P211" s="20" t="n">
        <v>-0.00314958083677163</v>
      </c>
      <c r="Q211" s="20" t="n">
        <v>-0.0468429045970626</v>
      </c>
      <c r="R211" s="20" t="n">
        <v>-0.00775893529732929</v>
      </c>
      <c r="S211" s="20" t="n">
        <v>-0.00615859722638267</v>
      </c>
      <c r="T211" s="20" t="n">
        <v>-0.00654027064616258</v>
      </c>
      <c r="U211" s="20" t="n">
        <v>-0.00972651072269403</v>
      </c>
      <c r="V211" s="20" t="n">
        <v>-0.00216302535109313</v>
      </c>
      <c r="W211" s="20" t="n">
        <v>-0.000434709638724051</v>
      </c>
      <c r="X211" s="20" t="n">
        <v>-0.00378071909118604</v>
      </c>
    </row>
    <row r="212" customFormat="false" ht="13.5" hidden="false" customHeight="true" outlineLevel="0" collapsed="false">
      <c r="A212" s="47" t="n">
        <v>42675</v>
      </c>
      <c r="B212" s="20" t="n">
        <v>-0.0055128863439835</v>
      </c>
      <c r="C212" s="20" t="n">
        <v>-0.0135961659487651</v>
      </c>
      <c r="D212" s="20" t="n">
        <v>-0.00453206598685174</v>
      </c>
      <c r="E212" s="20" t="n">
        <v>-0.0182534442003108</v>
      </c>
      <c r="F212" s="20" t="n">
        <v>-0.00785746366682937</v>
      </c>
      <c r="G212" s="20" t="n">
        <v>0.0453974239643542</v>
      </c>
      <c r="H212" s="20" t="n">
        <v>-0.0140107239063915</v>
      </c>
      <c r="I212" s="20" t="n">
        <v>-0.0123098140800403</v>
      </c>
      <c r="J212" s="20" t="n">
        <v>-0.00723760291078345</v>
      </c>
      <c r="K212" s="20" t="n">
        <v>-0.0294969177995201</v>
      </c>
      <c r="L212" s="20" t="n">
        <v>-0.0264333021110034</v>
      </c>
      <c r="M212" s="20" t="n">
        <v>-0.0142628201371377</v>
      </c>
      <c r="N212" s="20" t="n">
        <v>-0.0321492189852161</v>
      </c>
      <c r="O212" s="20" t="n">
        <v>-0.00521055451774543</v>
      </c>
      <c r="P212" s="20" t="n">
        <v>-0.0223294799564541</v>
      </c>
      <c r="Q212" s="20" t="n">
        <v>-0.0143115003535978</v>
      </c>
      <c r="R212" s="20" t="n">
        <v>0.00597373363351305</v>
      </c>
      <c r="S212" s="20" t="n">
        <v>-0.000772516772106879</v>
      </c>
      <c r="T212" s="20" t="n">
        <v>-0.00295712895521127</v>
      </c>
      <c r="U212" s="20" t="n">
        <v>-0.00551303989795481</v>
      </c>
      <c r="V212" s="20" t="n">
        <v>-0.0045378305087711</v>
      </c>
      <c r="W212" s="20" t="n">
        <v>-0.0164423296988673</v>
      </c>
      <c r="X212" s="20" t="n">
        <v>-0.022021042268665</v>
      </c>
    </row>
    <row r="213" customFormat="false" ht="13.5" hidden="false" customHeight="true" outlineLevel="0" collapsed="false">
      <c r="A213" s="47" t="n">
        <v>42676</v>
      </c>
      <c r="B213" s="20" t="n">
        <v>0.00276024215666037</v>
      </c>
      <c r="C213" s="20" t="n">
        <v>-0.00739824836834612</v>
      </c>
      <c r="D213" s="20" t="n">
        <v>-0.00746067162660057</v>
      </c>
      <c r="E213" s="20" t="n">
        <v>-0.00439554440111367</v>
      </c>
      <c r="F213" s="20" t="n">
        <v>0</v>
      </c>
      <c r="G213" s="20" t="n">
        <v>-0.0379552431298884</v>
      </c>
      <c r="H213" s="20" t="n">
        <v>-0.00619196437148961</v>
      </c>
      <c r="I213" s="20" t="n">
        <v>-0.00654027064616258</v>
      </c>
      <c r="J213" s="20" t="n">
        <v>0</v>
      </c>
      <c r="K213" s="20" t="n">
        <v>-0.114603433177874</v>
      </c>
      <c r="L213" s="20" t="n">
        <v>0.00593480059955497</v>
      </c>
      <c r="M213" s="20" t="n">
        <v>-0.0244559375696962</v>
      </c>
      <c r="N213" s="20" t="n">
        <v>-0.0500316418784967</v>
      </c>
      <c r="O213" s="20" t="n">
        <v>0.00712337631942983</v>
      </c>
      <c r="P213" s="20" t="n">
        <v>0.0564413059027262</v>
      </c>
      <c r="Q213" s="20" t="n">
        <v>-0.0145193840472837</v>
      </c>
      <c r="R213" s="20" t="n">
        <v>-0.0287598036002467</v>
      </c>
      <c r="S213" s="20" t="n">
        <v>-0.0242483112214406</v>
      </c>
      <c r="T213" s="20" t="n">
        <v>-0.00230603613573432</v>
      </c>
      <c r="U213" s="20" t="n">
        <v>-0.000768155054594821</v>
      </c>
      <c r="V213" s="20" t="n">
        <v>-0.00714431724452202</v>
      </c>
      <c r="W213" s="20" t="n">
        <v>0.00220796009549006</v>
      </c>
      <c r="X213" s="20" t="n">
        <v>-0.00777457016146243</v>
      </c>
    </row>
    <row r="214" customFormat="false" ht="13.5" hidden="false" customHeight="true" outlineLevel="0" collapsed="false">
      <c r="A214" s="47" t="n">
        <v>42677</v>
      </c>
      <c r="B214" s="20" t="n">
        <v>0.000393684788527082</v>
      </c>
      <c r="C214" s="20" t="n">
        <v>0.00564171546758585</v>
      </c>
      <c r="D214" s="20" t="n">
        <v>0.00525585245063187</v>
      </c>
      <c r="E214" s="20" t="n">
        <v>-0.000881465781750634</v>
      </c>
      <c r="F214" s="20" t="n">
        <v>0.00423855901960656</v>
      </c>
      <c r="G214" s="20" t="n">
        <v>-0.00322894631875803</v>
      </c>
      <c r="H214" s="20" t="n">
        <v>0.00354295870947618</v>
      </c>
      <c r="I214" s="20" t="n">
        <v>0.00392930562471338</v>
      </c>
      <c r="J214" s="20" t="n">
        <v>0.00241832090476012</v>
      </c>
      <c r="K214" s="20" t="n">
        <v>0.0487902006620716</v>
      </c>
      <c r="L214" s="20" t="n">
        <v>-0.013403052547227</v>
      </c>
      <c r="M214" s="20" t="n">
        <v>0.0036734257862343</v>
      </c>
      <c r="N214" s="20" t="n">
        <v>0.00217152041418167</v>
      </c>
      <c r="O214" s="20" t="n">
        <v>-0.00355534536185153</v>
      </c>
      <c r="P214" s="20" t="n">
        <v>-0.00407332143179406</v>
      </c>
      <c r="Q214" s="20" t="n">
        <v>-0.00733947574537063</v>
      </c>
      <c r="R214" s="20" t="n">
        <v>0.00903103375222436</v>
      </c>
      <c r="S214" s="20" t="n">
        <v>-0.00874754318889303</v>
      </c>
      <c r="T214" s="20" t="n">
        <v>-0.00429678930037447</v>
      </c>
      <c r="U214" s="20" t="n">
        <v>-0.0106606256083088</v>
      </c>
      <c r="V214" s="20" t="n">
        <v>0.015807467217523</v>
      </c>
      <c r="W214" s="20" t="n">
        <v>-0.0164558236313108</v>
      </c>
      <c r="X214" s="20" t="n">
        <v>-0.00881927845257468</v>
      </c>
    </row>
    <row r="215" customFormat="false" ht="13.5" hidden="false" customHeight="true" outlineLevel="0" collapsed="false">
      <c r="A215" s="47" t="n">
        <v>42678</v>
      </c>
      <c r="B215" s="20" t="n">
        <v>0.0213541043573162</v>
      </c>
      <c r="C215" s="20" t="n">
        <v>0.030132145218781</v>
      </c>
      <c r="D215" s="20" t="n">
        <v>0.0189935263113056</v>
      </c>
      <c r="E215" s="20" t="n">
        <v>0.0209431538010975</v>
      </c>
      <c r="F215" s="20" t="n">
        <v>0.0274153641394825</v>
      </c>
      <c r="G215" s="20" t="n">
        <v>0.0102960914582377</v>
      </c>
      <c r="H215" s="20" t="n">
        <v>0.0525303829689538</v>
      </c>
      <c r="I215" s="20" t="n">
        <v>-0.0386457094234464</v>
      </c>
      <c r="J215" s="20" t="n">
        <v>0.0191393227429343</v>
      </c>
      <c r="K215" s="20" t="n">
        <v>0.110652566383231</v>
      </c>
      <c r="L215" s="20" t="n">
        <v>0.0722857938863417</v>
      </c>
      <c r="M215" s="20" t="n">
        <v>0.0125870878809353</v>
      </c>
      <c r="N215" s="20" t="n">
        <v>0.0116456120525203</v>
      </c>
      <c r="O215" s="20" t="n">
        <v>0.00845732411003563</v>
      </c>
      <c r="P215" s="20" t="n">
        <v>0.0419642057643545</v>
      </c>
      <c r="Q215" s="20" t="n">
        <v>0.0254559824257805</v>
      </c>
      <c r="R215" s="20" t="n">
        <v>0.0130358134562138</v>
      </c>
      <c r="S215" s="20" t="n">
        <v>0.026016438793043</v>
      </c>
      <c r="T215" s="20" t="n">
        <v>0.0245391009973614</v>
      </c>
      <c r="U215" s="20" t="n">
        <v>0.0137294780070078</v>
      </c>
      <c r="V215" s="20" t="n">
        <v>0.0310745962833185</v>
      </c>
      <c r="W215" s="20" t="n">
        <v>0.017778313843483</v>
      </c>
      <c r="X215" s="20" t="n">
        <v>0.0281435330268373</v>
      </c>
    </row>
    <row r="216" customFormat="false" ht="13.5" hidden="false" customHeight="true" outlineLevel="0" collapsed="false">
      <c r="A216" s="47" t="n">
        <v>42681</v>
      </c>
      <c r="B216" s="20" t="n">
        <v>-0.00353825228626636</v>
      </c>
      <c r="C216" s="20" t="n">
        <v>0.00374599166703193</v>
      </c>
      <c r="D216" s="20" t="n">
        <v>0.0018931634515189</v>
      </c>
      <c r="E216" s="20" t="n">
        <v>-0.00867311453989039</v>
      </c>
      <c r="F216" s="20" t="n">
        <v>-0.000588075807276489</v>
      </c>
      <c r="G216" s="20" t="n">
        <v>-0.0109431460865208</v>
      </c>
      <c r="H216" s="20" t="n">
        <v>0.00502092624171135</v>
      </c>
      <c r="I216" s="20" t="n">
        <v>0.00203595134455492</v>
      </c>
      <c r="J216" s="20" t="n">
        <v>0.0117787444433736</v>
      </c>
      <c r="K216" s="20" t="n">
        <v>-0.0271621082593286</v>
      </c>
      <c r="L216" s="20" t="n">
        <v>0.0503165117083377</v>
      </c>
      <c r="M216" s="20" t="n">
        <v>-0.0125870878809353</v>
      </c>
      <c r="N216" s="20" t="n">
        <v>0.0353870183550384</v>
      </c>
      <c r="O216" s="20" t="n">
        <v>0.00487806652211109</v>
      </c>
      <c r="P216" s="20" t="n">
        <v>0.0107056648422578</v>
      </c>
      <c r="Q216" s="20" t="n">
        <v>0.016028780497989</v>
      </c>
      <c r="R216" s="20" t="n">
        <v>-0.125834921172951</v>
      </c>
      <c r="S216" s="20" t="n">
        <v>-0.0117418625815362</v>
      </c>
      <c r="T216" s="20" t="n">
        <v>0.00193734207915285</v>
      </c>
      <c r="U216" s="20" t="n">
        <v>0.00869503953183681</v>
      </c>
      <c r="V216" s="20" t="n">
        <v>0.0102099756612017</v>
      </c>
      <c r="W216" s="20" t="n">
        <v>0.0030789420824302</v>
      </c>
      <c r="X216" s="20" t="n">
        <v>-0.0193242545742626</v>
      </c>
    </row>
    <row r="217" customFormat="false" ht="13.5" hidden="false" customHeight="true" outlineLevel="0" collapsed="false">
      <c r="A217" s="47" t="n">
        <v>42682</v>
      </c>
      <c r="B217" s="20" t="n">
        <v>-0.00232273551304462</v>
      </c>
      <c r="C217" s="20" t="n">
        <v>0.00711265667497729</v>
      </c>
      <c r="D217" s="20" t="n">
        <v>0.0573610788082428</v>
      </c>
      <c r="E217" s="20" t="n">
        <v>0.00867311453989039</v>
      </c>
      <c r="F217" s="20" t="n">
        <v>0.0554903185285935</v>
      </c>
      <c r="G217" s="20" t="n">
        <v>0.0440014415650602</v>
      </c>
      <c r="H217" s="20" t="n">
        <v>-0.0469971314911878</v>
      </c>
      <c r="I217" s="20" t="n">
        <v>0.0181395940271014</v>
      </c>
      <c r="J217" s="20" t="n">
        <v>0.00467290127418285</v>
      </c>
      <c r="K217" s="20" t="n">
        <v>-0.0539976849379026</v>
      </c>
      <c r="L217" s="20" t="n">
        <v>0.0287601867296243</v>
      </c>
      <c r="M217" s="20" t="n">
        <v>0.0682814741625059</v>
      </c>
      <c r="N217" s="20" t="n">
        <v>0.00536641395472337</v>
      </c>
      <c r="O217" s="20" t="n">
        <v>0.0120919637090164</v>
      </c>
      <c r="P217" s="20" t="n">
        <v>0.0276867292919322</v>
      </c>
      <c r="Q217" s="20" t="n">
        <v>-0.0323187608156123</v>
      </c>
      <c r="R217" s="20" t="n">
        <v>0.0403812456492014</v>
      </c>
      <c r="S217" s="20" t="n">
        <v>0</v>
      </c>
      <c r="T217" s="20" t="n">
        <v>0.0115460104598019</v>
      </c>
      <c r="U217" s="20" t="n">
        <v>-0.0277195983227738</v>
      </c>
      <c r="V217" s="20" t="n">
        <v>0.0573882906196288</v>
      </c>
      <c r="W217" s="20" t="n">
        <v>0.0524016101060986</v>
      </c>
      <c r="X217" s="20" t="n">
        <v>0.0624020802745044</v>
      </c>
    </row>
    <row r="218" customFormat="false" ht="13.5" hidden="false" customHeight="true" outlineLevel="0" collapsed="false">
      <c r="A218" s="47" t="n">
        <v>42683</v>
      </c>
      <c r="B218" s="20" t="n">
        <v>0.0343493356238546</v>
      </c>
      <c r="C218" s="20" t="n">
        <v>0.0259841397075324</v>
      </c>
      <c r="D218" s="20" t="n">
        <v>-0.000638078923211438</v>
      </c>
      <c r="E218" s="20" t="n">
        <v>0.0306146072642525</v>
      </c>
      <c r="F218" s="20" t="n">
        <v>0.043023293193793</v>
      </c>
      <c r="G218" s="20" t="n">
        <v>0.0178027420575266</v>
      </c>
      <c r="H218" s="20" t="n">
        <v>-0.0944356474709537</v>
      </c>
      <c r="I218" s="20" t="n">
        <v>-0.0731865767461128</v>
      </c>
      <c r="J218" s="20" t="n">
        <v>0.00465116679159027</v>
      </c>
      <c r="K218" s="20" t="n">
        <v>0.0363204593298023</v>
      </c>
      <c r="L218" s="20" t="n">
        <v>0.030459177989627</v>
      </c>
      <c r="M218" s="20" t="n">
        <v>0.0417680810998977</v>
      </c>
      <c r="N218" s="20" t="n">
        <v>-0.0199591426368135</v>
      </c>
      <c r="O218" s="20" t="n">
        <v>-0.0235113911132955</v>
      </c>
      <c r="P218" s="20" t="n">
        <v>0</v>
      </c>
      <c r="Q218" s="20" t="n">
        <v>-0.0315132799626209</v>
      </c>
      <c r="R218" s="20" t="n">
        <v>0.00936045885251246</v>
      </c>
      <c r="S218" s="20" t="n">
        <v>-0.016673672633773</v>
      </c>
      <c r="T218" s="20" t="n">
        <v>-0.0115460104598019</v>
      </c>
      <c r="U218" s="20" t="n">
        <v>-0.0368998551516535</v>
      </c>
      <c r="V218" s="20" t="n">
        <v>0.00637397011500429</v>
      </c>
      <c r="W218" s="20" t="n">
        <v>0.0731102287339391</v>
      </c>
      <c r="X218" s="20" t="n">
        <v>0.0613253451387181</v>
      </c>
    </row>
    <row r="219" customFormat="false" ht="13.5" hidden="false" customHeight="true" outlineLevel="0" collapsed="false">
      <c r="A219" s="47" t="n">
        <v>42684</v>
      </c>
      <c r="B219" s="20" t="n">
        <v>0.0065321270791312</v>
      </c>
      <c r="C219" s="20" t="n">
        <v>0.00981683758507845</v>
      </c>
      <c r="D219" s="20" t="n">
        <v>-0.00858922263457362</v>
      </c>
      <c r="E219" s="20" t="n">
        <v>0.0280778281533011</v>
      </c>
      <c r="F219" s="20" t="n">
        <v>0.0137641254061318</v>
      </c>
      <c r="G219" s="20" t="n">
        <v>0.0195819340893286</v>
      </c>
      <c r="H219" s="20" t="n">
        <v>-0.00869149971341642</v>
      </c>
      <c r="I219" s="20" t="n">
        <v>-0.0605350608822901</v>
      </c>
      <c r="J219" s="20" t="n">
        <v>0.0115341971440645</v>
      </c>
      <c r="K219" s="20" t="n">
        <v>-0.0102433879362426</v>
      </c>
      <c r="L219" s="20" t="n">
        <v>-0.0395207507213912</v>
      </c>
      <c r="M219" s="20" t="n">
        <v>-0.0272414393930424</v>
      </c>
      <c r="N219" s="20" t="n">
        <v>-0.00042008944765115</v>
      </c>
      <c r="O219" s="20" t="n">
        <v>-0.00164207412156569</v>
      </c>
      <c r="P219" s="20" t="n">
        <v>-0.0354612994533947</v>
      </c>
      <c r="Q219" s="20" t="n">
        <v>-0.0364374077781921</v>
      </c>
      <c r="R219" s="20" t="n">
        <v>-0.0287478287662246</v>
      </c>
      <c r="S219" s="20" t="n">
        <v>0.0384813701968171</v>
      </c>
      <c r="T219" s="20" t="n">
        <v>0.0115460104598019</v>
      </c>
      <c r="U219" s="20" t="n">
        <v>0.000647831266232579</v>
      </c>
      <c r="V219" s="20" t="n">
        <v>-0.00513140856413496</v>
      </c>
      <c r="W219" s="20" t="n">
        <v>0.00193495558689127</v>
      </c>
      <c r="X219" s="20" t="n">
        <v>0.00858369450394569</v>
      </c>
    </row>
    <row r="220" customFormat="false" ht="13.5" hidden="false" customHeight="true" outlineLevel="0" collapsed="false">
      <c r="A220" s="47" t="n">
        <v>42685</v>
      </c>
      <c r="B220" s="20" t="n">
        <v>-0.0191566985876212</v>
      </c>
      <c r="C220" s="20" t="n">
        <v>-0.00653386060007932</v>
      </c>
      <c r="D220" s="20" t="n">
        <v>-0.00840397405521375</v>
      </c>
      <c r="E220" s="20" t="n">
        <v>-0.0180776748808528</v>
      </c>
      <c r="F220" s="20" t="n">
        <v>0.0542332098392948</v>
      </c>
      <c r="G220" s="20" t="n">
        <v>0.0328667768040689</v>
      </c>
      <c r="H220" s="20" t="n">
        <v>-0.0225610841821144</v>
      </c>
      <c r="I220" s="20" t="n">
        <v>0.0158553742362421</v>
      </c>
      <c r="J220" s="20" t="n">
        <v>0.0293805627947394</v>
      </c>
      <c r="K220" s="20" t="n">
        <v>0.0203828367326255</v>
      </c>
      <c r="L220" s="20" t="n">
        <v>0</v>
      </c>
      <c r="M220" s="20" t="n">
        <v>-0.00646451629514643</v>
      </c>
      <c r="N220" s="20" t="n">
        <v>0.0212022177382436</v>
      </c>
      <c r="O220" s="20" t="n">
        <v>-0.0104625749720876</v>
      </c>
      <c r="P220" s="20" t="n">
        <v>0.0231446950047384</v>
      </c>
      <c r="Q220" s="20" t="n">
        <v>-0.0217184559179046</v>
      </c>
      <c r="R220" s="20" t="n">
        <v>0.0120459949441409</v>
      </c>
      <c r="S220" s="20" t="n">
        <v>0.0160492589068814</v>
      </c>
      <c r="T220" s="20" t="n">
        <v>0.000318834010376356</v>
      </c>
      <c r="U220" s="20" t="n">
        <v>-0.00927212350788675</v>
      </c>
      <c r="V220" s="20" t="n">
        <v>0.00336496272337694</v>
      </c>
      <c r="W220" s="20" t="n">
        <v>0.0283964133201388</v>
      </c>
      <c r="X220" s="20" t="n">
        <v>0.0219789262104463</v>
      </c>
    </row>
    <row r="221" customFormat="false" ht="13.5" hidden="false" customHeight="true" outlineLevel="0" collapsed="false">
      <c r="A221" s="47" t="n">
        <v>42688</v>
      </c>
      <c r="B221" s="20" t="n">
        <v>0.00290325530858126</v>
      </c>
      <c r="C221" s="20" t="n">
        <v>0.00783552533622966</v>
      </c>
      <c r="D221" s="20" t="n">
        <v>0.00388756559166836</v>
      </c>
      <c r="E221" s="20" t="n">
        <v>-0.00165978938080479</v>
      </c>
      <c r="F221" s="20" t="n">
        <v>0.0039761446102946</v>
      </c>
      <c r="G221" s="20" t="n">
        <v>0.00633099152614002</v>
      </c>
      <c r="H221" s="20" t="n">
        <v>0.0493569200866927</v>
      </c>
      <c r="I221" s="20" t="n">
        <v>0.0360465477938904</v>
      </c>
      <c r="J221" s="20" t="n">
        <v>0.0198463306897751</v>
      </c>
      <c r="K221" s="20" t="n">
        <v>0.216818455707284</v>
      </c>
      <c r="L221" s="20" t="n">
        <v>-0.0493104395342167</v>
      </c>
      <c r="M221" s="20" t="n">
        <v>-0.00464329961205445</v>
      </c>
      <c r="N221" s="20" t="n">
        <v>0.0167248384531752</v>
      </c>
      <c r="O221" s="20" t="n">
        <v>0.0175587330398996</v>
      </c>
      <c r="P221" s="20" t="n">
        <v>0.0601198647289002</v>
      </c>
      <c r="Q221" s="20" t="n">
        <v>0.0295005891404045</v>
      </c>
      <c r="R221" s="20" t="n">
        <v>-0.0127120233878379</v>
      </c>
      <c r="S221" s="20" t="n">
        <v>0.0180320983426067</v>
      </c>
      <c r="T221" s="20" t="n">
        <v>0.0104646559954004</v>
      </c>
      <c r="U221" s="20" t="n">
        <v>0.0100814308577383</v>
      </c>
      <c r="V221" s="20" t="n">
        <v>0.00229575824307115</v>
      </c>
      <c r="W221" s="20" t="n">
        <v>-0.0119082979837528</v>
      </c>
      <c r="X221" s="20" t="n">
        <v>0</v>
      </c>
    </row>
    <row r="222" customFormat="false" ht="13.5" hidden="false" customHeight="true" outlineLevel="0" collapsed="false">
      <c r="A222" s="47" t="n">
        <v>42689</v>
      </c>
      <c r="B222" s="20" t="n">
        <v>0.00389983595186116</v>
      </c>
      <c r="C222" s="20" t="n">
        <v>-0.00032530577222678</v>
      </c>
      <c r="D222" s="20" t="n">
        <v>-0.00492672133776217</v>
      </c>
      <c r="E222" s="20" t="n">
        <v>-0.00332778692432134</v>
      </c>
      <c r="F222" s="20" t="n">
        <v>-0.0205469442871932</v>
      </c>
      <c r="G222" s="20" t="n">
        <v>-0.0338421976030565</v>
      </c>
      <c r="H222" s="20" t="n">
        <v>-0.0066319460119395</v>
      </c>
      <c r="I222" s="20" t="n">
        <v>-0.0079797747751793</v>
      </c>
      <c r="J222" s="20" t="n">
        <v>-0.0131869918436848</v>
      </c>
      <c r="K222" s="20" t="n">
        <v>0.1095142778822</v>
      </c>
      <c r="L222" s="20" t="n">
        <v>-0.00136708549023678</v>
      </c>
      <c r="M222" s="20" t="n">
        <v>-0.00841258937227928</v>
      </c>
      <c r="N222" s="20" t="n">
        <v>-0.00812347507556587</v>
      </c>
      <c r="O222" s="20" t="n">
        <v>0.0102815044746638</v>
      </c>
      <c r="P222" s="20" t="n">
        <v>0.00893655878433641</v>
      </c>
      <c r="Q222" s="20" t="n">
        <v>0.00193615335521291</v>
      </c>
      <c r="R222" s="20" t="n">
        <v>-0.00641717926534024</v>
      </c>
      <c r="S222" s="20" t="n">
        <v>0</v>
      </c>
      <c r="T222" s="20" t="n">
        <v>-0.0041094120474634</v>
      </c>
      <c r="U222" s="20" t="n">
        <v>0.013658097199749</v>
      </c>
      <c r="V222" s="20" t="n">
        <v>-0.00868103363655858</v>
      </c>
      <c r="W222" s="20" t="n">
        <v>-0.0174551251232641</v>
      </c>
      <c r="X222" s="20" t="n">
        <v>-0.00251149002167228</v>
      </c>
    </row>
    <row r="223" customFormat="false" ht="13.5" hidden="false" customHeight="true" outlineLevel="0" collapsed="false">
      <c r="A223" s="47" t="n">
        <v>42690</v>
      </c>
      <c r="B223" s="20" t="n">
        <v>0.00319665427169102</v>
      </c>
      <c r="C223" s="20" t="n">
        <v>0.00162527837963732</v>
      </c>
      <c r="D223" s="20" t="n">
        <v>0.00995800838436977</v>
      </c>
      <c r="E223" s="20" t="n">
        <v>-0.0108924508076131</v>
      </c>
      <c r="F223" s="20" t="n">
        <v>0.0165707996768986</v>
      </c>
      <c r="G223" s="20" t="n">
        <v>-0.00535557072715242</v>
      </c>
      <c r="H223" s="20" t="n">
        <v>-0.0279536003626699</v>
      </c>
      <c r="I223" s="20" t="n">
        <v>-0.023582500524558</v>
      </c>
      <c r="J223" s="20" t="n">
        <v>0.0131869918436848</v>
      </c>
      <c r="K223" s="20" t="n">
        <v>0.0858353877439445</v>
      </c>
      <c r="L223" s="20" t="n">
        <v>0</v>
      </c>
      <c r="M223" s="20" t="n">
        <v>-0.00722250108377364</v>
      </c>
      <c r="N223" s="20" t="n">
        <v>-0.0106602167865621</v>
      </c>
      <c r="O223" s="20" t="n">
        <v>0.00697423204403158</v>
      </c>
      <c r="P223" s="20" t="n">
        <v>0.00620850312702403</v>
      </c>
      <c r="Q223" s="20" t="n">
        <v>-0.0136321822466036</v>
      </c>
      <c r="R223" s="20" t="n">
        <v>-0.00389708115100084</v>
      </c>
      <c r="S223" s="20" t="n">
        <v>-0.00522589084789615</v>
      </c>
      <c r="T223" s="20" t="n">
        <v>-0.0493446573110456</v>
      </c>
      <c r="U223" s="20" t="n">
        <v>0.00239103524162587</v>
      </c>
      <c r="V223" s="20" t="n">
        <v>0.00850464973158704</v>
      </c>
      <c r="W223" s="20" t="n">
        <v>0.0155518418616442</v>
      </c>
      <c r="X223" s="20" t="n">
        <v>0.0248356505791482</v>
      </c>
    </row>
    <row r="224" customFormat="false" ht="13.5" hidden="false" customHeight="true" outlineLevel="0" collapsed="false">
      <c r="A224" s="47" t="n">
        <v>42691</v>
      </c>
      <c r="B224" s="20" t="n">
        <v>0.00368529311433274</v>
      </c>
      <c r="C224" s="20" t="n">
        <v>-0.00390499861936266</v>
      </c>
      <c r="D224" s="20" t="n">
        <v>-0.0134734637512989</v>
      </c>
      <c r="E224" s="20" t="n">
        <v>-0.0093102370471656</v>
      </c>
      <c r="F224" s="20" t="n">
        <v>-0.00399201747003852</v>
      </c>
      <c r="G224" s="20" t="n">
        <v>-0.00209047988772503</v>
      </c>
      <c r="H224" s="20" t="n">
        <v>0.0126276445850028</v>
      </c>
      <c r="I224" s="20" t="n">
        <v>-0.00673404371377461</v>
      </c>
      <c r="J224" s="20" t="n">
        <v>-0.00437637049007855</v>
      </c>
      <c r="K224" s="20" t="n">
        <v>0.00582846747983367</v>
      </c>
      <c r="L224" s="20" t="n">
        <v>-0.00962209114987966</v>
      </c>
      <c r="M224" s="20" t="n">
        <v>-0.00791018216047323</v>
      </c>
      <c r="N224" s="20" t="n">
        <v>0.0216114700279757</v>
      </c>
      <c r="O224" s="20" t="n">
        <v>0.00400164662139967</v>
      </c>
      <c r="P224" s="20" t="n">
        <v>0.0321906762987276</v>
      </c>
      <c r="Q224" s="20" t="n">
        <v>-0.00787404903980038</v>
      </c>
      <c r="R224" s="20" t="n">
        <v>-0.00310155641154796</v>
      </c>
      <c r="S224" s="20" t="n">
        <v>0.102362051246871</v>
      </c>
      <c r="T224" s="20" t="n">
        <v>0.00431682785934173</v>
      </c>
      <c r="U224" s="20" t="n">
        <v>-0.000637058708345072</v>
      </c>
      <c r="V224" s="20" t="n">
        <v>0.00141040251387725</v>
      </c>
      <c r="W224" s="20" t="n">
        <v>0.00626719385023522</v>
      </c>
      <c r="X224" s="20" t="n">
        <v>0.0218367320387478</v>
      </c>
    </row>
    <row r="225" customFormat="false" ht="13.5" hidden="false" customHeight="true" outlineLevel="0" collapsed="false">
      <c r="A225" s="47" t="n">
        <v>42692</v>
      </c>
      <c r="B225" s="20" t="n">
        <v>0.0147298421079957</v>
      </c>
      <c r="C225" s="20" t="n">
        <v>0.00649982074786192</v>
      </c>
      <c r="D225" s="20" t="n">
        <v>-0.000391347989791235</v>
      </c>
      <c r="E225" s="20" t="n">
        <v>0.00254774938052149</v>
      </c>
      <c r="F225" s="20" t="n">
        <v>0.0163653503334879</v>
      </c>
      <c r="G225" s="20" t="n">
        <v>0.0023887146892485</v>
      </c>
      <c r="H225" s="20" t="n">
        <v>0.0276076290045736</v>
      </c>
      <c r="I225" s="20" t="n">
        <v>0.0185948091566254</v>
      </c>
      <c r="J225" s="20" t="n">
        <v>0.00219063149082887</v>
      </c>
      <c r="K225" s="20" t="n">
        <v>-0.141569231621175</v>
      </c>
      <c r="L225" s="20" t="n">
        <v>0.0563907890482984</v>
      </c>
      <c r="M225" s="20" t="n">
        <v>0.00285488389547206</v>
      </c>
      <c r="N225" s="20" t="n">
        <v>0.0298055034727799</v>
      </c>
      <c r="O225" s="20" t="n">
        <v>0.00478089351222621</v>
      </c>
      <c r="P225" s="20" t="n">
        <v>0.0427379055420087</v>
      </c>
      <c r="Q225" s="20" t="n">
        <v>0.0234385511411461</v>
      </c>
      <c r="R225" s="20" t="n">
        <v>0.00215860897391806</v>
      </c>
      <c r="S225" s="20" t="n">
        <v>-0.00338411087173096</v>
      </c>
      <c r="T225" s="20" t="n">
        <v>-0.00431682785934173</v>
      </c>
      <c r="U225" s="20" t="n">
        <v>0.0145502831990063</v>
      </c>
      <c r="V225" s="20" t="n">
        <v>-0.000528659451233259</v>
      </c>
      <c r="W225" s="20" t="n">
        <v>-0.0133411693280711</v>
      </c>
      <c r="X225" s="20" t="n">
        <v>-0.00481159072846892</v>
      </c>
    </row>
    <row r="226" customFormat="false" ht="13.5" hidden="false" customHeight="true" outlineLevel="0" collapsed="false">
      <c r="A226" s="47" t="n">
        <v>42695</v>
      </c>
      <c r="B226" s="20" t="n">
        <v>-0.000614590129751846</v>
      </c>
      <c r="C226" s="20" t="n">
        <v>0.00999207919280165</v>
      </c>
      <c r="D226" s="20" t="n">
        <v>-0.00851740112902987</v>
      </c>
      <c r="E226" s="20" t="n">
        <v>0.00844602826386298</v>
      </c>
      <c r="F226" s="20" t="n">
        <v>-0.00147677542296209</v>
      </c>
      <c r="G226" s="20" t="n">
        <v>-0.00179097237704484</v>
      </c>
      <c r="H226" s="20" t="n">
        <v>0</v>
      </c>
      <c r="I226" s="20" t="n">
        <v>-0.00517176591338985</v>
      </c>
      <c r="J226" s="20" t="n">
        <v>0.00871464350168937</v>
      </c>
      <c r="K226" s="20" t="n">
        <v>-0.138805928849127</v>
      </c>
      <c r="L226" s="20" t="n">
        <v>0.0790380007132292</v>
      </c>
      <c r="M226" s="20" t="n">
        <v>-0.00763119037433357</v>
      </c>
      <c r="N226" s="20" t="n">
        <v>-0.0118158578464013</v>
      </c>
      <c r="O226" s="20" t="n">
        <v>0.0212354958035505</v>
      </c>
      <c r="P226" s="20" t="n">
        <v>-0.000820621732919413</v>
      </c>
      <c r="Q226" s="20" t="n">
        <v>-0.0234385511411461</v>
      </c>
      <c r="R226" s="20" t="n">
        <v>-0.00825501186969823</v>
      </c>
      <c r="S226" s="20" t="n">
        <v>0.00405957382721355</v>
      </c>
      <c r="T226" s="20" t="n">
        <v>-0.00533867971629487</v>
      </c>
      <c r="U226" s="20" t="n">
        <v>0.00813140472646711</v>
      </c>
      <c r="V226" s="20" t="n">
        <v>-0.00317797419859644</v>
      </c>
      <c r="W226" s="20" t="n">
        <v>0.0019168548838846</v>
      </c>
      <c r="X226" s="20" t="n">
        <v>0.00641034865475864</v>
      </c>
    </row>
    <row r="227" customFormat="false" ht="13.5" hidden="false" customHeight="true" outlineLevel="0" collapsed="false">
      <c r="A227" s="47" t="n">
        <v>42696</v>
      </c>
      <c r="B227" s="20" t="n">
        <v>-0.00425075307773781</v>
      </c>
      <c r="C227" s="20" t="n">
        <v>0.00511832932922606</v>
      </c>
      <c r="D227" s="20" t="n">
        <v>-0.111094019393591</v>
      </c>
      <c r="E227" s="20" t="n">
        <v>0.000840628483597782</v>
      </c>
      <c r="F227" s="20" t="n">
        <v>0.012726566146882</v>
      </c>
      <c r="G227" s="20" t="n">
        <v>0.0068483083026738</v>
      </c>
      <c r="H227" s="20" t="n">
        <v>-0.0180014164396864</v>
      </c>
      <c r="I227" s="20" t="n">
        <v>-0.0446874924051892</v>
      </c>
      <c r="J227" s="20" t="n">
        <v>-0.00434782865446425</v>
      </c>
      <c r="K227" s="20" t="n">
        <v>0.146428658322901</v>
      </c>
      <c r="L227" s="20" t="n">
        <v>0.0119905968539462</v>
      </c>
      <c r="M227" s="20" t="n">
        <v>0.00286853272674392</v>
      </c>
      <c r="N227" s="20" t="n">
        <v>-0.0338469119396429</v>
      </c>
      <c r="O227" s="20" t="n">
        <v>0.00465840148887286</v>
      </c>
      <c r="P227" s="20" t="n">
        <v>0.0162869891632326</v>
      </c>
      <c r="Q227" s="20" t="n">
        <v>0.021506231286404</v>
      </c>
      <c r="R227" s="20" t="n">
        <v>0.0010865386650769</v>
      </c>
      <c r="S227" s="20" t="n">
        <v>-0.00813569499204236</v>
      </c>
      <c r="T227" s="20" t="n">
        <v>-0.00604029721686627</v>
      </c>
      <c r="U227" s="20" t="n">
        <v>-0.00296346544161352</v>
      </c>
      <c r="V227" s="20" t="n">
        <v>0.00353046729079675</v>
      </c>
      <c r="W227" s="20" t="n">
        <v>-0.00114967195412729</v>
      </c>
      <c r="X227" s="20" t="n">
        <v>0.00716272051605315</v>
      </c>
    </row>
    <row r="228" customFormat="false" ht="13.5" hidden="false" customHeight="true" outlineLevel="0" collapsed="false">
      <c r="A228" s="47" t="n">
        <v>42697</v>
      </c>
      <c r="B228" s="20" t="n">
        <v>0.00713587968678819</v>
      </c>
      <c r="C228" s="20" t="n">
        <v>0.00318577435932843</v>
      </c>
      <c r="D228" s="20" t="n">
        <v>0.0163364590561219</v>
      </c>
      <c r="E228" s="20" t="n">
        <v>0.0116960686511178</v>
      </c>
      <c r="F228" s="20" t="n">
        <v>0.0144860642206499</v>
      </c>
      <c r="G228" s="20" t="n">
        <v>0.00532704131280814</v>
      </c>
      <c r="H228" s="20" t="n">
        <v>-0.0241908030194277</v>
      </c>
      <c r="I228" s="20" t="n">
        <v>0.00771611707798136</v>
      </c>
      <c r="J228" s="20" t="n">
        <v>0.00434782865446425</v>
      </c>
      <c r="K228" s="20" t="n">
        <v>-0.0372294092714465</v>
      </c>
      <c r="L228" s="20" t="n">
        <v>0.00356927591568867</v>
      </c>
      <c r="M228" s="20" t="n">
        <v>0.00855655529971688</v>
      </c>
      <c r="N228" s="20" t="n">
        <v>0.0105993748833794</v>
      </c>
      <c r="O228" s="20" t="n">
        <v>0.0123173112476027</v>
      </c>
      <c r="P228" s="20" t="n">
        <v>-0.0179304125107915</v>
      </c>
      <c r="Q228" s="20" t="n">
        <v>-0.0414669548496291</v>
      </c>
      <c r="R228" s="20" t="n">
        <v>0.0052799066803173</v>
      </c>
      <c r="S228" s="20" t="n">
        <v>-0.00204427557094577</v>
      </c>
      <c r="T228" s="20" t="n">
        <v>0.0127092370539489</v>
      </c>
      <c r="U228" s="20" t="n">
        <v>0.0071596681539825</v>
      </c>
      <c r="V228" s="20" t="n">
        <v>0.00404466467448916</v>
      </c>
      <c r="W228" s="20" t="n">
        <v>0.00878034062047516</v>
      </c>
      <c r="X228" s="20" t="n">
        <v>-0.00397292830157347</v>
      </c>
    </row>
    <row r="229" customFormat="false" ht="13.5" hidden="false" customHeight="true" outlineLevel="0" collapsed="false">
      <c r="A229" s="47" t="n">
        <v>42699</v>
      </c>
      <c r="B229" s="20" t="n">
        <v>0.00842344520031268</v>
      </c>
      <c r="C229" s="20" t="n">
        <v>-0.0060616302640466</v>
      </c>
      <c r="D229" s="20" t="n">
        <v>-0.0281709621161887</v>
      </c>
      <c r="E229" s="20" t="n">
        <v>-0.0100167686746193</v>
      </c>
      <c r="F229" s="20" t="n">
        <v>-0.0272126303675319</v>
      </c>
      <c r="G229" s="20" t="n">
        <v>-0.00651471708082818</v>
      </c>
      <c r="H229" s="20" t="n">
        <v>0.0193992316076132</v>
      </c>
      <c r="I229" s="20" t="n">
        <v>0.0399299545495992</v>
      </c>
      <c r="J229" s="20" t="n">
        <v>-0.0153008823196267</v>
      </c>
      <c r="K229" s="20" t="n">
        <v>0.00491401019664172</v>
      </c>
      <c r="L229" s="20" t="n">
        <v>0.0776646181272799</v>
      </c>
      <c r="M229" s="20" t="n">
        <v>-0.00474457999299726</v>
      </c>
      <c r="N229" s="20" t="n">
        <v>-0.000811377653973099</v>
      </c>
      <c r="O229" s="20" t="n">
        <v>0.00838104794202321</v>
      </c>
      <c r="P229" s="20" t="n">
        <v>-0.038563038488089</v>
      </c>
      <c r="Q229" s="20" t="n">
        <v>0.0297936819159181</v>
      </c>
      <c r="R229" s="20" t="n">
        <v>0.00967491070482395</v>
      </c>
      <c r="S229" s="20" t="n">
        <v>-0.0123543307059978</v>
      </c>
      <c r="T229" s="20" t="n">
        <v>-0.00566574005679587</v>
      </c>
      <c r="U229" s="20" t="n">
        <v>0.00541333717084846</v>
      </c>
      <c r="V229" s="20" t="n">
        <v>-0.00828273709637006</v>
      </c>
      <c r="W229" s="20" t="n">
        <v>-0.0199622193609778</v>
      </c>
      <c r="X229" s="20" t="n">
        <v>-0.0241752452719681</v>
      </c>
    </row>
    <row r="230" customFormat="false" ht="13.5" hidden="false" customHeight="true" outlineLevel="0" collapsed="false">
      <c r="A230" s="47" t="n">
        <v>42702</v>
      </c>
      <c r="B230" s="20" t="n">
        <v>-0.00603571705187722</v>
      </c>
      <c r="C230" s="20" t="n">
        <v>-0.00642052855171515</v>
      </c>
      <c r="D230" s="20" t="n">
        <v>-0.000744256423355516</v>
      </c>
      <c r="E230" s="20" t="n">
        <v>0</v>
      </c>
      <c r="F230" s="20" t="n">
        <v>-0.000492649504697517</v>
      </c>
      <c r="G230" s="20" t="n">
        <v>-0.0167769479454933</v>
      </c>
      <c r="H230" s="20" t="n">
        <v>-0.014514028821106</v>
      </c>
      <c r="I230" s="20" t="n">
        <v>-0.00741296079325293</v>
      </c>
      <c r="J230" s="20" t="n">
        <v>0.0153008823196267</v>
      </c>
      <c r="K230" s="20" t="n">
        <v>-0.0318752144450165</v>
      </c>
      <c r="L230" s="20" t="n">
        <v>-0.0623431501857139</v>
      </c>
      <c r="M230" s="20" t="n">
        <v>0.0119761644093774</v>
      </c>
      <c r="N230" s="20" t="n">
        <v>-0.0176053807606728</v>
      </c>
      <c r="O230" s="20" t="n">
        <v>-0.00151863792647422</v>
      </c>
      <c r="P230" s="20" t="n">
        <v>-0.033901498272169</v>
      </c>
      <c r="Q230" s="20" t="n">
        <v>-0.0237635664483533</v>
      </c>
      <c r="R230" s="20" t="n">
        <v>0.0146026556453815</v>
      </c>
      <c r="S230" s="20" t="n">
        <v>-0.00692999509281655</v>
      </c>
      <c r="T230" s="20" t="n">
        <v>-0.00301255968717573</v>
      </c>
      <c r="U230" s="20" t="n">
        <v>0.00538419066061646</v>
      </c>
      <c r="V230" s="20" t="n">
        <v>-0.00265788607963468</v>
      </c>
      <c r="W230" s="20" t="n">
        <v>0.00541375592722115</v>
      </c>
      <c r="X230" s="20" t="n">
        <v>0.00162995179692249</v>
      </c>
    </row>
    <row r="231" customFormat="false" ht="13.5" hidden="false" customHeight="true" outlineLevel="0" collapsed="false">
      <c r="A231" s="47" t="n">
        <v>42703</v>
      </c>
      <c r="B231" s="20" t="n">
        <v>-0.00804300611241082</v>
      </c>
      <c r="C231" s="20" t="n">
        <v>-0.00938368330643779</v>
      </c>
      <c r="D231" s="20" t="n">
        <v>-0.000446842613263775</v>
      </c>
      <c r="E231" s="20" t="n">
        <v>0.00335008367432942</v>
      </c>
      <c r="F231" s="20" t="n">
        <v>0.0400922996146704</v>
      </c>
      <c r="G231" s="20" t="n">
        <v>-0.0244660296757612</v>
      </c>
      <c r="H231" s="20" t="n">
        <v>0.00776702178653798</v>
      </c>
      <c r="I231" s="20" t="n">
        <v>-0.0187763689575444</v>
      </c>
      <c r="J231" s="20" t="n">
        <v>-0.00871464350168937</v>
      </c>
      <c r="K231" s="20" t="n">
        <v>0.0145695431246835</v>
      </c>
      <c r="L231" s="20" t="n">
        <v>-0.00704233189257541</v>
      </c>
      <c r="M231" s="20" t="n">
        <v>0.0068685663471939</v>
      </c>
      <c r="N231" s="20" t="n">
        <v>-0.0289145906407175</v>
      </c>
      <c r="O231" s="20" t="n">
        <v>-0.0217649986423769</v>
      </c>
      <c r="P231" s="20" t="n">
        <v>0.10800951700339</v>
      </c>
      <c r="Q231" s="20" t="n">
        <v>0</v>
      </c>
      <c r="R231" s="20" t="n">
        <v>0.0132227122356818</v>
      </c>
      <c r="S231" s="20" t="n">
        <v>-0.00278551443904806</v>
      </c>
      <c r="T231" s="20" t="n">
        <v>-0.000335296866369461</v>
      </c>
      <c r="U231" s="20" t="n">
        <v>-0.0193639385392332</v>
      </c>
      <c r="V231" s="20" t="n">
        <v>0.00141840479274168</v>
      </c>
      <c r="W231" s="20" t="n">
        <v>0.0202335127665911</v>
      </c>
      <c r="X231" s="20" t="n">
        <v>0.0145516154468823</v>
      </c>
    </row>
    <row r="232" customFormat="false" ht="13.5" hidden="false" customHeight="true" outlineLevel="0" collapsed="false">
      <c r="A232" s="47" t="n">
        <v>42704</v>
      </c>
      <c r="B232" s="20" t="n">
        <v>-0.0149052183929452</v>
      </c>
      <c r="C232" s="20" t="n">
        <v>0.0202741919900542</v>
      </c>
      <c r="D232" s="20" t="n">
        <v>-0.0172819913407291</v>
      </c>
      <c r="E232" s="20" t="n">
        <v>0.0385451783621388</v>
      </c>
      <c r="F232" s="20" t="n">
        <v>0.0178324365591273</v>
      </c>
      <c r="G232" s="20" t="n">
        <v>0.0322903891782617</v>
      </c>
      <c r="H232" s="20" t="n">
        <v>-0.0649254520295532</v>
      </c>
      <c r="I232" s="20" t="n">
        <v>0.00227191970641316</v>
      </c>
      <c r="J232" s="20" t="n">
        <v>-0.00219063149082887</v>
      </c>
      <c r="K232" s="20" t="n">
        <v>-0.0308964088546088</v>
      </c>
      <c r="L232" s="20" t="n">
        <v>-0.0335360452535242</v>
      </c>
      <c r="M232" s="20" t="n">
        <v>-0.0213844727901459</v>
      </c>
      <c r="N232" s="20" t="n">
        <v>0.0093102370471656</v>
      </c>
      <c r="O232" s="20" t="n">
        <v>0.00645080273625842</v>
      </c>
      <c r="P232" s="20" t="n">
        <v>0.0118344273716277</v>
      </c>
      <c r="Q232" s="20" t="n">
        <v>-0.0471881475675759</v>
      </c>
      <c r="R232" s="20" t="n">
        <v>-0.00169212213661129</v>
      </c>
      <c r="S232" s="20" t="n">
        <v>-0.0254251417507105</v>
      </c>
      <c r="T232" s="20" t="n">
        <v>-0.0124853630988042</v>
      </c>
      <c r="U232" s="20" t="n">
        <v>-0.0164015807018822</v>
      </c>
      <c r="V232" s="20" t="n">
        <v>-0.0114042469382233</v>
      </c>
      <c r="W232" s="20" t="n">
        <v>0.0264793021598972</v>
      </c>
      <c r="X232" s="20" t="n">
        <v>0.0447308542225068</v>
      </c>
    </row>
    <row r="233" customFormat="false" ht="13.5" hidden="false" customHeight="true" outlineLevel="0" collapsed="false">
      <c r="A233" s="47" t="n">
        <v>42705</v>
      </c>
      <c r="B233" s="20" t="n">
        <v>0.00125060634728235</v>
      </c>
      <c r="C233" s="20" t="n">
        <v>-0.00159412422718308</v>
      </c>
      <c r="D233" s="20" t="n">
        <v>0.0260337542375603</v>
      </c>
      <c r="E233" s="20" t="n">
        <v>-0.0154036716894871</v>
      </c>
      <c r="F233" s="20" t="n">
        <v>-0.0126376809805659</v>
      </c>
      <c r="G233" s="20" t="n">
        <v>-0.00180022171115279</v>
      </c>
      <c r="H233" s="20" t="n">
        <v>0.008222032294662</v>
      </c>
      <c r="I233" s="20" t="n">
        <v>0.0253934588350426</v>
      </c>
      <c r="J233" s="20" t="n">
        <v>-0.0587075439214876</v>
      </c>
      <c r="K233" s="20" t="n">
        <v>-0.0659111790731548</v>
      </c>
      <c r="L233" s="20" t="n">
        <v>0.0276293307795061</v>
      </c>
      <c r="M233" s="20" t="n">
        <v>0.00538914225591069</v>
      </c>
      <c r="N233" s="20" t="n">
        <v>0.00755355273164459</v>
      </c>
      <c r="O233" s="20" t="n">
        <v>-0.00696868098007152</v>
      </c>
      <c r="P233" s="20" t="n">
        <v>-0.00471702294486098</v>
      </c>
      <c r="Q233" s="20" t="n">
        <v>0.00419287406857704</v>
      </c>
      <c r="R233" s="20" t="n">
        <v>0.0111414623562442</v>
      </c>
      <c r="S233" s="20" t="n">
        <v>0.0028572101957236</v>
      </c>
      <c r="T233" s="20" t="n">
        <v>-0.00681436232599308</v>
      </c>
      <c r="U233" s="20" t="n">
        <v>0.0173396885311643</v>
      </c>
      <c r="V233" s="20" t="n">
        <v>0.00286327772237715</v>
      </c>
      <c r="W233" s="20" t="n">
        <v>-0.0140847085155413</v>
      </c>
      <c r="X233" s="20" t="n">
        <v>-0.00693111399848955</v>
      </c>
    </row>
    <row r="234" customFormat="false" ht="13.5" hidden="false" customHeight="true" outlineLevel="0" collapsed="false">
      <c r="A234" s="47" t="n">
        <v>42706</v>
      </c>
      <c r="B234" s="20" t="n">
        <v>-0.00112554213237281</v>
      </c>
      <c r="C234" s="20" t="n">
        <v>-0.00736590650717161</v>
      </c>
      <c r="D234" s="20" t="n">
        <v>-0.00666812790334336</v>
      </c>
      <c r="E234" s="20" t="n">
        <v>0.0162077951951031</v>
      </c>
      <c r="F234" s="20" t="n">
        <v>0.0283279037102781</v>
      </c>
      <c r="G234" s="20" t="n">
        <v>-0.011173268419621</v>
      </c>
      <c r="H234" s="20" t="n">
        <v>0.0162439966674923</v>
      </c>
      <c r="I234" s="20" t="n">
        <v>-0.0051756602045474</v>
      </c>
      <c r="J234" s="20" t="n">
        <v>0.00695245733808902</v>
      </c>
      <c r="K234" s="20" t="n">
        <v>-0.0980612564456534</v>
      </c>
      <c r="L234" s="20" t="n">
        <v>0.0257324460642487</v>
      </c>
      <c r="M234" s="20" t="n">
        <v>-0.00126539114047474</v>
      </c>
      <c r="N234" s="20" t="n">
        <v>0.0112244144275779</v>
      </c>
      <c r="O234" s="20" t="n">
        <v>0.000517878243813108</v>
      </c>
      <c r="P234" s="20" t="n">
        <v>0.00628445723167603</v>
      </c>
      <c r="Q234" s="20" t="n">
        <v>0.00833337328057792</v>
      </c>
      <c r="R234" s="20" t="n">
        <v>0.00475542462558653</v>
      </c>
      <c r="S234" s="20" t="n">
        <v>0.000712960824462705</v>
      </c>
      <c r="T234" s="20" t="n">
        <v>0.00952714533043774</v>
      </c>
      <c r="U234" s="20" t="n">
        <v>-0.00721463131766242</v>
      </c>
      <c r="V234" s="20" t="n">
        <v>-0.00735363108553688</v>
      </c>
      <c r="W234" s="20" t="n">
        <v>0.0142686872014872</v>
      </c>
      <c r="X234" s="20" t="n">
        <v>0.00693111399848955</v>
      </c>
    </row>
    <row r="235" customFormat="false" ht="13.5" hidden="false" customHeight="true" outlineLevel="0" collapsed="false">
      <c r="A235" s="47" t="n">
        <v>42709</v>
      </c>
      <c r="B235" s="20" t="n">
        <v>0.00318567221372312</v>
      </c>
      <c r="C235" s="20" t="n">
        <v>0.00192675838353517</v>
      </c>
      <c r="D235" s="20" t="n">
        <v>0.00799650188461775</v>
      </c>
      <c r="E235" s="20" t="n">
        <v>0.00960014086923832</v>
      </c>
      <c r="F235" s="20" t="n">
        <v>0.0145456971300186</v>
      </c>
      <c r="G235" s="20" t="n">
        <v>0.00424241210984321</v>
      </c>
      <c r="H235" s="20" t="n">
        <v>0.0130066745140811</v>
      </c>
      <c r="I235" s="20" t="n">
        <v>-0.00893527069856459</v>
      </c>
      <c r="J235" s="20" t="n">
        <v>0.0183071304637756</v>
      </c>
      <c r="K235" s="20" t="n">
        <v>-0.0560894888812147</v>
      </c>
      <c r="L235" s="20" t="n">
        <v>0.0171727826231831</v>
      </c>
      <c r="M235" s="20" t="n">
        <v>-0.000950140588557246</v>
      </c>
      <c r="N235" s="20" t="n">
        <v>-0.00746892693362211</v>
      </c>
      <c r="O235" s="20" t="n">
        <v>0.0184667317582314</v>
      </c>
      <c r="P235" s="20" t="n">
        <v>-0.0126085831406514</v>
      </c>
      <c r="Q235" s="20" t="n">
        <v>0.0062047216091019</v>
      </c>
      <c r="R235" s="20" t="n">
        <v>0.0181696166964453</v>
      </c>
      <c r="S235" s="20" t="n">
        <v>0.0021360411455662</v>
      </c>
      <c r="T235" s="20" t="n">
        <v>-0.00679583862016919</v>
      </c>
      <c r="U235" s="20" t="n">
        <v>0.0120474626409654</v>
      </c>
      <c r="V235" s="20" t="n">
        <v>0.00860373743923936</v>
      </c>
      <c r="W235" s="20" t="n">
        <v>0.0218389168591861</v>
      </c>
      <c r="X235" s="20" t="n">
        <v>0.0144764839790223</v>
      </c>
    </row>
    <row r="236" customFormat="false" ht="13.5" hidden="false" customHeight="true" outlineLevel="0" collapsed="false">
      <c r="A236" s="47" t="n">
        <v>42710</v>
      </c>
      <c r="B236" s="20" t="n">
        <v>0.0273129310778088</v>
      </c>
      <c r="C236" s="20" t="n">
        <v>0.0137010319088073</v>
      </c>
      <c r="D236" s="20" t="n">
        <v>-0.00621404274169101</v>
      </c>
      <c r="E236" s="20" t="n">
        <v>0.0390369615291752</v>
      </c>
      <c r="F236" s="20" t="n">
        <v>0.0183327223147946</v>
      </c>
      <c r="G236" s="20" t="n">
        <v>0.0167920397474383</v>
      </c>
      <c r="H236" s="20" t="n">
        <v>-0.00498256672764707</v>
      </c>
      <c r="I236" s="20" t="n">
        <v>0.00893527069856459</v>
      </c>
      <c r="J236" s="20" t="n">
        <v>0.0202027419179489</v>
      </c>
      <c r="K236" s="20" t="n">
        <v>0.0500104485318124</v>
      </c>
      <c r="L236" s="20" t="n">
        <v>0.0389586744502938</v>
      </c>
      <c r="M236" s="20" t="n">
        <v>-0.0117929313132645</v>
      </c>
      <c r="N236" s="20" t="n">
        <v>0.0111825747056566</v>
      </c>
      <c r="O236" s="20" t="n">
        <v>0.0275707262794866</v>
      </c>
      <c r="P236" s="20" t="n">
        <v>-0.0151820401024358</v>
      </c>
      <c r="Q236" s="20" t="n">
        <v>0.0122952254434616</v>
      </c>
      <c r="R236" s="20" t="n">
        <v>0.0138795680013181</v>
      </c>
      <c r="S236" s="20" t="n">
        <v>0.0218087758998222</v>
      </c>
      <c r="T236" s="20" t="n">
        <v>0.0209184696470954</v>
      </c>
      <c r="U236" s="20" t="n">
        <v>0.0171155292553022</v>
      </c>
      <c r="V236" s="20" t="n">
        <v>-0.0141998808645142</v>
      </c>
      <c r="W236" s="20" t="n">
        <v>0.0306679989898768</v>
      </c>
      <c r="X236" s="20" t="n">
        <v>-0.000756733200422576</v>
      </c>
    </row>
    <row r="237" customFormat="false" ht="13.5" hidden="false" customHeight="true" outlineLevel="0" collapsed="false">
      <c r="A237" s="47" t="n">
        <v>42711</v>
      </c>
      <c r="B237" s="20" t="n">
        <v>0.00345302378387923</v>
      </c>
      <c r="C237" s="20" t="n">
        <v>-0.0022176083524501</v>
      </c>
      <c r="D237" s="20" t="n">
        <v>-0.00282373394792045</v>
      </c>
      <c r="E237" s="20" t="n">
        <v>-0.00229978533483166</v>
      </c>
      <c r="F237" s="20" t="n">
        <v>0.0166963924419603</v>
      </c>
      <c r="G237" s="20" t="n">
        <v>0.0165146059717926</v>
      </c>
      <c r="H237" s="20" t="n">
        <v>-0.000999499404179982</v>
      </c>
      <c r="I237" s="20" t="n">
        <v>0.00296076919375654</v>
      </c>
      <c r="J237" s="20" t="n">
        <v>0.00884960687456559</v>
      </c>
      <c r="K237" s="20" t="n">
        <v>-0.0713912393531203</v>
      </c>
      <c r="L237" s="20" t="n">
        <v>-0.0243106197795412</v>
      </c>
      <c r="M237" s="20" t="n">
        <v>-0.00804768533643773</v>
      </c>
      <c r="N237" s="20" t="n">
        <v>-0.00619714961431849</v>
      </c>
      <c r="O237" s="20" t="n">
        <v>-0.000989387051408385</v>
      </c>
      <c r="P237" s="20" t="n">
        <v>0.0309180660174428</v>
      </c>
      <c r="Q237" s="20" t="n">
        <v>-0.0122952254434616</v>
      </c>
      <c r="R237" s="20" t="n">
        <v>-0.0305116732128825</v>
      </c>
      <c r="S237" s="20" t="n">
        <v>-0.00838578541239654</v>
      </c>
      <c r="T237" s="20" t="n">
        <v>0</v>
      </c>
      <c r="U237" s="20" t="n">
        <v>-0.00076474807006388</v>
      </c>
      <c r="V237" s="20" t="n">
        <v>-0.000181083301299622</v>
      </c>
      <c r="W237" s="20" t="n">
        <v>0.000174603059832634</v>
      </c>
      <c r="X237" s="20" t="n">
        <v>0.0187482056287122</v>
      </c>
    </row>
    <row r="238" customFormat="false" ht="13.5" hidden="false" customHeight="true" outlineLevel="0" collapsed="false">
      <c r="A238" s="47" t="n">
        <v>42712</v>
      </c>
      <c r="B238" s="20" t="n">
        <v>0.00699052891955886</v>
      </c>
      <c r="C238" s="20" t="n">
        <v>0.00789763934744014</v>
      </c>
      <c r="D238" s="20" t="n">
        <v>0.00977490052395957</v>
      </c>
      <c r="E238" s="20" t="n">
        <v>0.0106871509048311</v>
      </c>
      <c r="F238" s="20" t="n">
        <v>0.00608166022469847</v>
      </c>
      <c r="G238" s="20" t="n">
        <v>0.0171093103435326</v>
      </c>
      <c r="H238" s="20" t="n">
        <v>0.00697560727284307</v>
      </c>
      <c r="I238" s="20" t="n">
        <v>-0.0246926073039284</v>
      </c>
      <c r="J238" s="20" t="n">
        <v>0</v>
      </c>
      <c r="K238" s="20" t="n">
        <v>0.0143045836818206</v>
      </c>
      <c r="L238" s="20" t="n">
        <v>-0.0180591650147099</v>
      </c>
      <c r="M238" s="20" t="n">
        <v>0.0242668425447316</v>
      </c>
      <c r="N238" s="20" t="n">
        <v>-0.000414438204199285</v>
      </c>
      <c r="O238" s="20" t="n">
        <v>-0.000742635978107308</v>
      </c>
      <c r="P238" s="20" t="n">
        <v>0.00544958089576663</v>
      </c>
      <c r="Q238" s="20" t="n">
        <v>0.0082135908972174</v>
      </c>
      <c r="R238" s="20" t="n">
        <v>0.0255321840771971</v>
      </c>
      <c r="S238" s="20" t="n">
        <v>0.00699306207422667</v>
      </c>
      <c r="T238" s="20" t="n">
        <v>0.00366601652321119</v>
      </c>
      <c r="U238" s="20" t="n">
        <v>0.0138267955546789</v>
      </c>
      <c r="V238" s="20" t="n">
        <v>0.0322465165318792</v>
      </c>
      <c r="W238" s="20" t="n">
        <v>-0.0026217182801238</v>
      </c>
      <c r="X238" s="20" t="n">
        <v>0.00370784186308759</v>
      </c>
    </row>
    <row r="239" customFormat="false" ht="13.5" hidden="false" customHeight="true" outlineLevel="0" collapsed="false">
      <c r="A239" s="47" t="n">
        <v>42713</v>
      </c>
      <c r="B239" s="20" t="n">
        <v>-0.00614425316700106</v>
      </c>
      <c r="C239" s="20" t="n">
        <v>0.00251415301226343</v>
      </c>
      <c r="D239" s="20" t="n">
        <v>-0.00354345366175401</v>
      </c>
      <c r="E239" s="20" t="n">
        <v>-0.0269350938603389</v>
      </c>
      <c r="F239" s="20" t="n">
        <v>-0.0210073166901616</v>
      </c>
      <c r="G239" s="20" t="n">
        <v>-0.0162321696920293</v>
      </c>
      <c r="H239" s="20" t="n">
        <v>-0.0415670193154393</v>
      </c>
      <c r="I239" s="20" t="n">
        <v>-0.00303490084036761</v>
      </c>
      <c r="J239" s="20" t="n">
        <v>-0.0200229503344588</v>
      </c>
      <c r="K239" s="20" t="n">
        <v>0.124859276758631</v>
      </c>
      <c r="L239" s="20" t="n">
        <v>0.00227536592485622</v>
      </c>
      <c r="M239" s="20" t="n">
        <v>0.0218417649425854</v>
      </c>
      <c r="N239" s="20" t="n">
        <v>-0.00790849197993681</v>
      </c>
      <c r="O239" s="20" t="n">
        <v>0.0181599558350624</v>
      </c>
      <c r="P239" s="20" t="n">
        <v>-0.00233188853378374</v>
      </c>
      <c r="Q239" s="20" t="n">
        <v>-0.0144183125063193</v>
      </c>
      <c r="R239" s="20" t="n">
        <v>-0.00500431289523017</v>
      </c>
      <c r="S239" s="20" t="n">
        <v>-0.0126229097021091</v>
      </c>
      <c r="T239" s="20" t="n">
        <v>0.00365268914133087</v>
      </c>
      <c r="U239" s="20" t="n">
        <v>0.00331427284103469</v>
      </c>
      <c r="V239" s="20" t="n">
        <v>-0.00862760308594445</v>
      </c>
      <c r="W239" s="20" t="n">
        <v>-0.0240890258058419</v>
      </c>
      <c r="X239" s="20" t="n">
        <v>-0.0156661193450928</v>
      </c>
    </row>
    <row r="240" customFormat="false" ht="13.5" hidden="false" customHeight="true" outlineLevel="0" collapsed="false">
      <c r="A240" s="47" t="n">
        <v>42716</v>
      </c>
      <c r="B240" s="20" t="n">
        <v>0.0167174470132343</v>
      </c>
      <c r="C240" s="20" t="n">
        <v>-0.00377360386025715</v>
      </c>
      <c r="D240" s="20" t="n">
        <v>0.0151195361575178</v>
      </c>
      <c r="E240" s="20" t="n">
        <v>-0.0039077217966108</v>
      </c>
      <c r="F240" s="20" t="n">
        <v>0</v>
      </c>
      <c r="G240" s="20" t="n">
        <v>0.0058274334497268</v>
      </c>
      <c r="H240" s="20" t="n">
        <v>0.0204925008655842</v>
      </c>
      <c r="I240" s="20" t="n">
        <v>0.0068156381298845</v>
      </c>
      <c r="J240" s="20" t="n">
        <v>0.0200229503344588</v>
      </c>
      <c r="K240" s="20" t="n">
        <v>0.0548765980256191</v>
      </c>
      <c r="L240" s="20" t="n">
        <v>-0.0358627697943125</v>
      </c>
      <c r="M240" s="20" t="n">
        <v>0.0131843173940144</v>
      </c>
      <c r="N240" s="20" t="n">
        <v>0.0206789830883593</v>
      </c>
      <c r="O240" s="20" t="n">
        <v>0.00581964978587867</v>
      </c>
      <c r="P240" s="20" t="n">
        <v>0.00233188853378374</v>
      </c>
      <c r="Q240" s="20" t="n">
        <v>0.0123712796391615</v>
      </c>
      <c r="R240" s="20" t="n">
        <v>0.00525392947517922</v>
      </c>
      <c r="S240" s="20" t="n">
        <v>0.00983156380490157</v>
      </c>
      <c r="T240" s="20" t="n">
        <v>0.0138251074512028</v>
      </c>
      <c r="U240" s="20" t="n">
        <v>0.00300352496672928</v>
      </c>
      <c r="V240" s="20" t="n">
        <v>0.0109040641769206</v>
      </c>
      <c r="W240" s="20" t="n">
        <v>0.001075100871609</v>
      </c>
      <c r="X240" s="20" t="n">
        <v>-0.00376649713644416</v>
      </c>
    </row>
    <row r="241" customFormat="false" ht="13.5" hidden="false" customHeight="true" outlineLevel="0" collapsed="false">
      <c r="A241" s="47" t="n">
        <v>42717</v>
      </c>
      <c r="B241" s="20" t="n">
        <v>0.00130642078365283</v>
      </c>
      <c r="C241" s="20" t="n">
        <v>-0.00759013557802346</v>
      </c>
      <c r="D241" s="20" t="n">
        <v>-0.0142325231020929</v>
      </c>
      <c r="E241" s="20" t="n">
        <v>-0.0189729582944311</v>
      </c>
      <c r="F241" s="20" t="n">
        <v>0.00265015460021222</v>
      </c>
      <c r="G241" s="20" t="n">
        <v>0.00867818736466219</v>
      </c>
      <c r="H241" s="20" t="n">
        <v>-0.0236029202813492</v>
      </c>
      <c r="I241" s="20" t="n">
        <v>-0.0646894697840685</v>
      </c>
      <c r="J241" s="20" t="n">
        <v>-0.00662979938640129</v>
      </c>
      <c r="K241" s="20" t="n">
        <v>-0.0577296642910047</v>
      </c>
      <c r="L241" s="20" t="n">
        <v>-0.0250460372169527</v>
      </c>
      <c r="M241" s="20" t="n">
        <v>-0.000304710923850315</v>
      </c>
      <c r="N241" s="20" t="n">
        <v>-0.0231894222522561</v>
      </c>
      <c r="O241" s="20" t="n">
        <v>-0.00630616058104216</v>
      </c>
      <c r="P241" s="20" t="n">
        <v>-0.050149792570636</v>
      </c>
      <c r="Q241" s="20" t="n">
        <v>-0.0207046529197394</v>
      </c>
      <c r="R241" s="20" t="n">
        <v>-0.0149585145629504</v>
      </c>
      <c r="S241" s="20" t="n">
        <v>-0.00350019185490912</v>
      </c>
      <c r="T241" s="20" t="n">
        <v>-0.00425884574066781</v>
      </c>
      <c r="U241" s="20" t="n">
        <v>-0.0113097785842475</v>
      </c>
      <c r="V241" s="20" t="n">
        <v>0.0229975009901748</v>
      </c>
      <c r="W241" s="20" t="n">
        <v>-0.0206267378110673</v>
      </c>
      <c r="X241" s="20" t="n">
        <v>-0.0113852931052993</v>
      </c>
    </row>
    <row r="242" customFormat="false" ht="13.5" hidden="false" customHeight="true" outlineLevel="0" collapsed="false">
      <c r="A242" s="47" t="n">
        <v>42718</v>
      </c>
      <c r="B242" s="20" t="n">
        <v>-0.00291201724901579</v>
      </c>
      <c r="C242" s="20" t="n">
        <v>-0.0076482500885695</v>
      </c>
      <c r="D242" s="20" t="n">
        <v>0.0532347282811347</v>
      </c>
      <c r="E242" s="20" t="n">
        <v>0.00398249761077407</v>
      </c>
      <c r="F242" s="20" t="n">
        <v>0.0213841782315191</v>
      </c>
      <c r="G242" s="20" t="n">
        <v>0.0350912591931669</v>
      </c>
      <c r="H242" s="20" t="n">
        <v>-0.0010389601287204</v>
      </c>
      <c r="I242" s="20" t="n">
        <v>-0.0186921735780098</v>
      </c>
      <c r="J242" s="20" t="n">
        <v>-0.00444455348618677</v>
      </c>
      <c r="K242" s="20" t="n">
        <v>0.0130572402324229</v>
      </c>
      <c r="L242" s="20" t="n">
        <v>0.0203234826495974</v>
      </c>
      <c r="M242" s="20" t="n">
        <v>-0.00213511428221391</v>
      </c>
      <c r="N242" s="20" t="n">
        <v>0.00418054429101744</v>
      </c>
      <c r="O242" s="20" t="n">
        <v>0.00968534286047173</v>
      </c>
      <c r="P242" s="20" t="n">
        <v>-0.000816678606052612</v>
      </c>
      <c r="Q242" s="20" t="n">
        <v>0.00625648182520044</v>
      </c>
      <c r="R242" s="20" t="n">
        <v>-0.00852149091652698</v>
      </c>
      <c r="S242" s="20" t="n">
        <v>0.0160003094999736</v>
      </c>
      <c r="T242" s="20" t="n">
        <v>0.00556557603531082</v>
      </c>
      <c r="U242" s="20" t="n">
        <v>0.00484115444362398</v>
      </c>
      <c r="V242" s="20" t="n">
        <v>0.00256084687836377</v>
      </c>
      <c r="W242" s="20" t="n">
        <v>0.0089180291928006</v>
      </c>
      <c r="X242" s="20" t="n">
        <v>0.0181547925989185</v>
      </c>
    </row>
    <row r="243" customFormat="false" ht="13.5" hidden="false" customHeight="true" outlineLevel="0" collapsed="false">
      <c r="A243" s="47" t="n">
        <v>42719</v>
      </c>
      <c r="B243" s="20" t="n">
        <v>-0.00770733341764984</v>
      </c>
      <c r="C243" s="20" t="n">
        <v>0.015553443975294</v>
      </c>
      <c r="D243" s="20" t="n">
        <v>0.0268193404663152</v>
      </c>
      <c r="E243" s="20" t="n">
        <v>0.00396670021584544</v>
      </c>
      <c r="F243" s="20" t="n">
        <v>-0.0218253972503101</v>
      </c>
      <c r="G243" s="20" t="n">
        <v>-0.000556340999060545</v>
      </c>
      <c r="H243" s="20" t="n">
        <v>-0.0327552180311292</v>
      </c>
      <c r="I243" s="20" t="n">
        <v>0.0275098385266661</v>
      </c>
      <c r="J243" s="20" t="n">
        <v>0.00665933884609026</v>
      </c>
      <c r="K243" s="20" t="n">
        <v>0.00394032006298539</v>
      </c>
      <c r="L243" s="20" t="n">
        <v>-0.0336975005866935</v>
      </c>
      <c r="M243" s="20" t="n">
        <v>0.00274432714937011</v>
      </c>
      <c r="N243" s="20" t="n">
        <v>0.00830917807169129</v>
      </c>
      <c r="O243" s="20" t="n">
        <v>0.00408797425591167</v>
      </c>
      <c r="P243" s="20" t="n">
        <v>-0.00409334931453075</v>
      </c>
      <c r="Q243" s="20" t="n">
        <v>0.020576838507941</v>
      </c>
      <c r="R243" s="20" t="n">
        <v>0.0160915306855429</v>
      </c>
      <c r="S243" s="20" t="n">
        <v>-0.0118016003154015</v>
      </c>
      <c r="T243" s="20" t="n">
        <v>-0.00130673029464301</v>
      </c>
      <c r="U243" s="20" t="n">
        <v>0.0117030407183902</v>
      </c>
      <c r="V243" s="20" t="n">
        <v>-0.000511684054432137</v>
      </c>
      <c r="W243" s="20" t="n">
        <v>0.00271422454761882</v>
      </c>
      <c r="X243" s="20" t="n">
        <v>-0.0242803799869277</v>
      </c>
    </row>
    <row r="244" customFormat="false" ht="13.5" hidden="false" customHeight="true" outlineLevel="0" collapsed="false">
      <c r="A244" s="47" t="n">
        <v>42720</v>
      </c>
      <c r="B244" s="20" t="n">
        <v>-0.00029994933488453</v>
      </c>
      <c r="C244" s="20" t="n">
        <v>0.00534005192084796</v>
      </c>
      <c r="D244" s="20" t="n">
        <v>0.00149936119623905</v>
      </c>
      <c r="E244" s="20" t="n">
        <v>0.00237245923983575</v>
      </c>
      <c r="F244" s="20" t="n">
        <v>-0.00797524420372353</v>
      </c>
      <c r="G244" s="20" t="n">
        <v>-0.00167077618506228</v>
      </c>
      <c r="H244" s="20" t="n">
        <v>-0.0206192679960828</v>
      </c>
      <c r="I244" s="20" t="n">
        <v>-0.0128515704439111</v>
      </c>
      <c r="J244" s="20" t="n">
        <v>0.00220999618590855</v>
      </c>
      <c r="K244" s="20" t="n">
        <v>-0.0917211352660012</v>
      </c>
      <c r="L244" s="20" t="n">
        <v>-0.0566545813507786</v>
      </c>
      <c r="M244" s="20" t="n">
        <v>-0.00030450194330589</v>
      </c>
      <c r="N244" s="20" t="n">
        <v>0.000827148827608148</v>
      </c>
      <c r="O244" s="20" t="n">
        <v>0.010741260414349</v>
      </c>
      <c r="P244" s="20" t="n">
        <v>0.0186921735780098</v>
      </c>
      <c r="Q244" s="20" t="n">
        <v>-0.0143591584745017</v>
      </c>
      <c r="R244" s="20" t="n">
        <v>0.00463983215654817</v>
      </c>
      <c r="S244" s="20" t="n">
        <v>-0.00841518904615945</v>
      </c>
      <c r="T244" s="20" t="n">
        <v>0.00521683110155235</v>
      </c>
      <c r="U244" s="20" t="n">
        <v>0.010682612039961</v>
      </c>
      <c r="V244" s="20" t="n">
        <v>0.0135549221572572</v>
      </c>
      <c r="W244" s="20" t="n">
        <v>-0.0021707485078739</v>
      </c>
      <c r="X244" s="20" t="n">
        <v>0.00536191963971477</v>
      </c>
    </row>
    <row r="245" customFormat="false" ht="13.5" hidden="false" customHeight="true" outlineLevel="0" collapsed="false">
      <c r="A245" s="47" t="n">
        <v>42723</v>
      </c>
      <c r="B245" s="20" t="n">
        <v>0.00550446185268516</v>
      </c>
      <c r="C245" s="20" t="n">
        <v>0.0102852325643394</v>
      </c>
      <c r="D245" s="20" t="n">
        <v>-0.000544971631671664</v>
      </c>
      <c r="E245" s="20" t="n">
        <v>0.00943402339184151</v>
      </c>
      <c r="F245" s="20" t="n">
        <v>0.0101793111412873</v>
      </c>
      <c r="G245" s="20" t="n">
        <v>-0.0109290530072119</v>
      </c>
      <c r="H245" s="20" t="n">
        <v>0.030239933247214</v>
      </c>
      <c r="I245" s="20" t="n">
        <v>-0.00405024381829566</v>
      </c>
      <c r="J245" s="20" t="n">
        <v>0</v>
      </c>
      <c r="K245" s="20" t="n">
        <v>-0.0224168129057506</v>
      </c>
      <c r="L245" s="20" t="n">
        <v>0.0230484346853656</v>
      </c>
      <c r="M245" s="20" t="n">
        <v>0.000608911193402672</v>
      </c>
      <c r="N245" s="20" t="n">
        <v>-0.00248350184228396</v>
      </c>
      <c r="O245" s="20" t="n">
        <v>0.00827531116098168</v>
      </c>
      <c r="P245" s="20" t="n">
        <v>0.00722026012656717</v>
      </c>
      <c r="Q245" s="20" t="n">
        <v>-0.00206830038633021</v>
      </c>
      <c r="R245" s="20" t="n">
        <v>-0.00112666932086202</v>
      </c>
      <c r="S245" s="20" t="n">
        <v>0.00981089463700968</v>
      </c>
      <c r="T245" s="20" t="n">
        <v>-0.00619804742991458</v>
      </c>
      <c r="U245" s="20" t="n">
        <v>-0.00621772251967378</v>
      </c>
      <c r="V245" s="20" t="n">
        <v>-0.00506158064595574</v>
      </c>
      <c r="W245" s="20" t="n">
        <v>0.0158105567211972</v>
      </c>
      <c r="X245" s="20" t="n">
        <v>0.020416550832051</v>
      </c>
    </row>
    <row r="246" customFormat="false" ht="13.5" hidden="false" customHeight="true" outlineLevel="0" collapsed="false">
      <c r="A246" s="47" t="n">
        <v>42724</v>
      </c>
      <c r="B246" s="20" t="n">
        <v>-0.00161230301588144</v>
      </c>
      <c r="C246" s="20" t="n">
        <v>-0.00372788441426319</v>
      </c>
      <c r="D246" s="20" t="n">
        <v>-0.00177313360038589</v>
      </c>
      <c r="E246" s="20" t="n">
        <v>-0.0110150121747945</v>
      </c>
      <c r="F246" s="20" t="n">
        <v>-0.00352889324317251</v>
      </c>
      <c r="G246" s="20" t="n">
        <v>-0.00792090678743262</v>
      </c>
      <c r="H246" s="20" t="n">
        <v>0.00530504699591838</v>
      </c>
      <c r="I246" s="20" t="n">
        <v>0.00808414931355061</v>
      </c>
      <c r="J246" s="20" t="n">
        <v>0</v>
      </c>
      <c r="K246" s="20" t="n">
        <v>-0.0107630535336285</v>
      </c>
      <c r="L246" s="20" t="n">
        <v>0.00126499094425502</v>
      </c>
      <c r="M246" s="20" t="n">
        <v>-0.0137932285874171</v>
      </c>
      <c r="N246" s="20" t="n">
        <v>-0.015031544227126</v>
      </c>
      <c r="O246" s="20" t="n">
        <v>-0.00259343792601196</v>
      </c>
      <c r="P246" s="20" t="n">
        <v>-0.0169290648894588</v>
      </c>
      <c r="Q246" s="20" t="n">
        <v>0.00206830038633021</v>
      </c>
      <c r="R246" s="20" t="n">
        <v>0.000125269416601625</v>
      </c>
      <c r="S246" s="20" t="n">
        <v>0.00278551443904806</v>
      </c>
      <c r="T246" s="20" t="n">
        <v>-0.00459165748344592</v>
      </c>
      <c r="U246" s="20" t="n">
        <v>-0.00104003721542245</v>
      </c>
      <c r="V246" s="20" t="n">
        <v>-0.00729992740186435</v>
      </c>
      <c r="W246" s="20" t="n">
        <v>-0.00697613773046512</v>
      </c>
      <c r="X246" s="20" t="n">
        <v>-0.00224801394354789</v>
      </c>
    </row>
    <row r="247" customFormat="false" ht="13.5" hidden="false" customHeight="true" outlineLevel="0" collapsed="false">
      <c r="A247" s="47" t="n">
        <v>42725</v>
      </c>
      <c r="B247" s="20" t="n">
        <v>-0.00161490673544673</v>
      </c>
      <c r="C247" s="20" t="n">
        <v>-0.00969514090503675</v>
      </c>
      <c r="D247" s="20" t="n">
        <v>0.000136538613066505</v>
      </c>
      <c r="E247" s="20" t="n">
        <v>-0.019169974033018</v>
      </c>
      <c r="F247" s="20" t="n">
        <v>-0.003984873330928</v>
      </c>
      <c r="G247" s="20" t="n">
        <v>-0.00655365066103241</v>
      </c>
      <c r="H247" s="20" t="n">
        <v>0.0240471364038645</v>
      </c>
      <c r="I247" s="20" t="n">
        <v>-0.00484265839554032</v>
      </c>
      <c r="J247" s="20" t="n">
        <v>-0.00442478154581205</v>
      </c>
      <c r="K247" s="20" t="n">
        <v>0.05510523573541</v>
      </c>
      <c r="L247" s="20" t="n">
        <v>-0.0152869075033166</v>
      </c>
      <c r="M247" s="20" t="n">
        <v>-0.00185361102610936</v>
      </c>
      <c r="N247" s="20" t="n">
        <v>0.00419817487909313</v>
      </c>
      <c r="O247" s="20" t="n">
        <v>0.00846268808456729</v>
      </c>
      <c r="P247" s="20" t="n">
        <v>-0.00734398663841728</v>
      </c>
      <c r="Q247" s="20" t="n">
        <v>-0.0145684513533481</v>
      </c>
      <c r="R247" s="20" t="n">
        <v>-0.0133637586742665</v>
      </c>
      <c r="S247" s="20" t="n">
        <v>-0.00627837097895112</v>
      </c>
      <c r="T247" s="20" t="n">
        <v>0.00131402807114033</v>
      </c>
      <c r="U247" s="20" t="n">
        <v>0.00607639767194001</v>
      </c>
      <c r="V247" s="20" t="n">
        <v>0.00119199156971117</v>
      </c>
      <c r="W247" s="20" t="n">
        <v>0.000717762741309968</v>
      </c>
      <c r="X247" s="20" t="n">
        <v>0</v>
      </c>
    </row>
    <row r="248" customFormat="false" ht="13.5" hidden="false" customHeight="true" outlineLevel="0" collapsed="false">
      <c r="A248" s="47" t="n">
        <v>42726</v>
      </c>
      <c r="B248" s="20" t="n">
        <v>-0.00209719848114087</v>
      </c>
      <c r="C248" s="20" t="n">
        <v>0.00188386933903617</v>
      </c>
      <c r="D248" s="20" t="n">
        <v>0.00720844696723244</v>
      </c>
      <c r="E248" s="20" t="n">
        <v>0.00482707457355857</v>
      </c>
      <c r="F248" s="20" t="n">
        <v>0.00265837392790757</v>
      </c>
      <c r="G248" s="20" t="n">
        <v>0.00285476319650701</v>
      </c>
      <c r="H248" s="20" t="n">
        <v>0.0194379336656749</v>
      </c>
      <c r="I248" s="20" t="n">
        <v>0.0192314199801848</v>
      </c>
      <c r="J248" s="20" t="n">
        <v>0</v>
      </c>
      <c r="K248" s="20" t="n">
        <v>0.00600601846999193</v>
      </c>
      <c r="L248" s="20" t="n">
        <v>-0.0103226624627761</v>
      </c>
      <c r="M248" s="20" t="n">
        <v>0.00431964233256687</v>
      </c>
      <c r="N248" s="20" t="n">
        <v>0.00792821284038591</v>
      </c>
      <c r="O248" s="20" t="n">
        <v>0.00023401571654924</v>
      </c>
      <c r="P248" s="20" t="n">
        <v>-0.00904980711773495</v>
      </c>
      <c r="Q248" s="20" t="n">
        <v>0.0186921644828863</v>
      </c>
      <c r="R248" s="20" t="n">
        <v>0.0044323313675374</v>
      </c>
      <c r="S248" s="20" t="n">
        <v>0.00209715094905282</v>
      </c>
      <c r="T248" s="20" t="n">
        <v>0.00229551182732512</v>
      </c>
      <c r="U248" s="20" t="n">
        <v>0.000590855483608265</v>
      </c>
      <c r="V248" s="20" t="n">
        <v>0.0143620327300242</v>
      </c>
      <c r="W248" s="20" t="n">
        <v>0.00375972309666394</v>
      </c>
      <c r="X248" s="20" t="n">
        <v>0.00672900876148796</v>
      </c>
    </row>
    <row r="249" customFormat="false" ht="13.5" hidden="false" customHeight="true" outlineLevel="0" collapsed="false">
      <c r="A249" s="47" t="n">
        <v>42727</v>
      </c>
      <c r="B249" s="20" t="n">
        <v>0.00257596468888099</v>
      </c>
      <c r="C249" s="20" t="n">
        <v>0.000627127156864748</v>
      </c>
      <c r="D249" s="20" t="n">
        <v>0.000270957227581192</v>
      </c>
      <c r="E249" s="20" t="n">
        <v>-0.00563379307014555</v>
      </c>
      <c r="F249" s="20" t="n">
        <v>0.000442390127207925</v>
      </c>
      <c r="G249" s="20" t="n">
        <v>0.00256217472239583</v>
      </c>
      <c r="H249" s="20" t="n">
        <v>0.00404449109396543</v>
      </c>
      <c r="I249" s="20" t="n">
        <v>0.0204248478797177</v>
      </c>
      <c r="J249" s="20" t="n">
        <v>0.00442478154581205</v>
      </c>
      <c r="K249" s="20" t="n">
        <v>0.0352978188039715</v>
      </c>
      <c r="L249" s="20" t="n">
        <v>0.0243445790218377</v>
      </c>
      <c r="M249" s="20" t="n">
        <v>0.00153820176003405</v>
      </c>
      <c r="N249" s="20" t="n">
        <v>0.00331950203593489</v>
      </c>
      <c r="O249" s="20" t="n">
        <v>-0.00187392922854989</v>
      </c>
      <c r="P249" s="20" t="n">
        <v>0.00330032978252603</v>
      </c>
      <c r="Q249" s="20" t="n">
        <v>0.00615381079871935</v>
      </c>
      <c r="R249" s="20" t="n">
        <v>0.00189360058589915</v>
      </c>
      <c r="S249" s="20" t="n">
        <v>0.00139570559085022</v>
      </c>
      <c r="T249" s="20" t="n">
        <v>0.00490115720848294</v>
      </c>
      <c r="U249" s="20" t="n">
        <v>0.00147555690702816</v>
      </c>
      <c r="V249" s="20" t="n">
        <v>-0.00470824433815764</v>
      </c>
      <c r="W249" s="20" t="n">
        <v>-0.000178685042864223</v>
      </c>
      <c r="X249" s="20" t="n">
        <v>0.00148916664489373</v>
      </c>
    </row>
    <row r="250" customFormat="false" ht="13.5" hidden="false" customHeight="true" outlineLevel="0" collapsed="false">
      <c r="A250" s="47" t="n">
        <v>42731</v>
      </c>
      <c r="B250" s="20" t="n">
        <v>-0.00570005409166718</v>
      </c>
      <c r="C250" s="20" t="n">
        <v>-0.00628929045993675</v>
      </c>
      <c r="D250" s="20" t="n">
        <v>-0.010213202754377</v>
      </c>
      <c r="E250" s="20" t="n">
        <v>-0.01136378635998</v>
      </c>
      <c r="F250" s="20" t="n">
        <v>-0.0124612508492298</v>
      </c>
      <c r="G250" s="20" t="n">
        <v>-0.0140302337108146</v>
      </c>
      <c r="H250" s="20" t="n">
        <v>0.027862543302765</v>
      </c>
      <c r="I250" s="20" t="n">
        <v>0.0230602221898217</v>
      </c>
      <c r="J250" s="20" t="n">
        <v>-0.00664458903397635</v>
      </c>
      <c r="K250" s="20" t="n">
        <v>-0.0174931404234094</v>
      </c>
      <c r="L250" s="20" t="n">
        <v>0.0150757074113831</v>
      </c>
      <c r="M250" s="20" t="n">
        <v>-0.00554872918071147</v>
      </c>
      <c r="N250" s="20" t="n">
        <v>-0.00456711206267046</v>
      </c>
      <c r="O250" s="20" t="n">
        <v>-0.00305274547485856</v>
      </c>
      <c r="P250" s="20" t="n">
        <v>-0.00330032978252603</v>
      </c>
      <c r="Q250" s="20" t="n">
        <v>0.00408163454624421</v>
      </c>
      <c r="R250" s="20" t="n">
        <v>-0.00315796380817445</v>
      </c>
      <c r="S250" s="20" t="n">
        <v>-0.0140451610635139</v>
      </c>
      <c r="T250" s="20" t="n">
        <v>-0.0085106971069484</v>
      </c>
      <c r="U250" s="20" t="n">
        <v>-0.00458136550075316</v>
      </c>
      <c r="V250" s="20" t="n">
        <v>-0.0122097702306414</v>
      </c>
      <c r="W250" s="20" t="n">
        <v>-0.0113239471140245</v>
      </c>
      <c r="X250" s="20" t="n">
        <v>-0.014237751441291</v>
      </c>
    </row>
    <row r="251" customFormat="false" ht="13.5" hidden="false" customHeight="true" outlineLevel="0" collapsed="false">
      <c r="A251" s="47" t="n">
        <v>42732</v>
      </c>
      <c r="B251" s="20" t="n">
        <v>0.00246403953860507</v>
      </c>
      <c r="C251" s="20" t="n">
        <v>0.000315393221972826</v>
      </c>
      <c r="D251" s="20" t="n">
        <v>0.00682037859612183</v>
      </c>
      <c r="E251" s="20" t="n">
        <v>-0.00163402472122831</v>
      </c>
      <c r="F251" s="20" t="n">
        <v>-0.0148886090770936</v>
      </c>
      <c r="G251" s="20" t="n">
        <v>-0.0025985333516969</v>
      </c>
      <c r="H251" s="20" t="n">
        <v>0.0155796572854487</v>
      </c>
      <c r="I251" s="20" t="n">
        <v>0.0525463117734261</v>
      </c>
      <c r="J251" s="20" t="n">
        <v>-0.00668903508778884</v>
      </c>
      <c r="K251" s="20" t="n">
        <v>0.00235014705703728</v>
      </c>
      <c r="L251" s="20" t="n">
        <v>-0.0138107164671281</v>
      </c>
      <c r="M251" s="20" t="n">
        <v>0.00431842756294464</v>
      </c>
      <c r="N251" s="20" t="n">
        <v>0</v>
      </c>
      <c r="O251" s="20" t="n">
        <v>0.00328714522677575</v>
      </c>
      <c r="P251" s="20" t="n">
        <v>-0.0225668125880158</v>
      </c>
      <c r="Q251" s="20" t="n">
        <v>0.00811362731883713</v>
      </c>
      <c r="R251" s="20" t="n">
        <v>-0.000506212555679397</v>
      </c>
      <c r="S251" s="20" t="n">
        <v>-0.00212394321583042</v>
      </c>
      <c r="T251" s="20" t="n">
        <v>0.00131402807114033</v>
      </c>
      <c r="U251" s="20" t="n">
        <v>0.00502359709492505</v>
      </c>
      <c r="V251" s="20" t="n">
        <v>0.00493577566168745</v>
      </c>
      <c r="W251" s="20" t="n">
        <v>-0.00871464380347042</v>
      </c>
      <c r="X251" s="20" t="n">
        <v>-0.0129132122360489</v>
      </c>
    </row>
    <row r="252" customFormat="false" ht="13.5" hidden="false" customHeight="true" outlineLevel="0" collapsed="false">
      <c r="A252" s="47" t="n">
        <v>42733</v>
      </c>
      <c r="B252" s="20" t="n">
        <v>-0.00366818769701815</v>
      </c>
      <c r="C252" s="20" t="n">
        <v>-0.00347499687952179</v>
      </c>
      <c r="D252" s="20" t="n">
        <v>-0.000135878007067269</v>
      </c>
      <c r="E252" s="20" t="n">
        <v>-0.00821017987901351</v>
      </c>
      <c r="F252" s="20" t="n">
        <v>0.00453517242646439</v>
      </c>
      <c r="G252" s="20" t="n">
        <v>-0.00231553888760993</v>
      </c>
      <c r="H252" s="20" t="n">
        <v>-0.00678625309635361</v>
      </c>
      <c r="I252" s="20" t="n">
        <v>-0.0196584052845221</v>
      </c>
      <c r="J252" s="20" t="n">
        <v>-0.00448430837210445</v>
      </c>
      <c r="K252" s="20" t="n">
        <v>0.00934588129076396</v>
      </c>
      <c r="L252" s="20" t="n">
        <v>-0.037351407808996</v>
      </c>
      <c r="M252" s="20" t="n">
        <v>-0.000307900142267225</v>
      </c>
      <c r="N252" s="20" t="n">
        <v>-0.0104581581853371</v>
      </c>
      <c r="O252" s="20" t="n">
        <v>-0.00305202890299094</v>
      </c>
      <c r="P252" s="20" t="n">
        <v>-0.00763687663705026</v>
      </c>
      <c r="Q252" s="20" t="n">
        <v>-0.00811362731883713</v>
      </c>
      <c r="R252" s="20" t="n">
        <v>-0.00113984352539375</v>
      </c>
      <c r="S252" s="20" t="n">
        <v>-0.0171555154570746</v>
      </c>
      <c r="T252" s="20" t="n">
        <v>-0.007910383287272</v>
      </c>
      <c r="U252" s="20" t="n">
        <v>-0.00339552589424041</v>
      </c>
      <c r="V252" s="20" t="n">
        <v>-0.00784055318046661</v>
      </c>
      <c r="W252" s="20" t="n">
        <v>0.00491134149376204</v>
      </c>
      <c r="X252" s="20" t="n">
        <v>0.0106465144262086</v>
      </c>
    </row>
    <row r="253" customFormat="false" ht="13.5" hidden="false" customHeight="true" outlineLevel="0" collapsed="false">
      <c r="A253" s="47" t="n">
        <v>42734</v>
      </c>
      <c r="B253" s="20" t="n">
        <v>0.00720332618066876</v>
      </c>
      <c r="C253" s="20" t="n">
        <v>0.00284404833608675</v>
      </c>
      <c r="D253" s="20" t="n">
        <v>0.0141749982158394</v>
      </c>
      <c r="E253" s="20" t="n">
        <v>0.0372211277855303</v>
      </c>
      <c r="F253" s="20" t="n">
        <v>0.0192701591363144</v>
      </c>
      <c r="G253" s="20" t="n">
        <v>-0.0231579191379829</v>
      </c>
      <c r="H253" s="20" t="n">
        <v>0.040043443205781</v>
      </c>
      <c r="I253" s="20" t="n">
        <v>0.0325525885639392</v>
      </c>
      <c r="J253" s="20" t="n">
        <v>-0.0022496639847569</v>
      </c>
      <c r="K253" s="20" t="n">
        <v>0.0342890407716151</v>
      </c>
      <c r="L253" s="20" t="n">
        <v>0.0548957604441819</v>
      </c>
      <c r="M253" s="20" t="n">
        <v>0.0158830602667121</v>
      </c>
      <c r="N253" s="20" t="n">
        <v>0.0639338249477559</v>
      </c>
      <c r="O253" s="20" t="n">
        <v>0.0114554539169255</v>
      </c>
      <c r="P253" s="20" t="n">
        <v>0.0168922779166256</v>
      </c>
      <c r="Q253" s="20" t="n">
        <v>0.0320669407318856</v>
      </c>
      <c r="R253" s="20" t="n">
        <v>0.0180840642514903</v>
      </c>
      <c r="S253" s="20" t="n">
        <v>0.0128941832794171</v>
      </c>
      <c r="T253" s="20" t="n">
        <v>0.0105333956454258</v>
      </c>
      <c r="U253" s="20" t="n">
        <v>0.00014779307732482</v>
      </c>
      <c r="V253" s="20" t="n">
        <v>0.0171350725867496</v>
      </c>
      <c r="W253" s="20" t="n">
        <v>0.0160204917648547</v>
      </c>
      <c r="X253" s="20" t="n">
        <v>0.00753578757875716</v>
      </c>
    </row>
    <row r="254" customFormat="false" ht="13.5" hidden="false" customHeight="true" outlineLevel="0" collapsed="false">
      <c r="A254" s="47" t="n">
        <v>42738</v>
      </c>
      <c r="B254" s="20" t="n">
        <v>0.0123050569358191</v>
      </c>
      <c r="C254" s="20" t="n">
        <v>0.000315555321462213</v>
      </c>
      <c r="D254" s="20" t="n">
        <v>0.00160732350204639</v>
      </c>
      <c r="E254" s="20" t="n">
        <v>0.0450386613721751</v>
      </c>
      <c r="F254" s="20" t="n">
        <v>0.0184701848290078</v>
      </c>
      <c r="G254" s="20" t="n">
        <v>-0.014337148852177</v>
      </c>
      <c r="H254" s="20" t="n">
        <v>0.0129992424570333</v>
      </c>
      <c r="I254" s="20" t="n">
        <v>0.0148360216815794</v>
      </c>
      <c r="J254" s="20" t="n">
        <v>0.0200675964786265</v>
      </c>
      <c r="K254" s="20" t="n">
        <v>0.0222231816777007</v>
      </c>
      <c r="L254" s="20" t="n">
        <v>0</v>
      </c>
      <c r="M254" s="20" t="n">
        <v>0.00874951762202513</v>
      </c>
      <c r="N254" s="20" t="n">
        <v>0.00511506765304803</v>
      </c>
      <c r="O254" s="20" t="n">
        <v>-0.00582820153856911</v>
      </c>
      <c r="P254" s="20" t="n">
        <v>0.0812017005963077</v>
      </c>
      <c r="Q254" s="20" t="n">
        <v>0.0078585788823251</v>
      </c>
      <c r="R254" s="20" t="n">
        <v>-0.0074953315281645</v>
      </c>
      <c r="S254" s="20" t="n">
        <v>0.013432480555477</v>
      </c>
      <c r="T254" s="20" t="n">
        <v>-0.0145121453402174</v>
      </c>
      <c r="U254" s="20" t="n">
        <v>0.00324773281691559</v>
      </c>
      <c r="V254" s="20" t="n">
        <v>-0.0052281318662084</v>
      </c>
      <c r="W254" s="20" t="n">
        <v>0.000892445171253974</v>
      </c>
      <c r="X254" s="20" t="n">
        <v>0.0119404293242828</v>
      </c>
    </row>
    <row r="255" customFormat="false" ht="13.5" hidden="false" customHeight="true" outlineLevel="0" collapsed="false">
      <c r="A255" s="47" t="n">
        <v>42739</v>
      </c>
      <c r="B255" s="20" t="n">
        <v>-0.00331399032588741</v>
      </c>
      <c r="C255" s="20" t="n">
        <v>-0.00569446897947711</v>
      </c>
      <c r="D255" s="20" t="n">
        <v>0.0115761405994554</v>
      </c>
      <c r="E255" s="20" t="n">
        <v>-0.0308428156569497</v>
      </c>
      <c r="F255" s="20" t="n">
        <v>-0.0118344774348293</v>
      </c>
      <c r="G255" s="20" t="n">
        <v>-0.000903012661803703</v>
      </c>
      <c r="H255" s="20" t="n">
        <v>0.0272992778168241</v>
      </c>
      <c r="I255" s="20" t="n">
        <v>0.0465837205811077</v>
      </c>
      <c r="J255" s="20" t="n">
        <v>0.0239923516532569</v>
      </c>
      <c r="K255" s="20" t="n">
        <v>0.0217399655075</v>
      </c>
      <c r="L255" s="20" t="n">
        <v>0.0305834226584122</v>
      </c>
      <c r="M255" s="20" t="n">
        <v>0.00956658080832895</v>
      </c>
      <c r="N255" s="20" t="n">
        <v>0.000784639426024913</v>
      </c>
      <c r="O255" s="20" t="n">
        <v>-0.00280962322728273</v>
      </c>
      <c r="P255" s="20" t="n">
        <v>-0.0116505875902532</v>
      </c>
      <c r="Q255" s="20" t="n">
        <v>0.00973711957849809</v>
      </c>
      <c r="R255" s="20" t="n">
        <v>0.0207241789208749</v>
      </c>
      <c r="S255" s="20" t="n">
        <v>-0.014144494030023</v>
      </c>
      <c r="T255" s="20" t="n">
        <v>0.00232287127152863</v>
      </c>
      <c r="U255" s="20" t="n">
        <v>0.0011784039038396</v>
      </c>
      <c r="V255" s="20" t="n">
        <v>0.0166013987110318</v>
      </c>
      <c r="W255" s="20" t="n">
        <v>-0.0156435615867129</v>
      </c>
      <c r="X255" s="20" t="n">
        <v>-0.0164550695066409</v>
      </c>
    </row>
    <row r="256" customFormat="false" ht="13.5" hidden="false" customHeight="true" outlineLevel="0" collapsed="false">
      <c r="A256" s="47" t="n">
        <v>42740</v>
      </c>
      <c r="B256" s="20" t="n">
        <v>0.00490792364727621</v>
      </c>
      <c r="C256" s="20" t="n">
        <v>0.00285125647956085</v>
      </c>
      <c r="D256" s="20" t="n">
        <v>0.00105780565145963</v>
      </c>
      <c r="E256" s="20" t="n">
        <v>-0.000783410037158205</v>
      </c>
      <c r="F256" s="20" t="n">
        <v>0</v>
      </c>
      <c r="G256" s="20" t="n">
        <v>-0.00301563782762359</v>
      </c>
      <c r="H256" s="20" t="n">
        <v>-0.00359712271025047</v>
      </c>
      <c r="I256" s="20" t="n">
        <v>-0.0216517051239408</v>
      </c>
      <c r="J256" s="20" t="n">
        <v>-0.0173917264855592</v>
      </c>
      <c r="K256" s="20" t="n">
        <v>0</v>
      </c>
      <c r="L256" s="20" t="n">
        <v>-0.0380648066505102</v>
      </c>
      <c r="M256" s="20" t="n">
        <v>-0.00387542794830997</v>
      </c>
      <c r="N256" s="20" t="n">
        <v>-0.00471702294486098</v>
      </c>
      <c r="O256" s="20" t="n">
        <v>-0.0316806728486791</v>
      </c>
      <c r="P256" s="20" t="n">
        <v>0.0116505875902532</v>
      </c>
      <c r="Q256" s="20" t="n">
        <v>-0.0136586893817687</v>
      </c>
      <c r="R256" s="20" t="n">
        <v>0.00953434435029798</v>
      </c>
      <c r="S256" s="20" t="n">
        <v>0.00992214674490155</v>
      </c>
      <c r="T256" s="20" t="n">
        <v>0.0019867379488998</v>
      </c>
      <c r="U256" s="20" t="n">
        <v>0.00440663233187432</v>
      </c>
      <c r="V256" s="20" t="n">
        <v>-0.00299800861512444</v>
      </c>
      <c r="W256" s="20" t="n">
        <v>-0.00254036406074842</v>
      </c>
      <c r="X256" s="20" t="n">
        <v>0.00225986783601239</v>
      </c>
    </row>
    <row r="257" customFormat="false" ht="13.5" hidden="false" customHeight="true" outlineLevel="0" collapsed="false">
      <c r="A257" s="47" t="n">
        <v>42741</v>
      </c>
      <c r="B257" s="20" t="n">
        <v>-0.0111514586034076</v>
      </c>
      <c r="C257" s="20" t="n">
        <v>-0.00475659963417518</v>
      </c>
      <c r="D257" s="20" t="n">
        <v>0.0078978756537964</v>
      </c>
      <c r="E257" s="20" t="n">
        <v>-0.0102403504306534</v>
      </c>
      <c r="F257" s="20" t="n">
        <v>-0.00574846019982189</v>
      </c>
      <c r="G257" s="20" t="n">
        <v>-0.00575504980568775</v>
      </c>
      <c r="H257" s="20" t="n">
        <v>0.00628649870558462</v>
      </c>
      <c r="I257" s="20" t="n">
        <v>-0.0110042271252144</v>
      </c>
      <c r="J257" s="20" t="n">
        <v>0.00873367178505035</v>
      </c>
      <c r="K257" s="20" t="n">
        <v>0.0533878720460825</v>
      </c>
      <c r="L257" s="20" t="n">
        <v>0.0283795104211987</v>
      </c>
      <c r="M257" s="20" t="n">
        <v>-0.000298680253729255</v>
      </c>
      <c r="N257" s="20" t="n">
        <v>-0.00592768471017857</v>
      </c>
      <c r="O257" s="20" t="n">
        <v>-0.0126645741551509</v>
      </c>
      <c r="P257" s="20" t="n">
        <v>-0.0187066852142878</v>
      </c>
      <c r="Q257" s="20" t="n">
        <v>0.00782782095044365</v>
      </c>
      <c r="R257" s="20" t="n">
        <v>-0.00610130042338674</v>
      </c>
      <c r="S257" s="20" t="n">
        <v>0.0133101495015104</v>
      </c>
      <c r="T257" s="20" t="n">
        <v>-0.00165533019711361</v>
      </c>
      <c r="U257" s="20" t="n">
        <v>-0.00411230434225107</v>
      </c>
      <c r="V257" s="20" t="n">
        <v>-0.00367649511945256</v>
      </c>
      <c r="W257" s="20" t="n">
        <v>-0.0146415356816183</v>
      </c>
      <c r="X257" s="20" t="n">
        <v>0.00225477234634574</v>
      </c>
    </row>
    <row r="258" customFormat="false" ht="13.5" hidden="false" customHeight="true" outlineLevel="0" collapsed="false">
      <c r="A258" s="47" t="n">
        <v>42744</v>
      </c>
      <c r="B258" s="20" t="n">
        <v>-0.0127863772562983</v>
      </c>
      <c r="C258" s="20" t="n">
        <v>-0.00286487056341089</v>
      </c>
      <c r="D258" s="20" t="n">
        <v>0</v>
      </c>
      <c r="E258" s="20" t="n">
        <v>0.01726889560415</v>
      </c>
      <c r="F258" s="20" t="n">
        <v>0.0171471028664011</v>
      </c>
      <c r="G258" s="20" t="n">
        <v>0.00816826416771032</v>
      </c>
      <c r="H258" s="20" t="n">
        <v>-0.000895655267277195</v>
      </c>
      <c r="I258" s="20" t="n">
        <v>-0.000691818009925349</v>
      </c>
      <c r="J258" s="20" t="n">
        <v>0.00650061005240454</v>
      </c>
      <c r="K258" s="20" t="n">
        <v>-0.0154086104461176</v>
      </c>
      <c r="L258" s="20" t="n">
        <v>0.0861999896909693</v>
      </c>
      <c r="M258" s="20" t="n">
        <v>-0.000896804545610141</v>
      </c>
      <c r="N258" s="20" t="n">
        <v>-0.00118971971658865</v>
      </c>
      <c r="O258" s="20" t="n">
        <v>0.000245120357940109</v>
      </c>
      <c r="P258" s="20" t="n">
        <v>0.00627452440549092</v>
      </c>
      <c r="Q258" s="20" t="n">
        <v>-0.013739209499866</v>
      </c>
      <c r="R258" s="20" t="n">
        <v>0.0118027926028823</v>
      </c>
      <c r="S258" s="20" t="n">
        <v>0.0131353794613118</v>
      </c>
      <c r="T258" s="20" t="n">
        <v>0.00660500609153302</v>
      </c>
      <c r="U258" s="20" t="n">
        <v>-0.00339052039466292</v>
      </c>
      <c r="V258" s="20" t="n">
        <v>0.00417676660859189</v>
      </c>
      <c r="W258" s="20" t="n">
        <v>0.00698142191284834</v>
      </c>
      <c r="X258" s="20" t="n">
        <v>0.000750486265992389</v>
      </c>
    </row>
    <row r="259" customFormat="false" ht="13.5" hidden="false" customHeight="true" outlineLevel="0" collapsed="false">
      <c r="A259" s="47" t="n">
        <v>42745</v>
      </c>
      <c r="B259" s="20" t="n">
        <v>0.0133827166021491</v>
      </c>
      <c r="C259" s="20" t="n">
        <v>0.00318266946356082</v>
      </c>
      <c r="D259" s="20" t="n">
        <v>-0.0133308186123679</v>
      </c>
      <c r="E259" s="20" t="n">
        <v>-0.0141068406729192</v>
      </c>
      <c r="F259" s="20" t="n">
        <v>0.0056509239755571</v>
      </c>
      <c r="G259" s="20" t="n">
        <v>-0.00362206658970709</v>
      </c>
      <c r="H259" s="20" t="n">
        <v>0.0247800054685685</v>
      </c>
      <c r="I259" s="20" t="n">
        <v>0.00138315773855612</v>
      </c>
      <c r="J259" s="20" t="n">
        <v>-0.0086768354994009</v>
      </c>
      <c r="K259" s="20" t="n">
        <v>-0.0219789355132894</v>
      </c>
      <c r="L259" s="20" t="n">
        <v>0.038318905116272</v>
      </c>
      <c r="M259" s="20" t="n">
        <v>-0.0184099598618598</v>
      </c>
      <c r="N259" s="20" t="n">
        <v>0.00158600381204188</v>
      </c>
      <c r="O259" s="20" t="n">
        <v>-0.00491282634076517</v>
      </c>
      <c r="P259" s="20" t="n">
        <v>0.0208905433700112</v>
      </c>
      <c r="Q259" s="20" t="n">
        <v>0.021506231286404</v>
      </c>
      <c r="R259" s="20" t="n">
        <v>0.00120887922431034</v>
      </c>
      <c r="S259" s="20" t="n">
        <v>-0.00137460210658257</v>
      </c>
      <c r="T259" s="20" t="n">
        <v>-0.00759955902229192</v>
      </c>
      <c r="U259" s="20" t="n">
        <v>-0.00103419811838723</v>
      </c>
      <c r="V259" s="20" t="n">
        <v>-0.0544748533938515</v>
      </c>
      <c r="W259" s="20" t="n">
        <v>0.00329008354154503</v>
      </c>
      <c r="X259" s="20" t="n">
        <v>0.0082181754063817</v>
      </c>
    </row>
    <row r="260" customFormat="false" ht="13.5" hidden="false" customHeight="true" outlineLevel="0" collapsed="false">
      <c r="A260" s="47" t="n">
        <v>42746</v>
      </c>
      <c r="B260" s="20" t="n">
        <v>0.00119152203587713</v>
      </c>
      <c r="C260" s="20" t="n">
        <v>-0.00254534998159527</v>
      </c>
      <c r="D260" s="20" t="n">
        <v>0.024802785037286</v>
      </c>
      <c r="E260" s="20" t="n">
        <v>-0.00633414017864453</v>
      </c>
      <c r="F260" s="20" t="n">
        <v>-0.00652316378216477</v>
      </c>
      <c r="G260" s="20" t="n">
        <v>0.0135157715047911</v>
      </c>
      <c r="H260" s="20" t="n">
        <v>0.0061002310785363</v>
      </c>
      <c r="I260" s="20" t="n">
        <v>0.00962864316609346</v>
      </c>
      <c r="J260" s="20" t="n">
        <v>-0.00218107584797544</v>
      </c>
      <c r="K260" s="20" t="n">
        <v>-0.00317967521413331</v>
      </c>
      <c r="L260" s="20" t="n">
        <v>0.0138667993459011</v>
      </c>
      <c r="M260" s="20" t="n">
        <v>-0.00703054572076577</v>
      </c>
      <c r="N260" s="20" t="n">
        <v>-0.00237998786882398</v>
      </c>
      <c r="O260" s="20" t="n">
        <v>0.00980154174794067</v>
      </c>
      <c r="P260" s="20" t="n">
        <v>-0.0015326024050748</v>
      </c>
      <c r="Q260" s="20" t="n">
        <v>0.0153553733261453</v>
      </c>
      <c r="R260" s="20" t="n">
        <v>-0.00205597428611081</v>
      </c>
      <c r="S260" s="20" t="n">
        <v>-0.00828733233413991</v>
      </c>
      <c r="T260" s="20" t="n">
        <v>-0.00365505314792313</v>
      </c>
      <c r="U260" s="20" t="n">
        <v>-0.00207161047533777</v>
      </c>
      <c r="V260" s="20" t="n">
        <v>-0.00441112322435799</v>
      </c>
      <c r="W260" s="20" t="n">
        <v>-0.00548947836251878</v>
      </c>
      <c r="X260" s="20" t="n">
        <v>-0.00896866167237409</v>
      </c>
    </row>
    <row r="261" customFormat="false" ht="13.5" hidden="false" customHeight="true" outlineLevel="0" collapsed="false">
      <c r="A261" s="47" t="n">
        <v>42747</v>
      </c>
      <c r="B261" s="20" t="n">
        <v>-0.00363864890445952</v>
      </c>
      <c r="C261" s="20" t="n">
        <v>-0.00095613160373853</v>
      </c>
      <c r="D261" s="20" t="n">
        <v>0.00323520172262892</v>
      </c>
      <c r="E261" s="20" t="n">
        <v>0.00317208524741374</v>
      </c>
      <c r="F261" s="20" t="n">
        <v>0.00391901881908873</v>
      </c>
      <c r="G261" s="20" t="n">
        <v>0.0171550502719717</v>
      </c>
      <c r="H261" s="20" t="n">
        <v>-0.0255182985467099</v>
      </c>
      <c r="I261" s="20" t="n">
        <v>-0.000684647421092421</v>
      </c>
      <c r="J261" s="20" t="n">
        <v>0.0065289045024397</v>
      </c>
      <c r="K261" s="20" t="n">
        <v>0.013182418937303</v>
      </c>
      <c r="L261" s="20" t="n">
        <v>0.0147216483124048</v>
      </c>
      <c r="M261" s="20" t="n">
        <v>-0.00245694281057584</v>
      </c>
      <c r="N261" s="20" t="n">
        <v>0.00317208524741374</v>
      </c>
      <c r="O261" s="20" t="n">
        <v>-0.00121994009622472</v>
      </c>
      <c r="P261" s="20" t="n">
        <v>0.000766594811275389</v>
      </c>
      <c r="Q261" s="20" t="n">
        <v>0.011363747874334</v>
      </c>
      <c r="R261" s="20" t="n">
        <v>-0.00753430602942906</v>
      </c>
      <c r="S261" s="20" t="n">
        <v>0.00346142194970733</v>
      </c>
      <c r="T261" s="20" t="n">
        <v>0.000998129478716691</v>
      </c>
      <c r="U261" s="20" t="n">
        <v>0.00103634168381816</v>
      </c>
      <c r="V261" s="20" t="n">
        <v>-0.00585260187936054</v>
      </c>
      <c r="W261" s="20" t="n">
        <v>0.0147530471663706</v>
      </c>
      <c r="X261" s="20" t="n">
        <v>0.0111983680450893</v>
      </c>
    </row>
    <row r="262" customFormat="false" ht="13.5" hidden="false" customHeight="true" outlineLevel="0" collapsed="false">
      <c r="A262" s="47" t="n">
        <v>42748</v>
      </c>
      <c r="B262" s="20" t="n">
        <v>0.00328135042967225</v>
      </c>
      <c r="C262" s="20" t="n">
        <v>-0.00287401907675066</v>
      </c>
      <c r="D262" s="20" t="n">
        <v>-0.0071313501805621</v>
      </c>
      <c r="E262" s="20" t="n">
        <v>-0.00158482267283988</v>
      </c>
      <c r="F262" s="20" t="n">
        <v>-0.0426163467019082</v>
      </c>
      <c r="G262" s="20" t="n">
        <v>0.0214688168216894</v>
      </c>
      <c r="H262" s="20" t="n">
        <v>0.0211647911664045</v>
      </c>
      <c r="I262" s="20" t="n">
        <v>0.0369789519335044</v>
      </c>
      <c r="J262" s="20" t="n">
        <v>-0.00871464350168937</v>
      </c>
      <c r="K262" s="20" t="n">
        <v>0.0465676153340682</v>
      </c>
      <c r="L262" s="20" t="n">
        <v>-0.00733368339410267</v>
      </c>
      <c r="M262" s="20" t="n">
        <v>-0.0142461087395489</v>
      </c>
      <c r="N262" s="20" t="n">
        <v>0.00827913604899022</v>
      </c>
      <c r="O262" s="20" t="n">
        <v>0.00365545737706707</v>
      </c>
      <c r="P262" s="20" t="n">
        <v>0.0227282650363687</v>
      </c>
      <c r="Q262" s="20" t="n">
        <v>0.00563385706874797</v>
      </c>
      <c r="R262" s="20" t="n">
        <v>0.0233885862445983</v>
      </c>
      <c r="S262" s="20" t="n">
        <v>-0.0174281159438609</v>
      </c>
      <c r="T262" s="20" t="n">
        <v>-0.00266400172261338</v>
      </c>
      <c r="U262" s="20" t="n">
        <v>0.0132296724733604</v>
      </c>
      <c r="V262" s="20" t="n">
        <v>0.00106662336501184</v>
      </c>
      <c r="W262" s="20" t="n">
        <v>-0.028052120692938</v>
      </c>
      <c r="X262" s="20" t="n">
        <v>-0.0393692368292515</v>
      </c>
    </row>
    <row r="263" customFormat="false" ht="13.5" hidden="false" customHeight="true" outlineLevel="0" collapsed="false">
      <c r="A263" s="47" t="n">
        <v>42752</v>
      </c>
      <c r="B263" s="20" t="n">
        <v>-0.00651349119232502</v>
      </c>
      <c r="C263" s="20" t="n">
        <v>-0.00128000502945235</v>
      </c>
      <c r="D263" s="20" t="n">
        <v>0.00880949235663752</v>
      </c>
      <c r="E263" s="20" t="n">
        <v>-0.0159875358296419</v>
      </c>
      <c r="F263" s="20" t="n">
        <v>0.0259638552680265</v>
      </c>
      <c r="G263" s="20" t="n">
        <v>0.00200716038207371</v>
      </c>
      <c r="H263" s="20" t="n">
        <v>-0.0114086255047705</v>
      </c>
      <c r="I263" s="20" t="n">
        <v>0.0105057303017481</v>
      </c>
      <c r="J263" s="20" t="n">
        <v>0.00654304029422148</v>
      </c>
      <c r="K263" s="20" t="n">
        <v>-0.0356272048203988</v>
      </c>
      <c r="L263" s="20" t="n">
        <v>0.0442230778287329</v>
      </c>
      <c r="M263" s="20" t="n">
        <v>-0.000936264506611994</v>
      </c>
      <c r="N263" s="20" t="n">
        <v>0</v>
      </c>
      <c r="O263" s="20" t="n">
        <v>-0.00756935304595796</v>
      </c>
      <c r="P263" s="20" t="n">
        <v>-0.0189041540938377</v>
      </c>
      <c r="Q263" s="20" t="n">
        <v>-0.00563385706874797</v>
      </c>
      <c r="R263" s="20" t="n">
        <v>-0.00453837224081254</v>
      </c>
      <c r="S263" s="20" t="n">
        <v>-0.000703498359966303</v>
      </c>
      <c r="T263" s="20" t="n">
        <v>0.00133291973157767</v>
      </c>
      <c r="U263" s="20" t="n">
        <v>0.0098809329122238</v>
      </c>
      <c r="V263" s="20" t="n">
        <v>-0.00373830586354984</v>
      </c>
      <c r="W263" s="20" t="n">
        <v>0.00906996836761298</v>
      </c>
      <c r="X263" s="20" t="n">
        <v>0.0153259561976826</v>
      </c>
    </row>
    <row r="264" customFormat="false" ht="13.5" hidden="false" customHeight="true" outlineLevel="0" collapsed="false">
      <c r="A264" s="47" t="n">
        <v>42753</v>
      </c>
      <c r="B264" s="48" t="n">
        <v>5.99173095574556E-005</v>
      </c>
      <c r="C264" s="20" t="n">
        <v>-0.000640649223268674</v>
      </c>
      <c r="D264" s="20" t="n">
        <v>-0.00893965224449289</v>
      </c>
      <c r="E264" s="20" t="n">
        <v>0.00161034315321417</v>
      </c>
      <c r="F264" s="20" t="n">
        <v>-0.00442863763935719</v>
      </c>
      <c r="G264" s="20" t="n">
        <v>-0.0187948728421041</v>
      </c>
      <c r="H264" s="20" t="n">
        <v>0.00440334949772269</v>
      </c>
      <c r="I264" s="20" t="n">
        <v>-0.0144739541859939</v>
      </c>
      <c r="J264" s="20" t="n">
        <v>-0.00217622544699636</v>
      </c>
      <c r="K264" s="20" t="n">
        <v>-0.00103679340123463</v>
      </c>
      <c r="L264" s="20" t="n">
        <v>-0.0141845733142549</v>
      </c>
      <c r="M264" s="20" t="n">
        <v>-0.0103562205590974</v>
      </c>
      <c r="N264" s="20" t="n">
        <v>0.00117719013200634</v>
      </c>
      <c r="O264" s="20" t="n">
        <v>0.00489000399368855</v>
      </c>
      <c r="P264" s="20" t="n">
        <v>-0.00229275504013459</v>
      </c>
      <c r="Q264" s="20" t="n">
        <v>0.00937217551424751</v>
      </c>
      <c r="R264" s="20" t="n">
        <v>-0.00407825888079749</v>
      </c>
      <c r="S264" s="20" t="n">
        <v>-0.00777112035481275</v>
      </c>
      <c r="T264" s="20" t="n">
        <v>-0.00166642745507372</v>
      </c>
      <c r="U264" s="20" t="n">
        <v>0.00562324848171602</v>
      </c>
      <c r="V264" s="20" t="n">
        <v>-0.0103980501069127</v>
      </c>
      <c r="W264" s="20" t="n">
        <v>0.00569595231803665</v>
      </c>
      <c r="X264" s="20" t="n">
        <v>-0.0107034194974926</v>
      </c>
    </row>
    <row r="265" customFormat="false" ht="13.5" hidden="false" customHeight="true" outlineLevel="0" collapsed="false">
      <c r="A265" s="47" t="n">
        <v>42754</v>
      </c>
      <c r="B265" s="20" t="n">
        <v>0.0221731012281667</v>
      </c>
      <c r="C265" s="20" t="n">
        <v>-0.0220287048808964</v>
      </c>
      <c r="D265" s="20" t="n">
        <v>-0.000390482015876436</v>
      </c>
      <c r="E265" s="20" t="n">
        <v>-0.00564750582154838</v>
      </c>
      <c r="F265" s="20" t="n">
        <v>0.00487044145489568</v>
      </c>
      <c r="G265" s="20" t="n">
        <v>-0.0049743532781048</v>
      </c>
      <c r="H265" s="20" t="n">
        <v>0.0122272151121647</v>
      </c>
      <c r="I265" s="20" t="n">
        <v>0.0190356886267775</v>
      </c>
      <c r="J265" s="20" t="n">
        <v>0</v>
      </c>
      <c r="K265" s="20" t="n">
        <v>0.00620482023200641</v>
      </c>
      <c r="L265" s="20" t="n">
        <v>0.0231981702115646</v>
      </c>
      <c r="M265" s="20" t="n">
        <v>0.00220575773937659</v>
      </c>
      <c r="N265" s="20" t="n">
        <v>0.0023501564506807</v>
      </c>
      <c r="O265" s="20" t="n">
        <v>0.010915833283255</v>
      </c>
      <c r="P265" s="20" t="n">
        <v>0.0114113503355937</v>
      </c>
      <c r="Q265" s="20" t="n">
        <v>0.0129751023402162</v>
      </c>
      <c r="R265" s="20" t="n">
        <v>-0.019908395374995</v>
      </c>
      <c r="S265" s="20" t="n">
        <v>0.000708917094134786</v>
      </c>
      <c r="T265" s="20" t="n">
        <v>0.00399470702275994</v>
      </c>
      <c r="U265" s="20" t="n">
        <v>0.0065921572542571</v>
      </c>
      <c r="V265" s="20" t="n">
        <v>-0.119699670114264</v>
      </c>
      <c r="W265" s="20" t="n">
        <v>0.00893754890451203</v>
      </c>
      <c r="X265" s="20" t="n">
        <v>0.00841946467613619</v>
      </c>
    </row>
    <row r="266" customFormat="false" ht="13.5" hidden="false" customHeight="true" outlineLevel="0" collapsed="false">
      <c r="A266" s="47" t="n">
        <v>42755</v>
      </c>
      <c r="B266" s="20" t="n">
        <v>0.00281044581595768</v>
      </c>
      <c r="C266" s="20" t="n">
        <v>-0.025880673968913</v>
      </c>
      <c r="D266" s="20" t="n">
        <v>-0.00639978508418792</v>
      </c>
      <c r="E266" s="20" t="n">
        <v>-0.00405344996879541</v>
      </c>
      <c r="F266" s="20" t="n">
        <v>-0.00353982341889924</v>
      </c>
      <c r="G266" s="20" t="n">
        <v>-0.0165635665540024</v>
      </c>
      <c r="H266" s="20" t="n">
        <v>0.040822016871997</v>
      </c>
      <c r="I266" s="20" t="n">
        <v>0.0244071274343022</v>
      </c>
      <c r="J266" s="20" t="n">
        <v>0</v>
      </c>
      <c r="K266" s="20" t="n">
        <v>0.0404094994004751</v>
      </c>
      <c r="L266" s="20" t="n">
        <v>0.0467466313155573</v>
      </c>
      <c r="M266" s="20" t="n">
        <v>-0.00980559416128468</v>
      </c>
      <c r="N266" s="20" t="n">
        <v>0.00973338442357363</v>
      </c>
      <c r="O266" s="20" t="n">
        <v>0.0131817182958053</v>
      </c>
      <c r="P266" s="20" t="n">
        <v>-0.0106465144262086</v>
      </c>
      <c r="Q266" s="20" t="n">
        <v>0.00916600210815721</v>
      </c>
      <c r="R266" s="20" t="n">
        <v>-0.00380809456253938</v>
      </c>
      <c r="S266" s="20" t="n">
        <v>-0.0114042469382229</v>
      </c>
      <c r="T266" s="20" t="n">
        <v>0.00563195372806912</v>
      </c>
      <c r="U266" s="20" t="n">
        <v>0.00768360205316298</v>
      </c>
      <c r="V266" s="20" t="n">
        <v>0.0155198209565066</v>
      </c>
      <c r="W266" s="20" t="n">
        <v>-0.0150021053122237</v>
      </c>
      <c r="X266" s="20" t="n">
        <v>-0.00458361881511182</v>
      </c>
    </row>
    <row r="267" customFormat="false" ht="13.5" hidden="false" customHeight="true" outlineLevel="0" collapsed="false">
      <c r="A267" s="47" t="n">
        <v>42758</v>
      </c>
      <c r="B267" s="20" t="n">
        <v>0.0280766444704925</v>
      </c>
      <c r="C267" s="20" t="n">
        <v>0.00836819855143611</v>
      </c>
      <c r="D267" s="20" t="n">
        <v>-0.0194489326615832</v>
      </c>
      <c r="E267" s="20" t="n">
        <v>0.0240781484667715</v>
      </c>
      <c r="F267" s="20" t="n">
        <v>0.0171395667930114</v>
      </c>
      <c r="G267" s="20" t="n">
        <v>-0.0041840883957489</v>
      </c>
      <c r="H267" s="20" t="n">
        <v>-0.00836824165644678</v>
      </c>
      <c r="I267" s="20" t="n">
        <v>0.0176105605634391</v>
      </c>
      <c r="J267" s="20" t="n">
        <v>0.0086768354994009</v>
      </c>
      <c r="K267" s="20" t="n">
        <v>-0.0250639446979371</v>
      </c>
      <c r="L267" s="20" t="n">
        <v>0.0235083693387951</v>
      </c>
      <c r="M267" s="20" t="n">
        <v>-0.00990263554157389</v>
      </c>
      <c r="N267" s="20" t="n">
        <v>-0.00934221567045456</v>
      </c>
      <c r="O267" s="20" t="n">
        <v>-0.0153553733261455</v>
      </c>
      <c r="P267" s="20" t="n">
        <v>0.0353022212059013</v>
      </c>
      <c r="Q267" s="20" t="n">
        <v>-0.00916600210815721</v>
      </c>
      <c r="R267" s="20" t="n">
        <v>0.00650187879997865</v>
      </c>
      <c r="S267" s="20" t="n">
        <v>0.0393585880755473</v>
      </c>
      <c r="T267" s="20" t="n">
        <v>0.0108428832683538</v>
      </c>
      <c r="U267" s="20" t="n">
        <v>0.00297217792589954</v>
      </c>
      <c r="V267" s="20" t="n">
        <v>-0.0210193859235721</v>
      </c>
      <c r="W267" s="20" t="n">
        <v>0.00826073095507151</v>
      </c>
      <c r="X267" s="20" t="n">
        <v>0.0144433964540309</v>
      </c>
    </row>
    <row r="268" customFormat="false" ht="13.5" hidden="false" customHeight="true" outlineLevel="0" collapsed="false">
      <c r="A268" s="47" t="n">
        <v>42759</v>
      </c>
      <c r="B268" s="20" t="n">
        <v>0.0134957833449442</v>
      </c>
      <c r="C268" s="20" t="n">
        <v>0.0122579277891476</v>
      </c>
      <c r="D268" s="20" t="n">
        <v>0</v>
      </c>
      <c r="E268" s="20" t="n">
        <v>0.0141734898575904</v>
      </c>
      <c r="F268" s="20" t="n">
        <v>0.0181352147113775</v>
      </c>
      <c r="G268" s="20" t="n">
        <v>0.00239311601870406</v>
      </c>
      <c r="H268" s="20" t="n">
        <v>0.0207908087500308</v>
      </c>
      <c r="I268" s="20" t="n">
        <v>-0.00124768930140728</v>
      </c>
      <c r="J268" s="20" t="n">
        <v>0.01074118043437</v>
      </c>
      <c r="K268" s="20" t="n">
        <v>-0.062847905295132</v>
      </c>
      <c r="L268" s="20" t="n">
        <v>0.00185696470490492</v>
      </c>
      <c r="M268" s="20" t="n">
        <v>0.00448435395297019</v>
      </c>
      <c r="N268" s="20" t="n">
        <v>0.00468205454215286</v>
      </c>
      <c r="O268" s="20" t="n">
        <v>0.000725046057064915</v>
      </c>
      <c r="P268" s="20" t="n">
        <v>0.013924708734053</v>
      </c>
      <c r="Q268" s="20" t="n">
        <v>0.00916600210815721</v>
      </c>
      <c r="R268" s="20" t="n">
        <v>-0.028401499299008</v>
      </c>
      <c r="S268" s="20" t="n">
        <v>0.0503969581849488</v>
      </c>
      <c r="T268" s="20" t="n">
        <v>0.00326265801993308</v>
      </c>
      <c r="U268" s="20" t="n">
        <v>0.00282242561791612</v>
      </c>
      <c r="V268" s="20" t="n">
        <v>0.0119786258740575</v>
      </c>
      <c r="W268" s="20" t="n">
        <v>0.0344985374434854</v>
      </c>
      <c r="X268" s="20" t="n">
        <v>0.0564873618249737</v>
      </c>
    </row>
    <row r="269" customFormat="false" ht="13.5" hidden="false" customHeight="true" outlineLevel="0" collapsed="false">
      <c r="A269" s="47" t="n">
        <v>42760</v>
      </c>
      <c r="B269" s="20" t="n">
        <v>0.00207317838166343</v>
      </c>
      <c r="C269" s="20" t="n">
        <v>-0.00164770820175119</v>
      </c>
      <c r="D269" s="20" t="n">
        <v>-0.00361369117758858</v>
      </c>
      <c r="E269" s="20" t="n">
        <v>-0.0333894354552812</v>
      </c>
      <c r="F269" s="20" t="n">
        <v>0.00299080303135923</v>
      </c>
      <c r="G269" s="20" t="n">
        <v>0.00803457517011541</v>
      </c>
      <c r="H269" s="20" t="n">
        <v>-0.000823442248123473</v>
      </c>
      <c r="I269" s="20" t="n">
        <v>-0.0252858331297471</v>
      </c>
      <c r="J269" s="20" t="n">
        <v>0.0148465447967767</v>
      </c>
      <c r="K269" s="20" t="n">
        <v>-0.0202027401937715</v>
      </c>
      <c r="L269" s="20" t="n">
        <v>-0.0149535356722774</v>
      </c>
      <c r="M269" s="20" t="n">
        <v>-0.000319649311520286</v>
      </c>
      <c r="N269" s="20" t="n">
        <v>0.0142997192929805</v>
      </c>
      <c r="O269" s="20" t="n">
        <v>0.00913909845394567</v>
      </c>
      <c r="P269" s="20" t="n">
        <v>-0.022820236877552</v>
      </c>
      <c r="Q269" s="20" t="n">
        <v>-0.00732603305416956</v>
      </c>
      <c r="R269" s="20" t="n">
        <v>-0.00201481031541472</v>
      </c>
      <c r="S269" s="20" t="n">
        <v>-0.0092166776725775</v>
      </c>
      <c r="T269" s="20" t="n">
        <v>0.00130205122011783</v>
      </c>
      <c r="U269" s="20" t="n">
        <v>-0.0015513804993672</v>
      </c>
      <c r="V269" s="20" t="n">
        <v>-0.0566717898339312</v>
      </c>
      <c r="W269" s="20" t="n">
        <v>0.00984193141214717</v>
      </c>
      <c r="X269" s="20" t="n">
        <v>-0.000713537571256139</v>
      </c>
    </row>
    <row r="270" customFormat="false" ht="13.5" hidden="false" customHeight="true" outlineLevel="0" collapsed="false">
      <c r="A270" s="47" t="n">
        <v>42761</v>
      </c>
      <c r="B270" s="20" t="n">
        <v>-0.0076413484787805</v>
      </c>
      <c r="C270" s="20" t="n">
        <v>-0.0102768909448149</v>
      </c>
      <c r="D270" s="20" t="n">
        <v>0.010669552100281</v>
      </c>
      <c r="E270" s="20" t="n">
        <v>0.00965412865937143</v>
      </c>
      <c r="F270" s="20" t="n">
        <v>-0.0034188034047502</v>
      </c>
      <c r="G270" s="20" t="n">
        <v>-0.0113265310784544</v>
      </c>
      <c r="H270" s="20" t="n">
        <v>-0.00578268579589158</v>
      </c>
      <c r="I270" s="20" t="n">
        <v>0.00892296186771535</v>
      </c>
      <c r="J270" s="20" t="n">
        <v>0</v>
      </c>
      <c r="K270" s="20" t="n">
        <v>-0.00165609811973199</v>
      </c>
      <c r="L270" s="20" t="n">
        <v>0.00469706742617281</v>
      </c>
      <c r="M270" s="20" t="n">
        <v>0.00446569762697901</v>
      </c>
      <c r="N270" s="20" t="n">
        <v>-0.00384469463427183</v>
      </c>
      <c r="O270" s="20" t="n">
        <v>0.00572925575907401</v>
      </c>
      <c r="P270" s="20" t="n">
        <v>-0.0325416757970478</v>
      </c>
      <c r="Q270" s="20" t="n">
        <v>0.00183650229161158</v>
      </c>
      <c r="R270" s="20" t="n">
        <v>-0.0201178393360592</v>
      </c>
      <c r="S270" s="20" t="n">
        <v>-0.00198608029093083</v>
      </c>
      <c r="T270" s="20" t="n">
        <v>0.00777708954790279</v>
      </c>
      <c r="U270" s="20" t="n">
        <v>0.00253736122404202</v>
      </c>
      <c r="V270" s="20" t="n">
        <v>0.0194592005244835</v>
      </c>
      <c r="W270" s="20" t="n">
        <v>-0.0103718983804652</v>
      </c>
      <c r="X270" s="20" t="n">
        <v>-0.0165531304784343</v>
      </c>
    </row>
    <row r="271" customFormat="false" ht="13.5" hidden="false" customHeight="true" outlineLevel="0" collapsed="false">
      <c r="A271" s="47" t="n">
        <v>42762</v>
      </c>
      <c r="B271" s="20" t="n">
        <v>-0.00849622768222158</v>
      </c>
      <c r="C271" s="20" t="n">
        <v>-0.00166755677593499</v>
      </c>
      <c r="D271" s="20" t="n">
        <v>-0.0090619001172536</v>
      </c>
      <c r="E271" s="20" t="n">
        <v>-0.00965412865937143</v>
      </c>
      <c r="F271" s="20" t="n">
        <v>-0.0177072143379866</v>
      </c>
      <c r="G271" s="20" t="n">
        <v>0.00716842576963872</v>
      </c>
      <c r="H271" s="20" t="n">
        <v>-0.0125054207998664</v>
      </c>
      <c r="I271" s="20" t="n">
        <v>0.00190172689896428</v>
      </c>
      <c r="J271" s="20" t="n">
        <v>0.00210309828119692</v>
      </c>
      <c r="K271" s="20" t="n">
        <v>-0.039441694956896</v>
      </c>
      <c r="L271" s="20" t="n">
        <v>-0.0343217337351462</v>
      </c>
      <c r="M271" s="20" t="n">
        <v>-0.00350711697445182</v>
      </c>
      <c r="N271" s="20" t="n">
        <v>-0.00579486353040703</v>
      </c>
      <c r="O271" s="20" t="n">
        <v>-0.00453295852418422</v>
      </c>
      <c r="P271" s="20" t="n">
        <v>-0.0257123571068675</v>
      </c>
      <c r="Q271" s="20" t="n">
        <v>-0.00921660244706545</v>
      </c>
      <c r="R271" s="20" t="n">
        <v>0.0118904463402111</v>
      </c>
      <c r="S271" s="20" t="n">
        <v>-0.0120001643488949</v>
      </c>
      <c r="T271" s="20" t="n">
        <v>-0.00485358078922626</v>
      </c>
      <c r="U271" s="20" t="n">
        <v>0.00379406439792351</v>
      </c>
      <c r="V271" s="20" t="n">
        <v>0.0197039859206396</v>
      </c>
      <c r="W271" s="20" t="n">
        <v>-0.00905301847371209</v>
      </c>
      <c r="X271" s="20" t="n">
        <v>-0.0116789538885648</v>
      </c>
    </row>
    <row r="272" customFormat="false" ht="13.5" hidden="false" customHeight="true" outlineLevel="0" collapsed="false">
      <c r="A272" s="47" t="n">
        <v>42765</v>
      </c>
      <c r="B272" s="20" t="n">
        <v>-0.00730762987371669</v>
      </c>
      <c r="C272" s="20" t="n">
        <v>-0.00871611306329267</v>
      </c>
      <c r="D272" s="20" t="n">
        <v>0.0307148892325086</v>
      </c>
      <c r="E272" s="20" t="n">
        <v>-0.00080875290028537</v>
      </c>
      <c r="F272" s="20" t="n">
        <v>-0.0135997433741121</v>
      </c>
      <c r="G272" s="20" t="n">
        <v>0.01065731292806</v>
      </c>
      <c r="H272" s="20" t="n">
        <v>-0.00927102248566136</v>
      </c>
      <c r="I272" s="20" t="n">
        <v>0.0237808524555993</v>
      </c>
      <c r="J272" s="20" t="n">
        <v>-0.00843896118120524</v>
      </c>
      <c r="K272" s="20" t="n">
        <v>0.00573066922809817</v>
      </c>
      <c r="L272" s="20" t="n">
        <v>-0.0126892976284875</v>
      </c>
      <c r="M272" s="20" t="n">
        <v>0.0133250728870426</v>
      </c>
      <c r="N272" s="20" t="n">
        <v>0.00193540390722501</v>
      </c>
      <c r="O272" s="20" t="n">
        <v>0.00809721391072626</v>
      </c>
      <c r="P272" s="20" t="n">
        <v>0.00707829549942262</v>
      </c>
      <c r="Q272" s="20" t="n">
        <v>-0.0018536110807199</v>
      </c>
      <c r="R272" s="20" t="n">
        <v>0.00165086398762159</v>
      </c>
      <c r="S272" s="20" t="n">
        <v>-0.00268636576674774</v>
      </c>
      <c r="T272" s="20" t="n">
        <v>-0.00357435349566381</v>
      </c>
      <c r="U272" s="20" t="n">
        <v>-0.00168448585247471</v>
      </c>
      <c r="V272" s="20" t="n">
        <v>0.00960663960410723</v>
      </c>
      <c r="W272" s="20" t="n">
        <v>0.00444801003537875</v>
      </c>
      <c r="X272" s="20" t="n">
        <v>-0.00662986987230684</v>
      </c>
    </row>
    <row r="273" customFormat="false" ht="13.5" hidden="false" customHeight="true" outlineLevel="0" collapsed="false">
      <c r="A273" s="47" t="n">
        <v>42766</v>
      </c>
      <c r="B273" s="20" t="n">
        <v>-0.00131883272427124</v>
      </c>
      <c r="C273" s="20" t="n">
        <v>-0.000336741623527814</v>
      </c>
      <c r="D273" s="20" t="n">
        <v>0.00737246700802352</v>
      </c>
      <c r="E273" s="20" t="n">
        <v>-0.00324149091801029</v>
      </c>
      <c r="F273" s="20" t="n">
        <v>0.0109818809239339</v>
      </c>
      <c r="G273" s="20" t="n">
        <v>-0.0154305873349698</v>
      </c>
      <c r="H273" s="20" t="n">
        <v>0.0126211061599907</v>
      </c>
      <c r="I273" s="20" t="n">
        <v>-0.0130720838954316</v>
      </c>
      <c r="J273" s="20" t="n">
        <v>0.0105375457550738</v>
      </c>
      <c r="K273" s="20" t="n">
        <v>0.011363747874334</v>
      </c>
      <c r="L273" s="20" t="n">
        <v>0.0290435941128044</v>
      </c>
      <c r="M273" s="20" t="n">
        <v>-0.00189272820868557</v>
      </c>
      <c r="N273" s="20" t="n">
        <v>-0.0136268558198997</v>
      </c>
      <c r="O273" s="20" t="n">
        <v>-0.00237469768853504</v>
      </c>
      <c r="P273" s="20" t="n">
        <v>-0.00392620765139373</v>
      </c>
      <c r="Q273" s="20" t="n">
        <v>0.0165597442903433</v>
      </c>
      <c r="R273" s="20" t="n">
        <v>-0.0107157084096058</v>
      </c>
      <c r="S273" s="20" t="n">
        <v>0.0304659351309792</v>
      </c>
      <c r="T273" s="20" t="n">
        <v>-0.00718720231436353</v>
      </c>
      <c r="U273" s="20" t="n">
        <v>0.00294591059540305</v>
      </c>
      <c r="V273" s="20" t="n">
        <v>0.00264095769765759</v>
      </c>
      <c r="W273" s="20" t="n">
        <v>-0.00748403310309075</v>
      </c>
      <c r="X273" s="20" t="n">
        <v>-0.00221973700225897</v>
      </c>
    </row>
    <row r="274" customFormat="false" ht="13.5" hidden="false" customHeight="true" outlineLevel="0" collapsed="false">
      <c r="A274" s="47" t="n">
        <v>42767</v>
      </c>
      <c r="B274" s="20" t="n">
        <v>0.00166255978319718</v>
      </c>
      <c r="C274" s="20" t="n">
        <v>-0.0003368550566476</v>
      </c>
      <c r="D274" s="20" t="n">
        <v>-0.00270984213011526</v>
      </c>
      <c r="E274" s="20" t="n">
        <v>-0.00325203236063265</v>
      </c>
      <c r="F274" s="20" t="n">
        <v>-0.00745454366904763</v>
      </c>
      <c r="G274" s="20" t="n">
        <v>0.0195445923931032</v>
      </c>
      <c r="H274" s="20" t="n">
        <v>0.00583583535231824</v>
      </c>
      <c r="I274" s="20" t="n">
        <v>0.027195717157979</v>
      </c>
      <c r="J274" s="20" t="n">
        <v>-0.0042016828550655</v>
      </c>
      <c r="K274" s="20" t="n">
        <v>0</v>
      </c>
      <c r="L274" s="20" t="n">
        <v>-0.0057415915660588</v>
      </c>
      <c r="M274" s="20" t="n">
        <v>0.00189272820868557</v>
      </c>
      <c r="N274" s="20" t="n">
        <v>-0.00984841514257617</v>
      </c>
      <c r="O274" s="20" t="n">
        <v>-0.0211444939148943</v>
      </c>
      <c r="P274" s="20" t="n">
        <v>0.00157228840717627</v>
      </c>
      <c r="Q274" s="20" t="n">
        <v>-0.00548953076255798</v>
      </c>
      <c r="R274" s="20" t="n">
        <v>-0.041506227198238</v>
      </c>
      <c r="S274" s="20" t="n">
        <v>0.00390628225200995</v>
      </c>
      <c r="T274" s="20" t="n">
        <v>0.0220501898038136</v>
      </c>
      <c r="U274" s="20" t="n">
        <v>0.000840066699248964</v>
      </c>
      <c r="V274" s="20" t="n">
        <v>0.0242520969897261</v>
      </c>
      <c r="W274" s="20" t="n">
        <v>-0.00286584196915562</v>
      </c>
      <c r="X274" s="20" t="n">
        <v>-0.0194471522226695</v>
      </c>
    </row>
    <row r="275" customFormat="false" ht="13.5" hidden="false" customHeight="true" outlineLevel="0" collapsed="false">
      <c r="A275" s="47" t="n">
        <v>42768</v>
      </c>
      <c r="B275" s="20" t="n">
        <v>0.00707768628496996</v>
      </c>
      <c r="C275" s="20" t="n">
        <v>0.000673596680175414</v>
      </c>
      <c r="D275" s="20" t="n">
        <v>-0.00206953934779363</v>
      </c>
      <c r="E275" s="20" t="n">
        <v>0.0225452934750456</v>
      </c>
      <c r="F275" s="20" t="n">
        <v>0.024778559575262</v>
      </c>
      <c r="G275" s="20" t="n">
        <v>-0.00234873911885014</v>
      </c>
      <c r="H275" s="20" t="n">
        <v>0.0132124002399542</v>
      </c>
      <c r="I275" s="20" t="n">
        <v>-0.00734390881816748</v>
      </c>
      <c r="J275" s="20" t="n">
        <v>0.0104713396037243</v>
      </c>
      <c r="K275" s="20" t="n">
        <v>-0.00566573217830035</v>
      </c>
      <c r="L275" s="20" t="n">
        <v>-0.0685131944958099</v>
      </c>
      <c r="M275" s="20" t="n">
        <v>0.011281868708501</v>
      </c>
      <c r="N275" s="20" t="n">
        <v>0.00631414277925967</v>
      </c>
      <c r="O275" s="20" t="n">
        <v>0.00169840377026986</v>
      </c>
      <c r="P275" s="20" t="n">
        <v>-0.0150378444471228</v>
      </c>
      <c r="Q275" s="20" t="n">
        <v>0.0073126401528285</v>
      </c>
      <c r="R275" s="20" t="n">
        <v>0.00878477662421417</v>
      </c>
      <c r="S275" s="20" t="n">
        <v>0.0212158338286667</v>
      </c>
      <c r="T275" s="20" t="n">
        <v>0.00447998796162396</v>
      </c>
      <c r="U275" s="20" t="n">
        <v>0.000559688233152222</v>
      </c>
      <c r="V275" s="20" t="n">
        <v>0.00552921595616462</v>
      </c>
      <c r="W275" s="20" t="n">
        <v>0.0268995240586171</v>
      </c>
      <c r="X275" s="20" t="n">
        <v>0.0275622582158883</v>
      </c>
    </row>
    <row r="276" customFormat="false" ht="13.5" hidden="false" customHeight="true" outlineLevel="0" collapsed="false">
      <c r="A276" s="47" t="n">
        <v>42769</v>
      </c>
      <c r="B276" s="20" t="n">
        <v>0.000227441341007939</v>
      </c>
      <c r="C276" s="20" t="n">
        <v>-0.00134771427807978</v>
      </c>
      <c r="D276" s="20" t="n">
        <v>0.0077389584497558</v>
      </c>
      <c r="E276" s="20" t="n">
        <v>-0.00318979221447968</v>
      </c>
      <c r="F276" s="20" t="n">
        <v>-0.00732604310294071</v>
      </c>
      <c r="G276" s="20" t="n">
        <v>-0.00974758376754847</v>
      </c>
      <c r="H276" s="20" t="n">
        <v>-0.00658437933868061</v>
      </c>
      <c r="I276" s="20" t="n">
        <v>0.0326312336495404</v>
      </c>
      <c r="J276" s="20" t="n">
        <v>-0.0041753672539504</v>
      </c>
      <c r="K276" s="20" t="n">
        <v>0.00961271763387439</v>
      </c>
      <c r="L276" s="20" t="n">
        <v>-0.0176260781950174</v>
      </c>
      <c r="M276" s="20" t="n">
        <v>0.00435322174755192</v>
      </c>
      <c r="N276" s="20" t="n">
        <v>-0.0146624716884349</v>
      </c>
      <c r="O276" s="20" t="n">
        <v>-0.00461666774394542</v>
      </c>
      <c r="P276" s="20" t="n">
        <v>-0.0193242542774805</v>
      </c>
      <c r="Q276" s="20" t="n">
        <v>-0.00547941708731936</v>
      </c>
      <c r="R276" s="20" t="n">
        <v>0.00805126259388799</v>
      </c>
      <c r="S276" s="20" t="n">
        <v>0.00254129496506649</v>
      </c>
      <c r="T276" s="20" t="n">
        <v>-0.000638788207758977</v>
      </c>
      <c r="U276" s="20" t="n">
        <v>-0.00280147192539725</v>
      </c>
      <c r="V276" s="20" t="n">
        <v>0.00510710473650322</v>
      </c>
      <c r="W276" s="20" t="n">
        <v>-0.0126517453281298</v>
      </c>
      <c r="X276" s="20" t="n">
        <v>-0.00589536899095977</v>
      </c>
    </row>
    <row r="277" customFormat="false" ht="13.5" hidden="false" customHeight="true" outlineLevel="0" collapsed="false">
      <c r="A277" s="47" t="n">
        <v>42772</v>
      </c>
      <c r="B277" s="20" t="n">
        <v>0.0146762966716131</v>
      </c>
      <c r="C277" s="20" t="n">
        <v>-0.00337722008631979</v>
      </c>
      <c r="D277" s="20" t="n">
        <v>-0.00167176640019306</v>
      </c>
      <c r="E277" s="20" t="n">
        <v>-0.0144813713919966</v>
      </c>
      <c r="F277" s="20" t="n">
        <v>-0.00956118620107115</v>
      </c>
      <c r="G277" s="20" t="n">
        <v>-0.0182720911480824</v>
      </c>
      <c r="H277" s="20" t="n">
        <v>0.0147543513072077</v>
      </c>
      <c r="I277" s="20" t="n">
        <v>-0.00596306981193661</v>
      </c>
      <c r="J277" s="20" t="n">
        <v>-0.0126318352497822</v>
      </c>
      <c r="K277" s="20" t="n">
        <v>0.0402591307123934</v>
      </c>
      <c r="L277" s="20" t="n">
        <v>0.00729546673755709</v>
      </c>
      <c r="M277" s="20" t="n">
        <v>-0.00466484154823909</v>
      </c>
      <c r="N277" s="20" t="n">
        <v>-0.00680956293447643</v>
      </c>
      <c r="O277" s="20" t="n">
        <v>0.00146015013459965</v>
      </c>
      <c r="P277" s="20" t="n">
        <v>-0.0372713781125932</v>
      </c>
      <c r="Q277" s="20" t="n">
        <v>-0.0129034365932945</v>
      </c>
      <c r="R277" s="20" t="n">
        <v>0.00380504185319274</v>
      </c>
      <c r="S277" s="20" t="n">
        <v>-0.00254129496506649</v>
      </c>
      <c r="T277" s="20" t="n">
        <v>0.00478093423421066</v>
      </c>
      <c r="U277" s="20" t="n">
        <v>0.0126839256588313</v>
      </c>
      <c r="V277" s="20" t="n">
        <v>0.0120741277400173</v>
      </c>
      <c r="W277" s="20" t="n">
        <v>-0.00372042391414861</v>
      </c>
      <c r="X277" s="20" t="n">
        <v>-0.00370235092121173</v>
      </c>
    </row>
    <row r="278" customFormat="false" ht="13.5" hidden="false" customHeight="true" outlineLevel="0" collapsed="false">
      <c r="A278" s="47" t="n">
        <v>42773</v>
      </c>
      <c r="B278" s="20" t="n">
        <v>-0.0129150965477684</v>
      </c>
      <c r="C278" s="20" t="n">
        <v>-0.00440753388022319</v>
      </c>
      <c r="D278" s="20" t="n">
        <v>0.00526287933876723</v>
      </c>
      <c r="E278" s="20" t="n">
        <v>0.00323624565791735</v>
      </c>
      <c r="F278" s="20" t="n">
        <v>-0.0100944260172752</v>
      </c>
      <c r="G278" s="20" t="n">
        <v>-0.00728163627717615</v>
      </c>
      <c r="H278" s="20" t="n">
        <v>0.0367453123316035</v>
      </c>
      <c r="I278" s="20" t="n">
        <v>0.013072154161092</v>
      </c>
      <c r="J278" s="20" t="n">
        <v>-0.00424628701241536</v>
      </c>
      <c r="K278" s="20" t="n">
        <v>0.037139511710224</v>
      </c>
      <c r="L278" s="20" t="n">
        <v>0.0144332752148734</v>
      </c>
      <c r="M278" s="20" t="n">
        <v>0.00186850124288628</v>
      </c>
      <c r="N278" s="20" t="n">
        <v>-0.0182523363782376</v>
      </c>
      <c r="O278" s="20" t="n">
        <v>0.00218632796323614</v>
      </c>
      <c r="P278" s="20" t="n">
        <v>-0.00422835213708738</v>
      </c>
      <c r="Q278" s="20" t="n">
        <v>0</v>
      </c>
      <c r="R278" s="20" t="n">
        <v>0.00873593366713443</v>
      </c>
      <c r="S278" s="20" t="n">
        <v>-0.00254776960262281</v>
      </c>
      <c r="T278" s="20" t="n">
        <v>-0.00573982129643679</v>
      </c>
      <c r="U278" s="20" t="n">
        <v>-0.000692697262083541</v>
      </c>
      <c r="V278" s="20" t="n">
        <v>0.00655993386742803</v>
      </c>
      <c r="W278" s="20" t="n">
        <v>-0.0126821218690196</v>
      </c>
      <c r="X278" s="20" t="n">
        <v>-0.00595239303645556</v>
      </c>
    </row>
    <row r="279" customFormat="false" ht="13.5" hidden="false" customHeight="true" outlineLevel="0" collapsed="false">
      <c r="A279" s="47" t="n">
        <v>42774</v>
      </c>
      <c r="B279" s="20" t="n">
        <v>0.00588608032838777</v>
      </c>
      <c r="C279" s="20" t="n">
        <v>0.00542192484976133</v>
      </c>
      <c r="D279" s="20" t="n">
        <v>-0.00526287933876723</v>
      </c>
      <c r="E279" s="20" t="n">
        <v>0</v>
      </c>
      <c r="F279" s="20" t="n">
        <v>0.0196556122183464</v>
      </c>
      <c r="G279" s="20" t="n">
        <v>0.0195996476939281</v>
      </c>
      <c r="H279" s="20" t="n">
        <v>-0.00392933070461687</v>
      </c>
      <c r="I279" s="20" t="n">
        <v>-0.00651471708082818</v>
      </c>
      <c r="J279" s="20" t="n">
        <v>0.00212544799334502</v>
      </c>
      <c r="K279" s="20" t="n">
        <v>0.0155042333408945</v>
      </c>
      <c r="L279" s="20" t="n">
        <v>0.0192605625178243</v>
      </c>
      <c r="M279" s="20" t="n">
        <v>0.00743963991740725</v>
      </c>
      <c r="N279" s="20" t="n">
        <v>-0.000409425954695841</v>
      </c>
      <c r="O279" s="20" t="n">
        <v>0.00242371151764153</v>
      </c>
      <c r="P279" s="20" t="n">
        <v>0.0655972965972169</v>
      </c>
      <c r="Q279" s="20" t="n">
        <v>-0.00931967860352966</v>
      </c>
      <c r="R279" s="20" t="n">
        <v>0.00362834123518496</v>
      </c>
      <c r="S279" s="20" t="n">
        <v>-0.00127635356614463</v>
      </c>
      <c r="T279" s="20" t="n">
        <v>0.00732835972276868</v>
      </c>
      <c r="U279" s="20" t="n">
        <v>0.00470128547489157</v>
      </c>
      <c r="V279" s="20" t="n">
        <v>-0.00946778758919508</v>
      </c>
      <c r="W279" s="20" t="n">
        <v>0.0195805199817646</v>
      </c>
      <c r="X279" s="20" t="n">
        <v>0.0111318829131081</v>
      </c>
    </row>
    <row r="280" customFormat="false" ht="13.5" hidden="false" customHeight="true" outlineLevel="0" collapsed="false">
      <c r="A280" s="47" t="n">
        <v>42775</v>
      </c>
      <c r="B280" s="20" t="n">
        <v>0.00826094761945839</v>
      </c>
      <c r="C280" s="20" t="n">
        <v>0.00438375339232699</v>
      </c>
      <c r="D280" s="20" t="n">
        <v>0.00115768189046061</v>
      </c>
      <c r="E280" s="20" t="n">
        <v>0.0104460662742638</v>
      </c>
      <c r="F280" s="20" t="n">
        <v>-0.00173164176892948</v>
      </c>
      <c r="G280" s="20" t="n">
        <v>-0.000298704976034791</v>
      </c>
      <c r="H280" s="20" t="n">
        <v>0.0148498656932942</v>
      </c>
      <c r="I280" s="20" t="n">
        <v>0.0100503403867127</v>
      </c>
      <c r="J280" s="20" t="n">
        <v>0.00423729040881992</v>
      </c>
      <c r="K280" s="20" t="n">
        <v>-0.00102621530766144</v>
      </c>
      <c r="L280" s="20" t="n">
        <v>0.0489813868571911</v>
      </c>
      <c r="M280" s="20" t="n">
        <v>-0.000927007457279582</v>
      </c>
      <c r="N280" s="20" t="n">
        <v>0.00286238981134712</v>
      </c>
      <c r="O280" s="20" t="n">
        <v>0.00169306347752939</v>
      </c>
      <c r="P280" s="20" t="n">
        <v>0.0157483415939254</v>
      </c>
      <c r="Q280" s="20" t="n">
        <v>0.0222231151968241</v>
      </c>
      <c r="R280" s="20" t="n">
        <v>0.0156574200894192</v>
      </c>
      <c r="S280" s="20" t="n">
        <v>-0.0115608422285742</v>
      </c>
      <c r="T280" s="20" t="n">
        <v>0.00031741720138001</v>
      </c>
      <c r="U280" s="20" t="n">
        <v>-0.000966112789805073</v>
      </c>
      <c r="V280" s="20" t="n">
        <v>0.00271429411608448</v>
      </c>
      <c r="W280" s="20" t="n">
        <v>0.00228895368782922</v>
      </c>
      <c r="X280" s="20" t="n">
        <v>0.00515273091686596</v>
      </c>
    </row>
    <row r="281" customFormat="false" ht="13.5" hidden="false" customHeight="true" outlineLevel="0" collapsed="false">
      <c r="A281" s="47" t="n">
        <v>42776</v>
      </c>
      <c r="B281" s="20" t="n">
        <v>0.00379850723357666</v>
      </c>
      <c r="C281" s="20" t="n">
        <v>0.0107095815395403</v>
      </c>
      <c r="D281" s="20" t="n">
        <v>-0.000257190445939414</v>
      </c>
      <c r="E281" s="20" t="n">
        <v>0.00398885167429519</v>
      </c>
      <c r="F281" s="20" t="n">
        <v>0.0137695677272615</v>
      </c>
      <c r="G281" s="20" t="n">
        <v>-0.00809722412769087</v>
      </c>
      <c r="H281" s="20" t="n">
        <v>-0.00857030391559465</v>
      </c>
      <c r="I281" s="20" t="n">
        <v>-0.014218235345845</v>
      </c>
      <c r="J281" s="20" t="n">
        <v>0.00632250979145565</v>
      </c>
      <c r="K281" s="20" t="n">
        <v>0.015283074139952</v>
      </c>
      <c r="L281" s="20" t="n">
        <v>0.0807778494716129</v>
      </c>
      <c r="M281" s="20" t="n">
        <v>0.00800503473883607</v>
      </c>
      <c r="N281" s="20" t="n">
        <v>0.00529429322562657</v>
      </c>
      <c r="O281" s="20" t="n">
        <v>-0.0177988245989357</v>
      </c>
      <c r="P281" s="20" t="n">
        <v>-0.0109977811634585</v>
      </c>
      <c r="Q281" s="20" t="n">
        <v>0.00182978133426225</v>
      </c>
      <c r="R281" s="20" t="n">
        <v>0.00216241480389101</v>
      </c>
      <c r="S281" s="20" t="n">
        <v>0.0128371957947188</v>
      </c>
      <c r="T281" s="20" t="n">
        <v>0.014492978560975</v>
      </c>
      <c r="U281" s="20" t="n">
        <v>-0.00526094603731586</v>
      </c>
      <c r="V281" s="20" t="n">
        <v>0.00733022673237027</v>
      </c>
      <c r="W281" s="20" t="n">
        <v>0.00386170773023764</v>
      </c>
      <c r="X281" s="20" t="n">
        <v>0.0138537054872398</v>
      </c>
    </row>
    <row r="282" customFormat="false" ht="13.5" hidden="false" customHeight="true" outlineLevel="0" collapsed="false">
      <c r="A282" s="47" t="n">
        <v>42779</v>
      </c>
      <c r="B282" s="20" t="n">
        <v>0.00428387681583419</v>
      </c>
      <c r="C282" s="20" t="n">
        <v>0.00795763202947608</v>
      </c>
      <c r="D282" s="20" t="n">
        <v>0.013284151845216</v>
      </c>
      <c r="E282" s="20" t="n">
        <v>0.0071399905687941</v>
      </c>
      <c r="F282" s="20" t="n">
        <v>0.0278146822880938</v>
      </c>
      <c r="G282" s="20" t="n">
        <v>-0.00422449005530811</v>
      </c>
      <c r="H282" s="20" t="n">
        <v>0.0108950384889419</v>
      </c>
      <c r="I282" s="20" t="n">
        <v>-0.00838826878767928</v>
      </c>
      <c r="J282" s="20" t="n">
        <v>-0.00421062890807011</v>
      </c>
      <c r="K282" s="20" t="n">
        <v>-0.00914176315596637</v>
      </c>
      <c r="L282" s="20" t="n">
        <v>-0.0160003684749132</v>
      </c>
      <c r="M282" s="20" t="n">
        <v>0.0042839535633341</v>
      </c>
      <c r="N282" s="20" t="n">
        <v>-0.00325467825345482</v>
      </c>
      <c r="O282" s="20" t="n">
        <v>0.00245696615605606</v>
      </c>
      <c r="P282" s="20" t="n">
        <v>0.0156742874492508</v>
      </c>
      <c r="Q282" s="20" t="n">
        <v>0.023488002633504</v>
      </c>
      <c r="R282" s="20" t="n">
        <v>-0.000381251580238384</v>
      </c>
      <c r="S282" s="20" t="n">
        <v>-0.00639799883931635</v>
      </c>
      <c r="T282" s="20" t="n">
        <v>0.0105788807460545</v>
      </c>
      <c r="U282" s="20" t="n">
        <v>-0.00222350931165227</v>
      </c>
      <c r="V282" s="20" t="n">
        <v>0.0317787350309286</v>
      </c>
      <c r="W282" s="20" t="n">
        <v>0.0156442909109308</v>
      </c>
      <c r="X282" s="20" t="n">
        <v>0.0221992261540258</v>
      </c>
    </row>
    <row r="283" customFormat="false" ht="13.5" hidden="false" customHeight="true" outlineLevel="0" collapsed="false">
      <c r="A283" s="47" t="n">
        <v>42780</v>
      </c>
      <c r="B283" s="20" t="n">
        <v>0.00856801794083583</v>
      </c>
      <c r="C283" s="20" t="n">
        <v>0.00230904868053016</v>
      </c>
      <c r="D283" s="20" t="n">
        <v>0.018106900622949</v>
      </c>
      <c r="E283" s="20" t="n">
        <v>-0.00158223959438075</v>
      </c>
      <c r="F283" s="20" t="n">
        <v>0.0213824126843613</v>
      </c>
      <c r="G283" s="20" t="n">
        <v>0.0132173338951577</v>
      </c>
      <c r="H283" s="20" t="n">
        <v>0.0453935280375974</v>
      </c>
      <c r="I283" s="20" t="n">
        <v>0.00240378765706772</v>
      </c>
      <c r="J283" s="20" t="n">
        <v>0.0291081558963866</v>
      </c>
      <c r="K283" s="20" t="n">
        <v>0</v>
      </c>
      <c r="L283" s="20" t="n">
        <v>-0.00449037053101486</v>
      </c>
      <c r="M283" s="20" t="n">
        <v>0.0229408895794223</v>
      </c>
      <c r="N283" s="20" t="n">
        <v>-0.00572135992516642</v>
      </c>
      <c r="O283" s="20" t="n">
        <v>0.00903875548447263</v>
      </c>
      <c r="P283" s="20" t="n">
        <v>-0.00702298622127495</v>
      </c>
      <c r="Q283" s="20" t="n">
        <v>0.0419642422569939</v>
      </c>
      <c r="R283" s="20" t="n">
        <v>0.00936248595757671</v>
      </c>
      <c r="S283" s="20" t="n">
        <v>0.0146546422169144</v>
      </c>
      <c r="T283" s="20" t="n">
        <v>0.0156612540234779</v>
      </c>
      <c r="U283" s="20" t="n">
        <v>0.00402639800807058</v>
      </c>
      <c r="V283" s="20" t="n">
        <v>0.0242792820175488</v>
      </c>
      <c r="W283" s="20" t="n">
        <v>0.0097829614148539</v>
      </c>
      <c r="X283" s="20" t="n">
        <v>0.0070572191932765</v>
      </c>
    </row>
    <row r="284" customFormat="false" ht="13.5" hidden="false" customHeight="true" outlineLevel="0" collapsed="false">
      <c r="A284" s="47" t="n">
        <v>42781</v>
      </c>
      <c r="B284" s="20" t="n">
        <v>-0.00137699347078168</v>
      </c>
      <c r="C284" s="20" t="n">
        <v>0.00328952183282327</v>
      </c>
      <c r="D284" s="20" t="n">
        <v>-0.0026202408562197</v>
      </c>
      <c r="E284" s="20" t="n">
        <v>-0.00715141326068691</v>
      </c>
      <c r="F284" s="20" t="n">
        <v>0</v>
      </c>
      <c r="G284" s="20" t="n">
        <v>0.01275036768308</v>
      </c>
      <c r="H284" s="20" t="n">
        <v>-0.0231959838787703</v>
      </c>
      <c r="I284" s="20" t="n">
        <v>0.0588576630695558</v>
      </c>
      <c r="J284" s="20" t="n">
        <v>0.00612866741340201</v>
      </c>
      <c r="K284" s="20" t="n">
        <v>0.0101523616343508</v>
      </c>
      <c r="L284" s="20" t="n">
        <v>-0.0227592898571242</v>
      </c>
      <c r="M284" s="20" t="n">
        <v>0.0032772445495528</v>
      </c>
      <c r="N284" s="20" t="n">
        <v>-0.00493012219356137</v>
      </c>
      <c r="O284" s="20" t="n">
        <v>0.00315651760934576</v>
      </c>
      <c r="P284" s="20" t="n">
        <v>-0.0269857758170792</v>
      </c>
      <c r="Q284" s="20" t="n">
        <v>-0.00515026195299506</v>
      </c>
      <c r="R284" s="20" t="n">
        <v>0.000503503548080708</v>
      </c>
      <c r="S284" s="20" t="n">
        <v>-0.00126585191094452</v>
      </c>
      <c r="T284" s="20" t="n">
        <v>0.0234879451926199</v>
      </c>
      <c r="U284" s="20" t="n">
        <v>0.00745449235770312</v>
      </c>
      <c r="V284" s="20" t="n">
        <v>-0.0137226564115002</v>
      </c>
      <c r="W284" s="20" t="n">
        <v>-0.0073712566888382</v>
      </c>
      <c r="X284" s="20" t="n">
        <v>-0.00352238406671467</v>
      </c>
    </row>
    <row r="285" customFormat="false" ht="13.5" hidden="false" customHeight="true" outlineLevel="0" collapsed="false">
      <c r="A285" s="47" t="n">
        <v>42782</v>
      </c>
      <c r="B285" s="20" t="n">
        <v>-0.00419771136164559</v>
      </c>
      <c r="C285" s="20" t="n">
        <v>-0.0026307250940416</v>
      </c>
      <c r="D285" s="20" t="n">
        <v>0.00436326159358291</v>
      </c>
      <c r="E285" s="20" t="n">
        <v>0.00318471304484146</v>
      </c>
      <c r="F285" s="20" t="n">
        <v>-0.0024439712969837</v>
      </c>
      <c r="G285" s="20" t="n">
        <v>0.00206033032318453</v>
      </c>
      <c r="H285" s="20" t="n">
        <v>-0.00759881373753179</v>
      </c>
      <c r="I285" s="20" t="n">
        <v>-0.0159729973809716</v>
      </c>
      <c r="J285" s="20" t="n">
        <v>0.00609143205345463</v>
      </c>
      <c r="K285" s="20" t="n">
        <v>0.0150378629868183</v>
      </c>
      <c r="L285" s="20" t="n">
        <v>0.0100780157365956</v>
      </c>
      <c r="M285" s="20" t="n">
        <v>0</v>
      </c>
      <c r="N285" s="20" t="n">
        <v>0</v>
      </c>
      <c r="O285" s="20" t="n">
        <v>0.00556025954486827</v>
      </c>
      <c r="P285" s="20" t="n">
        <v>-0.00645683611194813</v>
      </c>
      <c r="Q285" s="20" t="n">
        <v>-0.0156117923032792</v>
      </c>
      <c r="R285" s="20" t="n">
        <v>0.00301628347427485</v>
      </c>
      <c r="S285" s="20" t="n">
        <v>0.00126585191094452</v>
      </c>
      <c r="T285" s="20" t="n">
        <v>0.00415810530881577</v>
      </c>
      <c r="U285" s="20" t="n">
        <v>0.00356950043588977</v>
      </c>
      <c r="V285" s="20" t="n">
        <v>0.00569490611116396</v>
      </c>
      <c r="W285" s="20" t="n">
        <v>-0.000516285693134221</v>
      </c>
      <c r="X285" s="20" t="n">
        <v>-0.00282685429119622</v>
      </c>
    </row>
    <row r="286" customFormat="false" ht="13.5" hidden="false" customHeight="true" outlineLevel="0" collapsed="false">
      <c r="A286" s="47" t="n">
        <v>42783</v>
      </c>
      <c r="B286" s="20" t="n">
        <v>-0.00227192999633096</v>
      </c>
      <c r="C286" s="20" t="n">
        <v>0.00492689731159234</v>
      </c>
      <c r="D286" s="20" t="n">
        <v>-0.000373235205538335</v>
      </c>
      <c r="E286" s="20" t="n">
        <v>0.00870600345198102</v>
      </c>
      <c r="F286" s="20" t="n">
        <v>0.0105477741736597</v>
      </c>
      <c r="G286" s="20" t="n">
        <v>0.00615575446931204</v>
      </c>
      <c r="H286" s="20" t="n">
        <v>0.00608366332822285</v>
      </c>
      <c r="I286" s="20" t="n">
        <v>-0.0174017872123544</v>
      </c>
      <c r="J286" s="20" t="n">
        <v>0.0200407317315134</v>
      </c>
      <c r="K286" s="20" t="n">
        <v>0.0428498162850734</v>
      </c>
      <c r="L286" s="20" t="n">
        <v>0.0489203963753031</v>
      </c>
      <c r="M286" s="20" t="n">
        <v>0</v>
      </c>
      <c r="N286" s="20" t="n">
        <v>0.0159349391622556</v>
      </c>
      <c r="O286" s="20" t="n">
        <v>0.00600891130824887</v>
      </c>
      <c r="P286" s="20" t="n">
        <v>-0.0138608066249892</v>
      </c>
      <c r="Q286" s="20" t="n">
        <v>0.0138891817257698</v>
      </c>
      <c r="R286" s="20" t="n">
        <v>0.00087801439086288</v>
      </c>
      <c r="S286" s="20" t="n">
        <v>0.0249856015058123</v>
      </c>
      <c r="T286" s="20" t="n">
        <v>0.0114926673491995</v>
      </c>
      <c r="U286" s="20" t="n">
        <v>0.00927574912025086</v>
      </c>
      <c r="V286" s="20" t="n">
        <v>0.00347442296236666</v>
      </c>
      <c r="W286" s="20" t="n">
        <v>0.00275055781461919</v>
      </c>
      <c r="X286" s="20" t="n">
        <v>0.00423725680507347</v>
      </c>
    </row>
    <row r="287" customFormat="false" ht="13.5" hidden="false" customHeight="true" outlineLevel="0" collapsed="false">
      <c r="A287" s="47" t="n">
        <v>42787</v>
      </c>
      <c r="B287" s="20" t="n">
        <v>0.00492516099322504</v>
      </c>
      <c r="C287" s="20" t="n">
        <v>-0.00624485968643018</v>
      </c>
      <c r="D287" s="20" t="n">
        <v>0.00879642769331656</v>
      </c>
      <c r="E287" s="20" t="n">
        <v>-0.00157724830490479</v>
      </c>
      <c r="F287" s="20" t="n">
        <v>0.000403479067753842</v>
      </c>
      <c r="G287" s="20" t="n">
        <v>-0.0293572355453712</v>
      </c>
      <c r="H287" s="20" t="n">
        <v>0.00830511465269712</v>
      </c>
      <c r="I287" s="20" t="n">
        <v>-0.011771811373141</v>
      </c>
      <c r="J287" s="20" t="n">
        <v>0.0215906586791589</v>
      </c>
      <c r="K287" s="20" t="n">
        <v>0.00948772797648223</v>
      </c>
      <c r="L287" s="20" t="n">
        <v>-0.024605870901782</v>
      </c>
      <c r="M287" s="20" t="n">
        <v>-0.000892688043376388</v>
      </c>
      <c r="N287" s="20" t="n">
        <v>0.00646466281357804</v>
      </c>
      <c r="O287" s="20" t="n">
        <v>-0.00336052621012683</v>
      </c>
      <c r="P287" s="20" t="n">
        <v>-0.0600603329153259</v>
      </c>
      <c r="Q287" s="20" t="n">
        <v>0.0187878551617182</v>
      </c>
      <c r="R287" s="20" t="n">
        <v>0.0050025305847372</v>
      </c>
      <c r="S287" s="20" t="n">
        <v>0.00430912348322243</v>
      </c>
      <c r="T287" s="20" t="n">
        <v>-0.00117270358826759</v>
      </c>
      <c r="U287" s="20" t="n">
        <v>-0.00067915862383483</v>
      </c>
      <c r="V287" s="20" t="n">
        <v>0.0103514900356289</v>
      </c>
      <c r="W287" s="20" t="n">
        <v>0.00188664166716367</v>
      </c>
      <c r="X287" s="20" t="n">
        <v>0</v>
      </c>
    </row>
    <row r="288" customFormat="false" ht="13.5" hidden="false" customHeight="true" outlineLevel="0" collapsed="false">
      <c r="A288" s="47" t="n">
        <v>42788</v>
      </c>
      <c r="B288" s="20" t="n">
        <v>0.00275634141886627</v>
      </c>
      <c r="C288" s="20" t="n">
        <v>-0.0102734852774735</v>
      </c>
      <c r="D288" s="20" t="n">
        <v>0.0180912320994686</v>
      </c>
      <c r="E288" s="20" t="n">
        <v>-0.00871980590564414</v>
      </c>
      <c r="F288" s="20" t="n">
        <v>-0.00850728194442984</v>
      </c>
      <c r="G288" s="20" t="n">
        <v>-0.00724853247235168</v>
      </c>
      <c r="H288" s="20" t="n">
        <v>-0.0136262384310676</v>
      </c>
      <c r="I288" s="20" t="n">
        <v>-0.004153058281672</v>
      </c>
      <c r="J288" s="20" t="n">
        <v>-0.0156558817322414</v>
      </c>
      <c r="K288" s="20" t="n">
        <v>-0.0326324916979243</v>
      </c>
      <c r="L288" s="20" t="n">
        <v>-0.0445730695287207</v>
      </c>
      <c r="M288" s="20" t="n">
        <v>0.0138953073874414</v>
      </c>
      <c r="N288" s="20" t="n">
        <v>-0.0048446134977893</v>
      </c>
      <c r="O288" s="20" t="n">
        <v>0.00861869367641077</v>
      </c>
      <c r="P288" s="20" t="n">
        <v>-0.00699914682034519</v>
      </c>
      <c r="Q288" s="20" t="n">
        <v>-0.0050890242261361</v>
      </c>
      <c r="R288" s="20" t="n">
        <v>0.00869458873932504</v>
      </c>
      <c r="S288" s="20" t="n">
        <v>-0.0167238614468328</v>
      </c>
      <c r="T288" s="20" t="n">
        <v>-0.00146776002503656</v>
      </c>
      <c r="U288" s="20" t="n">
        <v>0.0116170511462314</v>
      </c>
      <c r="V288" s="20" t="n">
        <v>0.00755946702270105</v>
      </c>
      <c r="W288" s="20" t="n">
        <v>0.00222509403860549</v>
      </c>
      <c r="X288" s="20" t="n">
        <v>-0.000704918975108714</v>
      </c>
    </row>
    <row r="289" customFormat="false" ht="13.5" hidden="false" customHeight="true" outlineLevel="0" collapsed="false">
      <c r="A289" s="47" t="n">
        <v>42789</v>
      </c>
      <c r="B289" s="20" t="n">
        <v>-0.00165282568188285</v>
      </c>
      <c r="C289" s="20" t="n">
        <v>0.00564692248181897</v>
      </c>
      <c r="D289" s="20" t="n">
        <v>0.00386894066947629</v>
      </c>
      <c r="E289" s="20" t="n">
        <v>-0.0071914133433828</v>
      </c>
      <c r="F289" s="20" t="n">
        <v>-0.0143415850979851</v>
      </c>
      <c r="G289" s="20" t="n">
        <v>0.0090525429699686</v>
      </c>
      <c r="H289" s="20" t="n">
        <v>-0.023911699695823</v>
      </c>
      <c r="I289" s="20" t="n">
        <v>-0.0149748233800726</v>
      </c>
      <c r="J289" s="20" t="n">
        <v>0.00981356523832333</v>
      </c>
      <c r="K289" s="20" t="n">
        <v>-0.0297051263612331</v>
      </c>
      <c r="L289" s="20" t="n">
        <v>-0.0216275037504516</v>
      </c>
      <c r="M289" s="20" t="n">
        <v>0.00585472834964617</v>
      </c>
      <c r="N289" s="20" t="n">
        <v>-0.00527488191564851</v>
      </c>
      <c r="O289" s="20" t="n">
        <v>0.00972608404179187</v>
      </c>
      <c r="P289" s="20" t="n">
        <v>-0.0177153227769872</v>
      </c>
      <c r="Q289" s="20" t="n">
        <v>-0.0293377510246268</v>
      </c>
      <c r="R289" s="20" t="n">
        <v>0.00763836079720814</v>
      </c>
      <c r="S289" s="20" t="n">
        <v>0</v>
      </c>
      <c r="T289" s="20" t="n">
        <v>0.00819193512688754</v>
      </c>
      <c r="U289" s="20" t="n">
        <v>-0.000402965677020361</v>
      </c>
      <c r="V289" s="20" t="n">
        <v>0.0119420040432132</v>
      </c>
      <c r="W289" s="20" t="n">
        <v>-0.0116940333019446</v>
      </c>
      <c r="X289" s="20" t="n">
        <v>0</v>
      </c>
    </row>
    <row r="290" customFormat="false" ht="13.5" hidden="false" customHeight="true" outlineLevel="0" collapsed="false">
      <c r="A290" s="47" t="n">
        <v>42790</v>
      </c>
      <c r="B290" s="20" t="n">
        <v>-0.0108109837820418</v>
      </c>
      <c r="C290" s="20" t="n">
        <v>-0.00831537984781993</v>
      </c>
      <c r="D290" s="20" t="n">
        <v>0.00229006080511062</v>
      </c>
      <c r="E290" s="20" t="n">
        <v>0.0151216235576319</v>
      </c>
      <c r="F290" s="20" t="n">
        <v>0.0139346581764203</v>
      </c>
      <c r="G290" s="20" t="n">
        <v>-0.0326696634531749</v>
      </c>
      <c r="H290" s="20" t="n">
        <v>0.00855042972467545</v>
      </c>
      <c r="I290" s="20" t="n">
        <v>-0.0337558428063795</v>
      </c>
      <c r="J290" s="20" t="n">
        <v>0.0116506064324548</v>
      </c>
      <c r="K290" s="20" t="n">
        <v>0.00750947430756121</v>
      </c>
      <c r="L290" s="20" t="n">
        <v>0.00851866944425916</v>
      </c>
      <c r="M290" s="20" t="n">
        <v>0.000583614215855288</v>
      </c>
      <c r="N290" s="20" t="n">
        <v>0.00121978816993628</v>
      </c>
      <c r="O290" s="20" t="n">
        <v>-0.0128298484387596</v>
      </c>
      <c r="P290" s="20" t="n">
        <v>-0.000893989801040717</v>
      </c>
      <c r="Q290" s="20" t="n">
        <v>0.00524014010794049</v>
      </c>
      <c r="R290" s="20" t="n">
        <v>-0.000859471988666094</v>
      </c>
      <c r="S290" s="20" t="n">
        <v>0.000624428909921093</v>
      </c>
      <c r="T290" s="20" t="n">
        <v>-0.00174982182374616</v>
      </c>
      <c r="U290" s="20" t="n">
        <v>0.00214731039856008</v>
      </c>
      <c r="V290" s="20" t="n">
        <v>0.00212394321582998</v>
      </c>
      <c r="W290" s="20" t="n">
        <v>0.00431518739981129</v>
      </c>
      <c r="X290" s="20" t="n">
        <v>0.00211340216797983</v>
      </c>
    </row>
    <row r="291" customFormat="false" ht="13.5" hidden="false" customHeight="true" outlineLevel="0" collapsed="false">
      <c r="A291" s="47" t="n">
        <v>42793</v>
      </c>
      <c r="B291" s="20" t="n">
        <v>0.00233847568459211</v>
      </c>
      <c r="C291" s="20" t="n">
        <v>-0.0043514712792767</v>
      </c>
      <c r="D291" s="20" t="n">
        <v>-0.00301441124573553</v>
      </c>
      <c r="E291" s="20" t="n">
        <v>-0.0103216570664552</v>
      </c>
      <c r="F291" s="20" t="n">
        <v>0.00446703729007325</v>
      </c>
      <c r="G291" s="20" t="n">
        <v>-0.0131211498410062</v>
      </c>
      <c r="H291" s="20" t="n">
        <v>-0.010112928558271</v>
      </c>
      <c r="I291" s="20" t="n">
        <v>-0.00437915294216928</v>
      </c>
      <c r="J291" s="20" t="n">
        <v>-0.0175271625917237</v>
      </c>
      <c r="K291" s="20" t="n">
        <v>-0.0433189541483473</v>
      </c>
      <c r="L291" s="20" t="n">
        <v>-0.0248103636991232</v>
      </c>
      <c r="M291" s="20" t="n">
        <v>-0.00467836680099154</v>
      </c>
      <c r="N291" s="20" t="n">
        <v>-0.0143239762534821</v>
      </c>
      <c r="O291" s="20" t="n">
        <v>-0.000717588335490404</v>
      </c>
      <c r="P291" s="20" t="n">
        <v>-0.00718135233860417</v>
      </c>
      <c r="Q291" s="20" t="n">
        <v>-0.00874891226203078</v>
      </c>
      <c r="R291" s="20" t="n">
        <v>-0.0102476580827781</v>
      </c>
      <c r="S291" s="20" t="n">
        <v>-0.0265670315060453</v>
      </c>
      <c r="T291" s="20" t="n">
        <v>-0.00233775728801255</v>
      </c>
      <c r="U291" s="20" t="n">
        <v>0.00441445226520453</v>
      </c>
      <c r="V291" s="20" t="n">
        <v>0.0026485000133487</v>
      </c>
      <c r="W291" s="20" t="n">
        <v>-0.00310506203220306</v>
      </c>
      <c r="X291" s="20" t="n">
        <v>-0.00493826004484754</v>
      </c>
    </row>
    <row r="292" customFormat="false" ht="13.5" hidden="false" customHeight="true" outlineLevel="0" collapsed="false">
      <c r="A292" s="47" t="n">
        <v>42794</v>
      </c>
      <c r="B292" s="20" t="n">
        <v>0.0117755159981998</v>
      </c>
      <c r="C292" s="20" t="n">
        <v>0.0126668511270966</v>
      </c>
      <c r="D292" s="20" t="n">
        <v>0.0124806725079098</v>
      </c>
      <c r="E292" s="20" t="n">
        <v>0.012688501062755</v>
      </c>
      <c r="F292" s="20" t="n">
        <v>0.0326852407618862</v>
      </c>
      <c r="G292" s="20" t="n">
        <v>0.00814292422211027</v>
      </c>
      <c r="H292" s="20" t="n">
        <v>0.00701215397470056</v>
      </c>
      <c r="I292" s="20" t="n">
        <v>-0.0202666655172936</v>
      </c>
      <c r="J292" s="20" t="n">
        <v>0.0155948427369816</v>
      </c>
      <c r="K292" s="20" t="n">
        <v>0.00984721798278709</v>
      </c>
      <c r="L292" s="20" t="n">
        <v>0.0323221292153981</v>
      </c>
      <c r="M292" s="20" t="n">
        <v>0.00875404626717557</v>
      </c>
      <c r="N292" s="20" t="n">
        <v>-0.00910976519993322</v>
      </c>
      <c r="O292" s="20" t="n">
        <v>0.0059644694186467</v>
      </c>
      <c r="P292" s="20" t="n">
        <v>0.0406057568583233</v>
      </c>
      <c r="Q292" s="20" t="n">
        <v>0.0104895966146998</v>
      </c>
      <c r="R292" s="20" t="n">
        <v>0.00148803497318095</v>
      </c>
      <c r="S292" s="20" t="n">
        <v>0.0209332043705776</v>
      </c>
      <c r="T292" s="20" t="n">
        <v>0.00757795306871011</v>
      </c>
      <c r="U292" s="20" t="n">
        <v>0.00903540986614803</v>
      </c>
      <c r="V292" s="20" t="n">
        <v>0.0082536463493561</v>
      </c>
      <c r="W292" s="20" t="n">
        <v>0.0314624788630899</v>
      </c>
      <c r="X292" s="20" t="n">
        <v>0.0361150013013764</v>
      </c>
    </row>
    <row r="293" customFormat="false" ht="13.5" hidden="false" customHeight="true" outlineLevel="0" collapsed="false">
      <c r="A293" s="47" t="n">
        <v>42795</v>
      </c>
      <c r="B293" s="20" t="n">
        <v>-0.00783494509886839</v>
      </c>
      <c r="C293" s="20" t="n">
        <v>0</v>
      </c>
      <c r="D293" s="20" t="n">
        <v>-0.0112737437736756</v>
      </c>
      <c r="E293" s="20" t="n">
        <v>-0.00236684399629982</v>
      </c>
      <c r="F293" s="20" t="n">
        <v>-0.0106447076550395</v>
      </c>
      <c r="G293" s="20" t="n">
        <v>-0.0443242094026987</v>
      </c>
      <c r="H293" s="20" t="n">
        <v>-0.0275499809304311</v>
      </c>
      <c r="I293" s="20" t="n">
        <v>-0.0391439657567658</v>
      </c>
      <c r="J293" s="20" t="n">
        <v>-0.00776702178653798</v>
      </c>
      <c r="K293" s="20" t="n">
        <v>-0.0287752353821613</v>
      </c>
      <c r="L293" s="20" t="n">
        <v>-0.0707316103572299</v>
      </c>
      <c r="M293" s="20" t="n">
        <v>0.00261135088681063</v>
      </c>
      <c r="N293" s="20" t="n">
        <v>-0.0214429158295312</v>
      </c>
      <c r="O293" s="20" t="n">
        <v>0.000713322562150065</v>
      </c>
      <c r="P293" s="20" t="n">
        <v>-0.0139375776050609</v>
      </c>
      <c r="Q293" s="20" t="n">
        <v>-0.0591040252813306</v>
      </c>
      <c r="R293" s="20" t="n">
        <v>0.00802227744826389</v>
      </c>
      <c r="S293" s="20" t="n">
        <v>-0.00503461868847621</v>
      </c>
      <c r="T293" s="20" t="n">
        <v>-0.00145283298840714</v>
      </c>
      <c r="U293" s="20" t="n">
        <v>0.0015860794604956</v>
      </c>
      <c r="V293" s="20" t="n">
        <v>-0.00561207527413198</v>
      </c>
      <c r="W293" s="20" t="n">
        <v>-0.0172243445982998</v>
      </c>
      <c r="X293" s="20" t="n">
        <v>-0.0255626967777655</v>
      </c>
    </row>
    <row r="294" customFormat="false" ht="13.5" hidden="false" customHeight="true" outlineLevel="0" collapsed="false">
      <c r="A294" s="47" t="n">
        <v>42796</v>
      </c>
      <c r="B294" s="20" t="n">
        <v>-0.00266235514240698</v>
      </c>
      <c r="C294" s="20" t="n">
        <v>-0.00232136607006427</v>
      </c>
      <c r="D294" s="20" t="n">
        <v>0.0104385746507276</v>
      </c>
      <c r="E294" s="20" t="n">
        <v>-0.000790219645455003</v>
      </c>
      <c r="F294" s="20" t="n">
        <v>0.00828901495541112</v>
      </c>
      <c r="G294" s="20" t="n">
        <v>-0.0344976473520355</v>
      </c>
      <c r="H294" s="20" t="n">
        <v>0.0252180182671803</v>
      </c>
      <c r="I294" s="20" t="n">
        <v>0.0059701771840479</v>
      </c>
      <c r="J294" s="20" t="n">
        <v>-0.00390625114717302</v>
      </c>
      <c r="K294" s="20" t="n">
        <v>0.0189280173993742</v>
      </c>
      <c r="L294" s="20" t="n">
        <v>0.0218479656738268</v>
      </c>
      <c r="M294" s="20" t="n">
        <v>0.00028979100325488</v>
      </c>
      <c r="N294" s="20" t="n">
        <v>-0.0021272564569772</v>
      </c>
      <c r="O294" s="20" t="n">
        <v>-0.00142724512112213</v>
      </c>
      <c r="P294" s="20" t="n">
        <v>0.00350262733367756</v>
      </c>
      <c r="Q294" s="20" t="n">
        <v>0.0218986643455287</v>
      </c>
      <c r="R294" s="20" t="n">
        <v>-0.00406481856693474</v>
      </c>
      <c r="S294" s="20" t="n">
        <v>0.0150284460969105</v>
      </c>
      <c r="T294" s="20" t="n">
        <v>-0.00291201352186565</v>
      </c>
      <c r="U294" s="20" t="n">
        <v>-0.00198296746809045</v>
      </c>
      <c r="V294" s="20" t="n">
        <v>0.00701015339974997</v>
      </c>
      <c r="W294" s="20" t="n">
        <v>0.0030612321101815</v>
      </c>
      <c r="X294" s="20" t="n">
        <v>0.00766819081871261</v>
      </c>
    </row>
    <row r="295" customFormat="false" ht="13.5" hidden="false" customHeight="true" outlineLevel="0" collapsed="false">
      <c r="A295" s="47" t="n">
        <v>42797</v>
      </c>
      <c r="B295" s="20" t="n">
        <v>0.00232995869284291</v>
      </c>
      <c r="C295" s="20" t="n">
        <v>-0.00399203654859103</v>
      </c>
      <c r="D295" s="20" t="n">
        <v>0.000596659543692368</v>
      </c>
      <c r="E295" s="20" t="n">
        <v>-0.0103297827832737</v>
      </c>
      <c r="F295" s="20" t="n">
        <v>-0.00749660374338301</v>
      </c>
      <c r="G295" s="20" t="n">
        <v>-0.00881355947666051</v>
      </c>
      <c r="H295" s="20" t="n">
        <v>-0.00938238985201334</v>
      </c>
      <c r="I295" s="20" t="n">
        <v>-0.00796816208033313</v>
      </c>
      <c r="J295" s="20" t="n">
        <v>-0.00392156980327063</v>
      </c>
      <c r="K295" s="20" t="n">
        <v>-0.00574559846207112</v>
      </c>
      <c r="L295" s="20" t="n">
        <v>-0.0238580626468287</v>
      </c>
      <c r="M295" s="20" t="n">
        <v>-0.00493690522920564</v>
      </c>
      <c r="N295" s="20" t="n">
        <v>-0.0163163414224092</v>
      </c>
      <c r="O295" s="20" t="n">
        <v>-0.00119088351826146</v>
      </c>
      <c r="P295" s="20" t="n">
        <v>0</v>
      </c>
      <c r="Q295" s="20" t="n">
        <v>-0.0145456971300186</v>
      </c>
      <c r="R295" s="20" t="n">
        <v>-0.00210042919099517</v>
      </c>
      <c r="S295" s="20" t="n">
        <v>-0.00373596103120155</v>
      </c>
      <c r="T295" s="20" t="n">
        <v>-0.00292062968961559</v>
      </c>
      <c r="U295" s="20" t="n">
        <v>0.000132347153742884</v>
      </c>
      <c r="V295" s="20" t="n">
        <v>-0.00507743543746563</v>
      </c>
      <c r="W295" s="20" t="n">
        <v>-0.00476594569009858</v>
      </c>
      <c r="X295" s="20" t="n">
        <v>-0.00626955719932276</v>
      </c>
    </row>
    <row r="296" customFormat="false" ht="13.5" hidden="false" customHeight="true" outlineLevel="0" collapsed="false">
      <c r="A296" s="47" t="n">
        <v>42800</v>
      </c>
      <c r="B296" s="20" t="n">
        <v>-0.000498801930077341</v>
      </c>
      <c r="C296" s="20" t="n">
        <v>-0.00467757431616888</v>
      </c>
      <c r="D296" s="20" t="n">
        <v>-0.0130878252775694</v>
      </c>
      <c r="E296" s="20" t="n">
        <v>-0.00480388581368362</v>
      </c>
      <c r="F296" s="20" t="n">
        <v>-0.0015854508375801</v>
      </c>
      <c r="G296" s="20" t="n">
        <v>-0.0192512432258333</v>
      </c>
      <c r="H296" s="20" t="n">
        <v>-0.0126483778090351</v>
      </c>
      <c r="I296" s="20" t="n">
        <v>-0.0181640017046351</v>
      </c>
      <c r="J296" s="20" t="n">
        <v>0.00587655615926885</v>
      </c>
      <c r="K296" s="20" t="n">
        <v>-0.069966216995046</v>
      </c>
      <c r="L296" s="20" t="n">
        <v>-0.00100646966373441</v>
      </c>
      <c r="M296" s="20" t="n">
        <v>-0.0105355611576287</v>
      </c>
      <c r="N296" s="20" t="n">
        <v>-0.0263173248312145</v>
      </c>
      <c r="O296" s="20" t="n">
        <v>-0.00190835020252588</v>
      </c>
      <c r="P296" s="20" t="n">
        <v>-0.0167478206214406</v>
      </c>
      <c r="Q296" s="20" t="n">
        <v>-0.0147604012981996</v>
      </c>
      <c r="R296" s="20" t="n">
        <v>-0.000494877116483216</v>
      </c>
      <c r="S296" s="20" t="n">
        <v>-0.00563036241918224</v>
      </c>
      <c r="T296" s="20" t="n">
        <v>0.0002925028919738</v>
      </c>
      <c r="U296" s="20" t="n">
        <v>0.0068565226686168</v>
      </c>
      <c r="V296" s="20" t="n">
        <v>-0.0112975495069509</v>
      </c>
      <c r="W296" s="20" t="n">
        <v>-0.00530326063210928</v>
      </c>
      <c r="X296" s="20" t="n">
        <v>-0.00490373298101154</v>
      </c>
    </row>
    <row r="297" customFormat="false" ht="13.5" hidden="false" customHeight="true" outlineLevel="0" collapsed="false">
      <c r="A297" s="47" t="n">
        <v>42801</v>
      </c>
      <c r="B297" s="20" t="n">
        <v>-0.00516916321970839</v>
      </c>
      <c r="C297" s="20" t="n">
        <v>-0.00201137300797915</v>
      </c>
      <c r="D297" s="20" t="n">
        <v>0.00806511494376849</v>
      </c>
      <c r="E297" s="20" t="n">
        <v>0.00560223117595715</v>
      </c>
      <c r="F297" s="20" t="n">
        <v>0.00198142109959498</v>
      </c>
      <c r="G297" s="20" t="n">
        <v>0.0065732994272678</v>
      </c>
      <c r="H297" s="20" t="n">
        <v>-0.0225270769857584</v>
      </c>
      <c r="I297" s="20" t="n">
        <v>-0.00476351334752056</v>
      </c>
      <c r="J297" s="20" t="n">
        <v>0.00778213322249987</v>
      </c>
      <c r="K297" s="20" t="n">
        <v>-0.0578195860371445</v>
      </c>
      <c r="L297" s="20" t="n">
        <v>-0.0484881216935511</v>
      </c>
      <c r="M297" s="20" t="n">
        <v>-0.00235646145146084</v>
      </c>
      <c r="N297" s="20" t="n">
        <v>-0.00222466103817131</v>
      </c>
      <c r="O297" s="20" t="n">
        <v>-0.00263002203828666</v>
      </c>
      <c r="P297" s="20" t="n">
        <v>-0.0670898778272093</v>
      </c>
      <c r="Q297" s="20" t="n">
        <v>0.00371057578562505</v>
      </c>
      <c r="R297" s="20" t="n">
        <v>0.00284218120398449</v>
      </c>
      <c r="S297" s="20" t="n">
        <v>-0.00629325101795341</v>
      </c>
      <c r="T297" s="20" t="n">
        <v>-0.00527706595329213</v>
      </c>
      <c r="U297" s="20" t="n">
        <v>-0.0034224351572103</v>
      </c>
      <c r="V297" s="20" t="n">
        <v>0.0139270139193579</v>
      </c>
      <c r="W297" s="20" t="n">
        <v>-0.00154493471437078</v>
      </c>
      <c r="X297" s="20" t="n">
        <v>-0.00422234728512149</v>
      </c>
    </row>
    <row r="298" customFormat="false" ht="13.5" hidden="false" customHeight="true" outlineLevel="0" collapsed="false">
      <c r="A298" s="47" t="n">
        <v>42802</v>
      </c>
      <c r="B298" s="20" t="n">
        <v>-0.0127304769412859</v>
      </c>
      <c r="C298" s="20" t="n">
        <v>-0.0047091081505779</v>
      </c>
      <c r="D298" s="20" t="n">
        <v>0.0135748612802686</v>
      </c>
      <c r="E298" s="20" t="n">
        <v>-0.00239710328856324</v>
      </c>
      <c r="F298" s="20" t="n">
        <v>0.00355661910192361</v>
      </c>
      <c r="G298" s="20" t="n">
        <v>-0.0058793209825021</v>
      </c>
      <c r="H298" s="20" t="n">
        <v>-0.00653062897297651</v>
      </c>
      <c r="I298" s="20" t="n">
        <v>-0.00547196470232291</v>
      </c>
      <c r="J298" s="20" t="n">
        <v>-0.00193981672858178</v>
      </c>
      <c r="K298" s="20" t="n">
        <v>0.0578195860371445</v>
      </c>
      <c r="L298" s="20" t="n">
        <v>0</v>
      </c>
      <c r="M298" s="20" t="n">
        <v>0.00412005855131925</v>
      </c>
      <c r="N298" s="20" t="n">
        <v>0.012394969553064</v>
      </c>
      <c r="O298" s="20" t="n">
        <v>0.0040616032613574</v>
      </c>
      <c r="P298" s="20" t="n">
        <v>-0.000951044156830782</v>
      </c>
      <c r="Q298" s="20" t="n">
        <v>-0.00557108402124884</v>
      </c>
      <c r="R298" s="20" t="n">
        <v>-0.00420433377783524</v>
      </c>
      <c r="S298" s="20" t="n">
        <v>-0.000631526946012428</v>
      </c>
      <c r="T298" s="20" t="n">
        <v>0.00146862229212052</v>
      </c>
      <c r="U298" s="20" t="n">
        <v>0.00460444286911698</v>
      </c>
      <c r="V298" s="20" t="n">
        <v>0.0151163115005896</v>
      </c>
      <c r="W298" s="20" t="n">
        <v>0.00838259427567944</v>
      </c>
      <c r="X298" s="20" t="n">
        <v>0.00211340216797983</v>
      </c>
    </row>
    <row r="299" customFormat="false" ht="13.5" hidden="false" customHeight="true" outlineLevel="0" collapsed="false">
      <c r="A299" s="47" t="n">
        <v>42803</v>
      </c>
      <c r="B299" s="20" t="n">
        <v>0.00366192440607004</v>
      </c>
      <c r="C299" s="20" t="n">
        <v>0.0206881378445618</v>
      </c>
      <c r="D299" s="20" t="n">
        <v>-0.00224974859305238</v>
      </c>
      <c r="E299" s="20" t="n">
        <v>0.00239710328856324</v>
      </c>
      <c r="F299" s="20" t="n">
        <v>-0.00157919162893138</v>
      </c>
      <c r="G299" s="20" t="n">
        <v>-0.000346929021624031</v>
      </c>
      <c r="H299" s="20" t="n">
        <v>0.0154411115474477</v>
      </c>
      <c r="I299" s="20" t="n">
        <v>0.0163268779280514</v>
      </c>
      <c r="J299" s="20" t="n">
        <v>0.00773697500934145</v>
      </c>
      <c r="K299" s="20" t="n">
        <v>0.00448432158661771</v>
      </c>
      <c r="L299" s="20" t="n">
        <v>0.00105654829908985</v>
      </c>
      <c r="M299" s="20" t="n">
        <v>0.0017606041351037</v>
      </c>
      <c r="N299" s="20" t="n">
        <v>0.0178770776637913</v>
      </c>
      <c r="O299" s="20" t="n">
        <v>0.00972839233827338</v>
      </c>
      <c r="P299" s="20" t="n">
        <v>-0.0143750029743148</v>
      </c>
      <c r="Q299" s="20" t="n">
        <v>0.0166209095338234</v>
      </c>
      <c r="R299" s="20" t="n">
        <v>-0.00372434229630691</v>
      </c>
      <c r="S299" s="20" t="n">
        <v>0.0347644864431311</v>
      </c>
      <c r="T299" s="20" t="n">
        <v>0.00556122118838864</v>
      </c>
      <c r="U299" s="20" t="n">
        <v>0.00340663992814604</v>
      </c>
      <c r="V299" s="20" t="n">
        <v>0.00567447163520018</v>
      </c>
      <c r="W299" s="20" t="n">
        <v>0.00255206794669593</v>
      </c>
      <c r="X299" s="20" t="n">
        <v>-0.00140848319287112</v>
      </c>
    </row>
    <row r="300" customFormat="false" ht="13.5" hidden="false" customHeight="true" outlineLevel="0" collapsed="false">
      <c r="A300" s="47" t="n">
        <v>42804</v>
      </c>
      <c r="B300" s="20" t="n">
        <v>-0.00773378821073933</v>
      </c>
      <c r="C300" s="20" t="n">
        <v>-0.0139676566860047</v>
      </c>
      <c r="D300" s="20" t="n">
        <v>-0.00261129193728137</v>
      </c>
      <c r="E300" s="20" t="n">
        <v>0.000797784565932602</v>
      </c>
      <c r="F300" s="20" t="n">
        <v>-0.00039518787861148</v>
      </c>
      <c r="G300" s="20" t="n">
        <v>-0.00452093137430953</v>
      </c>
      <c r="H300" s="20" t="n">
        <v>0.0152064183287219</v>
      </c>
      <c r="I300" s="20" t="n">
        <v>0.00269541691001062</v>
      </c>
      <c r="J300" s="20" t="n">
        <v>0.047045363183384</v>
      </c>
      <c r="K300" s="20" t="n">
        <v>0.00390732821452344</v>
      </c>
      <c r="L300" s="20" t="n">
        <v>0.0383267911757347</v>
      </c>
      <c r="M300" s="20" t="n">
        <v>0</v>
      </c>
      <c r="N300" s="20" t="n">
        <v>0.0137341088112341</v>
      </c>
      <c r="O300" s="20" t="n">
        <v>0.000472154361369714</v>
      </c>
      <c r="P300" s="20" t="n">
        <v>0.0266683124885993</v>
      </c>
      <c r="Q300" s="20" t="n">
        <v>0.00365630769704883</v>
      </c>
      <c r="R300" s="20" t="n">
        <v>0.000497400091586719</v>
      </c>
      <c r="S300" s="20" t="n">
        <v>-0.00734840615008236</v>
      </c>
      <c r="T300" s="20" t="n">
        <v>-0.00468110436165902</v>
      </c>
      <c r="U300" s="20" t="n">
        <v>-0.0105194320521135</v>
      </c>
      <c r="V300" s="20" t="n">
        <v>-0.0241226341440876</v>
      </c>
      <c r="W300" s="20" t="n">
        <v>-0.00255206794669593</v>
      </c>
      <c r="X300" s="20" t="n">
        <v>0.00140848319287112</v>
      </c>
    </row>
    <row r="301" customFormat="false" ht="13.5" hidden="false" customHeight="true" outlineLevel="0" collapsed="false">
      <c r="A301" s="47" t="n">
        <v>42807</v>
      </c>
      <c r="B301" s="20" t="n">
        <v>-0.00420243378704388</v>
      </c>
      <c r="C301" s="20" t="n">
        <v>-0.0107744892358332</v>
      </c>
      <c r="D301" s="20" t="n">
        <v>0.00379596775764845</v>
      </c>
      <c r="E301" s="20" t="n">
        <v>0.000797148613038256</v>
      </c>
      <c r="F301" s="20" t="n">
        <v>0.000790219645455003</v>
      </c>
      <c r="G301" s="20" t="n">
        <v>0.000348500740792623</v>
      </c>
      <c r="H301" s="20" t="n">
        <v>-0.0152064183287219</v>
      </c>
      <c r="I301" s="20" t="n">
        <v>-0.0203949445974256</v>
      </c>
      <c r="J301" s="20" t="n">
        <v>-0.00923371123617378</v>
      </c>
      <c r="K301" s="20" t="n">
        <v>-0.00278939949046663</v>
      </c>
      <c r="L301" s="20" t="n">
        <v>0.00203040722373026</v>
      </c>
      <c r="M301" s="20" t="n">
        <v>0.00321968981207998</v>
      </c>
      <c r="N301" s="20" t="n">
        <v>-0.00512817080426941</v>
      </c>
      <c r="O301" s="20" t="n">
        <v>-0.00663035302147818</v>
      </c>
      <c r="P301" s="20" t="n">
        <v>-0.0305367856985538</v>
      </c>
      <c r="Q301" s="20" t="n">
        <v>-0.025879422893873</v>
      </c>
      <c r="R301" s="20" t="n">
        <v>-0.00686091440104874</v>
      </c>
      <c r="S301" s="20" t="n">
        <v>-0.0154849791516658</v>
      </c>
      <c r="T301" s="20" t="n">
        <v>0.000586351776522775</v>
      </c>
      <c r="U301" s="20" t="n">
        <v>-0.00410630674848366</v>
      </c>
      <c r="V301" s="20" t="n">
        <v>-0.00422464421189516</v>
      </c>
      <c r="W301" s="20" t="n">
        <v>0.00102158290957543</v>
      </c>
      <c r="X301" s="20" t="n">
        <v>-0.00919059948223299</v>
      </c>
    </row>
    <row r="302" customFormat="false" ht="13.5" hidden="false" customHeight="true" outlineLevel="0" collapsed="false">
      <c r="A302" s="47" t="n">
        <v>42808</v>
      </c>
      <c r="B302" s="20" t="n">
        <v>0.000512026513636243</v>
      </c>
      <c r="C302" s="20" t="n">
        <v>0.00741992758163423</v>
      </c>
      <c r="D302" s="20" t="n">
        <v>0.0166729023629308</v>
      </c>
      <c r="E302" s="20" t="n">
        <v>0.0079365042420294</v>
      </c>
      <c r="F302" s="20" t="n">
        <v>-0.0055445444872495</v>
      </c>
      <c r="G302" s="20" t="n">
        <v>0.00486616835875963</v>
      </c>
      <c r="H302" s="20" t="n">
        <v>0.0262649722203223</v>
      </c>
      <c r="I302" s="20" t="n">
        <v>0.0593309194100881</v>
      </c>
      <c r="J302" s="20" t="n">
        <v>-0.0168385036043585</v>
      </c>
      <c r="K302" s="20" t="n">
        <v>0.00557103986965989</v>
      </c>
      <c r="L302" s="20" t="n">
        <v>0.0798867283117683</v>
      </c>
      <c r="M302" s="20" t="n">
        <v>0.0119100851217099</v>
      </c>
      <c r="N302" s="20" t="n">
        <v>0.018255667234122</v>
      </c>
      <c r="O302" s="20" t="n">
        <v>0.0118093011100826</v>
      </c>
      <c r="P302" s="20" t="n">
        <v>0.06653507857397</v>
      </c>
      <c r="Q302" s="20" t="n">
        <v>0.031338983157561</v>
      </c>
      <c r="R302" s="20" t="n">
        <v>-0.00200471223587861</v>
      </c>
      <c r="S302" s="20" t="n">
        <v>-0.00124924797494285</v>
      </c>
      <c r="T302" s="20" t="n">
        <v>0.00351090897537176</v>
      </c>
      <c r="U302" s="20" t="n">
        <v>0.0043706028524113</v>
      </c>
      <c r="V302" s="20" t="n">
        <v>0.0167924690714063</v>
      </c>
      <c r="W302" s="20" t="n">
        <v>-0.000851268258857729</v>
      </c>
      <c r="X302" s="20" t="n">
        <v>-0.0107105356117691</v>
      </c>
    </row>
    <row r="303" customFormat="false" ht="13.5" hidden="false" customHeight="true" outlineLevel="0" collapsed="false">
      <c r="A303" s="47" t="n">
        <v>42809</v>
      </c>
      <c r="B303" s="20" t="n">
        <v>0.00810092475600932</v>
      </c>
      <c r="C303" s="20" t="n">
        <v>-0.000336062581068219</v>
      </c>
      <c r="D303" s="20" t="n">
        <v>-0.0104173636534996</v>
      </c>
      <c r="E303" s="20" t="n">
        <v>0.00394479342823306</v>
      </c>
      <c r="F303" s="20" t="n">
        <v>0.00158726257457342</v>
      </c>
      <c r="G303" s="20" t="n">
        <v>0.0165065489024089</v>
      </c>
      <c r="H303" s="20" t="n">
        <v>-0.0150379199301666</v>
      </c>
      <c r="I303" s="20" t="n">
        <v>-0.00714518511228634</v>
      </c>
      <c r="J303" s="20" t="n">
        <v>0.00564436731790651</v>
      </c>
      <c r="K303" s="20" t="n">
        <v>0</v>
      </c>
      <c r="L303" s="20" t="n">
        <v>-0.0236865638344561</v>
      </c>
      <c r="M303" s="20" t="n">
        <v>-0.00579210304387833</v>
      </c>
      <c r="N303" s="20" t="n">
        <v>-0.0169711161686647</v>
      </c>
      <c r="O303" s="20" t="n">
        <v>-0.00352820613046889</v>
      </c>
      <c r="P303" s="20" t="n">
        <v>-0.0210726572652806</v>
      </c>
      <c r="Q303" s="20" t="n">
        <v>0.00362318877009437</v>
      </c>
      <c r="R303" s="20" t="n">
        <v>-0.00213454531875534</v>
      </c>
      <c r="S303" s="20" t="n">
        <v>0.00436543851923643</v>
      </c>
      <c r="T303" s="20" t="n">
        <v>-0.000292161125260648</v>
      </c>
      <c r="U303" s="20" t="n">
        <v>-0.00490158117469619</v>
      </c>
      <c r="V303" s="20" t="n">
        <v>-0.00591512065689769</v>
      </c>
      <c r="W303" s="20" t="n">
        <v>0.0103364576431301</v>
      </c>
      <c r="X303" s="20" t="n">
        <v>-0.000718149312362914</v>
      </c>
    </row>
    <row r="304" customFormat="false" ht="13.5" hidden="false" customHeight="true" outlineLevel="0" collapsed="false">
      <c r="A304" s="47" t="n">
        <v>42810</v>
      </c>
      <c r="B304" s="20" t="n">
        <v>-0.00901143336042142</v>
      </c>
      <c r="C304" s="20" t="n">
        <v>0.0043602281390882</v>
      </c>
      <c r="D304" s="20" t="n">
        <v>-0.0121930933273493</v>
      </c>
      <c r="E304" s="20" t="n">
        <v>-0.0174746521845525</v>
      </c>
      <c r="F304" s="20" t="n">
        <v>-0.0143771926764273</v>
      </c>
      <c r="G304" s="20" t="n">
        <v>0.00781385142351309</v>
      </c>
      <c r="H304" s="20" t="n">
        <v>-0.0242142357527752</v>
      </c>
      <c r="I304" s="20" t="n">
        <v>-0.00130466149381458</v>
      </c>
      <c r="J304" s="20" t="n">
        <v>0.00561277612842192</v>
      </c>
      <c r="K304" s="20" t="n">
        <v>-0.0111732901803344</v>
      </c>
      <c r="L304" s="20" t="n">
        <v>-0.0291849687142837</v>
      </c>
      <c r="M304" s="20" t="n">
        <v>-0.003200020486398</v>
      </c>
      <c r="N304" s="20" t="n">
        <v>0.0119099143466634</v>
      </c>
      <c r="O304" s="20" t="n">
        <v>0.00399770044859026</v>
      </c>
      <c r="P304" s="20" t="n">
        <v>-0.0102374660070552</v>
      </c>
      <c r="Q304" s="20" t="n">
        <v>-0.00362318877009437</v>
      </c>
      <c r="R304" s="20" t="n">
        <v>-0.00858374782479032</v>
      </c>
      <c r="S304" s="20" t="n">
        <v>0.00310662838108832</v>
      </c>
      <c r="T304" s="20" t="n">
        <v>0</v>
      </c>
      <c r="U304" s="20" t="n">
        <v>-0.00186095206439595</v>
      </c>
      <c r="V304" s="20" t="n">
        <v>-0.0179582367857369</v>
      </c>
      <c r="W304" s="20" t="n">
        <v>-0.0110180203967811</v>
      </c>
      <c r="X304" s="20" t="n">
        <v>-0.0137434739476796</v>
      </c>
    </row>
    <row r="305" customFormat="false" ht="13.5" hidden="false" customHeight="true" outlineLevel="0" collapsed="false">
      <c r="A305" s="47" t="n">
        <v>42811</v>
      </c>
      <c r="B305" s="20" t="n">
        <v>0.000284633860244021</v>
      </c>
      <c r="C305" s="20" t="n">
        <v>-0.00469647039566334</v>
      </c>
      <c r="D305" s="20" t="n">
        <v>0.00119031648525069</v>
      </c>
      <c r="E305" s="20" t="n">
        <v>-0.0161554252875202</v>
      </c>
      <c r="F305" s="20" t="n">
        <v>-0.0170389544789371</v>
      </c>
      <c r="G305" s="20" t="n">
        <v>-0.0122575148715795</v>
      </c>
      <c r="H305" s="20" t="n">
        <v>0.0202190856051105</v>
      </c>
      <c r="I305" s="20" t="n">
        <v>0.00844984660610093</v>
      </c>
      <c r="J305" s="20" t="n">
        <v>-0.00937217551424751</v>
      </c>
      <c r="K305" s="20" t="n">
        <v>-0.0401199554080916</v>
      </c>
      <c r="L305" s="20" t="n">
        <v>0.0156712165809493</v>
      </c>
      <c r="M305" s="20" t="n">
        <v>0.00174676529493345</v>
      </c>
      <c r="N305" s="20" t="n">
        <v>-0.000422932088840699</v>
      </c>
      <c r="O305" s="20" t="n">
        <v>-0.00446907586431555</v>
      </c>
      <c r="P305" s="20" t="n">
        <v>0.0120875594297955</v>
      </c>
      <c r="Q305" s="20" t="n">
        <v>0.0356543656444741</v>
      </c>
      <c r="R305" s="20" t="n">
        <v>-0.000760907579575587</v>
      </c>
      <c r="S305" s="20" t="n">
        <v>0.00803211963564054</v>
      </c>
      <c r="T305" s="20" t="n">
        <v>0.00145961895088042</v>
      </c>
      <c r="U305" s="20" t="n">
        <v>0.00557249887860855</v>
      </c>
      <c r="V305" s="20" t="n">
        <v>0.00212952930649379</v>
      </c>
      <c r="W305" s="20" t="n">
        <v>-0.0178852077457936</v>
      </c>
      <c r="X305" s="20" t="n">
        <v>-0.0154130819664035</v>
      </c>
    </row>
    <row r="306" customFormat="false" ht="13.5" hidden="false" customHeight="true" outlineLevel="0" collapsed="false">
      <c r="A306" s="47" t="n">
        <v>42814</v>
      </c>
      <c r="B306" s="20" t="n">
        <v>-0.0104125436218138</v>
      </c>
      <c r="C306" s="20" t="n">
        <v>-0.0118384556537565</v>
      </c>
      <c r="D306" s="20" t="n">
        <v>-0.0039334242246527</v>
      </c>
      <c r="E306" s="20" t="n">
        <v>-0.0466750940410851</v>
      </c>
      <c r="F306" s="20" t="n">
        <v>-0.0598577329759661</v>
      </c>
      <c r="G306" s="20" t="n">
        <v>-0.00894707362512425</v>
      </c>
      <c r="H306" s="20" t="n">
        <v>-0.0243123566854892</v>
      </c>
      <c r="I306" s="20" t="n">
        <v>0.0249294050208974</v>
      </c>
      <c r="J306" s="20" t="n">
        <v>-0.0228581162749326</v>
      </c>
      <c r="K306" s="20" t="n">
        <v>-0.00645354957162924</v>
      </c>
      <c r="L306" s="20" t="n">
        <v>-0.0862166104322823</v>
      </c>
      <c r="M306" s="20" t="n">
        <v>-0.00378846631439255</v>
      </c>
      <c r="N306" s="20" t="n">
        <v>-0.0119149826312137</v>
      </c>
      <c r="O306" s="20" t="n">
        <v>-0.00804729402853388</v>
      </c>
      <c r="P306" s="20" t="n">
        <v>-0.0224308259945442</v>
      </c>
      <c r="Q306" s="20" t="n">
        <v>-0.0212397158850605</v>
      </c>
      <c r="R306" s="20" t="n">
        <v>-0.00266784232508765</v>
      </c>
      <c r="S306" s="20" t="n">
        <v>-0.0344322085702013</v>
      </c>
      <c r="T306" s="20" t="n">
        <v>-0.0117371568095254</v>
      </c>
      <c r="U306" s="20" t="n">
        <v>0.00462014509626307</v>
      </c>
      <c r="V306" s="20" t="n">
        <v>-0.0124867974479867</v>
      </c>
      <c r="W306" s="20" t="n">
        <v>-0.0313737857883982</v>
      </c>
      <c r="X306" s="20" t="n">
        <v>-0.062568126027025</v>
      </c>
    </row>
    <row r="307" customFormat="false" ht="13.5" hidden="false" customHeight="true" outlineLevel="0" collapsed="false">
      <c r="A307" s="47" t="n">
        <v>42815</v>
      </c>
      <c r="B307" s="20" t="n">
        <v>0.00516259901307325</v>
      </c>
      <c r="C307" s="20" t="n">
        <v>0.0047521998971991</v>
      </c>
      <c r="D307" s="20" t="n">
        <v>0.00749598653695304</v>
      </c>
      <c r="E307" s="20" t="n">
        <v>0.00425715323170106</v>
      </c>
      <c r="F307" s="20" t="n">
        <v>-0.00348128819736004</v>
      </c>
      <c r="G307" s="20" t="n">
        <v>0.00103640636719282</v>
      </c>
      <c r="H307" s="20" t="n">
        <v>0.00081994880090086</v>
      </c>
      <c r="I307" s="20" t="n">
        <v>0.00754719839247064</v>
      </c>
      <c r="J307" s="20" t="n">
        <v>-0.0174931871721504</v>
      </c>
      <c r="K307" s="20" t="n">
        <v>0.00645354957162924</v>
      </c>
      <c r="L307" s="20" t="n">
        <v>0.00948875393981119</v>
      </c>
      <c r="M307" s="20" t="n">
        <v>0.00640285123403261</v>
      </c>
      <c r="N307" s="20" t="n">
        <v>-0.0238261712051035</v>
      </c>
      <c r="O307" s="20" t="n">
        <v>-0.0102712066945112</v>
      </c>
      <c r="P307" s="20" t="n">
        <v>-0.00283954121779617</v>
      </c>
      <c r="Q307" s="20" t="n">
        <v>-0.0107914609893191</v>
      </c>
      <c r="R307" s="20" t="n">
        <v>-0.00190999645727174</v>
      </c>
      <c r="S307" s="20" t="n">
        <v>0.00950882418523502</v>
      </c>
      <c r="T307" s="20" t="n">
        <v>0.00647243823201115</v>
      </c>
      <c r="U307" s="20" t="n">
        <v>-0.0113908597246199</v>
      </c>
      <c r="V307" s="20" t="n">
        <v>0.0116000502610784</v>
      </c>
      <c r="W307" s="20" t="n">
        <v>-0.0093542081908291</v>
      </c>
      <c r="X307" s="20" t="n">
        <v>0.00627944960906345</v>
      </c>
    </row>
    <row r="308" customFormat="false" ht="13.5" hidden="false" customHeight="true" outlineLevel="0" collapsed="false">
      <c r="A308" s="47" t="n">
        <v>42816</v>
      </c>
      <c r="B308" s="20" t="n">
        <v>0.000228881832940786</v>
      </c>
      <c r="C308" s="20" t="n">
        <v>0.0030431749962112</v>
      </c>
      <c r="D308" s="20" t="n">
        <v>0.000710955818875369</v>
      </c>
      <c r="E308" s="20" t="n">
        <v>-0.00853250732851762</v>
      </c>
      <c r="F308" s="20" t="n">
        <v>0.0056509239755571</v>
      </c>
      <c r="G308" s="20" t="n">
        <v>0.010305867510322</v>
      </c>
      <c r="H308" s="20" t="n">
        <v>-0.00988474991426047</v>
      </c>
      <c r="I308" s="20" t="n">
        <v>-0.00313776165281964</v>
      </c>
      <c r="J308" s="20" t="n">
        <v>0.00586516046006568</v>
      </c>
      <c r="K308" s="20" t="n">
        <v>0.00583091463647655</v>
      </c>
      <c r="L308" s="20" t="n">
        <v>-0.0222820936929815</v>
      </c>
      <c r="M308" s="20" t="n">
        <v>-0.00523562276789491</v>
      </c>
      <c r="N308" s="20" t="n">
        <v>-0.00748078650699524</v>
      </c>
      <c r="O308" s="20" t="n">
        <v>0</v>
      </c>
      <c r="P308" s="20" t="n">
        <v>0.00943397833547088</v>
      </c>
      <c r="Q308" s="20" t="n">
        <v>0</v>
      </c>
      <c r="R308" s="20" t="n">
        <v>-0.00204128714073981</v>
      </c>
      <c r="S308" s="20" t="n">
        <v>0.00377830836822434</v>
      </c>
      <c r="T308" s="20" t="n">
        <v>-0.00411400505813341</v>
      </c>
      <c r="U308" s="20" t="n">
        <v>-0.0140857259133966</v>
      </c>
      <c r="V308" s="20" t="n">
        <v>-0.0105235992504715</v>
      </c>
      <c r="W308" s="20" t="n">
        <v>-0.00144694960549873</v>
      </c>
      <c r="X308" s="20" t="n">
        <v>0.0186052438838069</v>
      </c>
    </row>
    <row r="309" customFormat="false" ht="13.5" hidden="false" customHeight="true" outlineLevel="0" collapsed="false">
      <c r="A309" s="47" t="n">
        <v>42817</v>
      </c>
      <c r="B309" s="20" t="n">
        <v>-0.00567909438106895</v>
      </c>
      <c r="C309" s="20" t="n">
        <v>0.00337039036917685</v>
      </c>
      <c r="D309" s="20" t="n">
        <v>-0.00284695169683057</v>
      </c>
      <c r="E309" s="20" t="n">
        <v>-0.00429371126092847</v>
      </c>
      <c r="F309" s="20" t="n">
        <v>0.00216502114578842</v>
      </c>
      <c r="G309" s="20" t="n">
        <v>-0.00548321612795188</v>
      </c>
      <c r="H309" s="20" t="n">
        <v>0.0139747897252724</v>
      </c>
      <c r="I309" s="20" t="n">
        <v>-0.00440943673965099</v>
      </c>
      <c r="J309" s="20" t="n">
        <v>-0.00586516046006568</v>
      </c>
      <c r="K309" s="20" t="n">
        <v>-0.0116960283478012</v>
      </c>
      <c r="L309" s="20" t="n">
        <v>-0.00214817528498167</v>
      </c>
      <c r="M309" s="20" t="n">
        <v>-0.00849326855821042</v>
      </c>
      <c r="N309" s="20" t="n">
        <v>0.005286392938459</v>
      </c>
      <c r="O309" s="20" t="n">
        <v>0.000719999518388192</v>
      </c>
      <c r="P309" s="20" t="n">
        <v>-0.00943397833547088</v>
      </c>
      <c r="Q309" s="20" t="n">
        <v>0.0143628898596939</v>
      </c>
      <c r="R309" s="20" t="n">
        <v>0.00242355895017531</v>
      </c>
      <c r="S309" s="20" t="n">
        <v>-0.000628747524625605</v>
      </c>
      <c r="T309" s="20" t="n">
        <v>0.00352742120508908</v>
      </c>
      <c r="U309" s="20" t="n">
        <v>-0.011549805735024</v>
      </c>
      <c r="V309" s="20" t="n">
        <v>0.00214936375149576</v>
      </c>
      <c r="W309" s="20" t="n">
        <v>0.0104430517213733</v>
      </c>
      <c r="X309" s="20" t="n">
        <v>0.00688859964883237</v>
      </c>
    </row>
    <row r="310" customFormat="false" ht="13.5" hidden="false" customHeight="true" outlineLevel="0" collapsed="false">
      <c r="A310" s="47" t="n">
        <v>42818</v>
      </c>
      <c r="B310" s="20" t="n">
        <v>-0.00034521034600754</v>
      </c>
      <c r="C310" s="20" t="n">
        <v>-0.00946596217230988</v>
      </c>
      <c r="D310" s="20" t="n">
        <v>0.000712475499157427</v>
      </c>
      <c r="E310" s="20" t="n">
        <v>-0.0138650269598494</v>
      </c>
      <c r="F310" s="20" t="n">
        <v>-0.00390033645534204</v>
      </c>
      <c r="G310" s="20" t="n">
        <v>-0.00585905774956296</v>
      </c>
      <c r="H310" s="20" t="n">
        <v>0.00244592505776175</v>
      </c>
      <c r="I310" s="20" t="n">
        <v>0.0131704060215018</v>
      </c>
      <c r="J310" s="20" t="n">
        <v>0</v>
      </c>
      <c r="K310" s="20" t="n">
        <v>0.109118139308206</v>
      </c>
      <c r="L310" s="20" t="n">
        <v>0.00429184790944958</v>
      </c>
      <c r="M310" s="20" t="n">
        <v>0.0052801619997731</v>
      </c>
      <c r="N310" s="20" t="n">
        <v>-0.00661230602981</v>
      </c>
      <c r="O310" s="20" t="n">
        <v>-0.00456892996748026</v>
      </c>
      <c r="P310" s="20" t="n">
        <v>0.003784296020783</v>
      </c>
      <c r="Q310" s="20" t="n">
        <v>0.00355871914461869</v>
      </c>
      <c r="R310" s="20" t="n">
        <v>0.00025483149769645</v>
      </c>
      <c r="S310" s="20" t="n">
        <v>-0.0107493972655068</v>
      </c>
      <c r="T310" s="20" t="n">
        <v>-0.00264434260002621</v>
      </c>
      <c r="U310" s="20" t="n">
        <v>0.000409903405309997</v>
      </c>
      <c r="V310" s="20" t="n">
        <v>0.00268027544481874</v>
      </c>
      <c r="W310" s="20" t="n">
        <v>-0.0079123310933884</v>
      </c>
      <c r="X310" s="20" t="n">
        <v>-0.00688859964883237</v>
      </c>
    </row>
    <row r="311" customFormat="false" ht="13.5" hidden="false" customHeight="true" outlineLevel="0" collapsed="false">
      <c r="A311" s="47" t="n">
        <v>42821</v>
      </c>
      <c r="B311" s="20" t="n">
        <v>0.00424940479209734</v>
      </c>
      <c r="C311" s="20" t="n">
        <v>0.00609557180313302</v>
      </c>
      <c r="D311" s="20" t="n">
        <v>0.00603590379370189</v>
      </c>
      <c r="E311" s="20" t="n">
        <v>0.0164434326522266</v>
      </c>
      <c r="F311" s="20" t="n">
        <v>0.0193512318161417</v>
      </c>
      <c r="G311" s="20" t="n">
        <v>0.00379509194620952</v>
      </c>
      <c r="H311" s="20" t="n">
        <v>-0.00571657067412401</v>
      </c>
      <c r="I311" s="20" t="n">
        <v>-0.0716666504229781</v>
      </c>
      <c r="J311" s="20" t="n">
        <v>0.00195890931289266</v>
      </c>
      <c r="K311" s="20" t="n">
        <v>0.0229415841506975</v>
      </c>
      <c r="L311" s="20" t="n">
        <v>0.0138226668175418</v>
      </c>
      <c r="M311" s="20" t="n">
        <v>-0.000585322162424351</v>
      </c>
      <c r="N311" s="20" t="n">
        <v>-0.00398848968616638</v>
      </c>
      <c r="O311" s="20" t="n">
        <v>0.00168572447509518</v>
      </c>
      <c r="P311" s="20" t="n">
        <v>0.0488351045089947</v>
      </c>
      <c r="Q311" s="20" t="n">
        <v>0.00707966871680043</v>
      </c>
      <c r="R311" s="20" t="n">
        <v>0.00127289315013978</v>
      </c>
      <c r="S311" s="20" t="n">
        <v>-0.00190898776332693</v>
      </c>
      <c r="T311" s="20" t="n">
        <v>0.000882187334220407</v>
      </c>
      <c r="U311" s="20" t="n">
        <v>-0.000136546306348073</v>
      </c>
      <c r="V311" s="20" t="n">
        <v>0.00285103266924124</v>
      </c>
      <c r="W311" s="20" t="n">
        <v>0.0102380724110444</v>
      </c>
      <c r="X311" s="20" t="n">
        <v>0.0152441826834683</v>
      </c>
    </row>
    <row r="312" customFormat="false" ht="13.5" hidden="false" customHeight="true" outlineLevel="0" collapsed="false">
      <c r="A312" s="47" t="n">
        <v>42822</v>
      </c>
      <c r="B312" s="20" t="n">
        <v>-0.00327158891560319</v>
      </c>
      <c r="C312" s="20" t="n">
        <v>0.00202358369153587</v>
      </c>
      <c r="D312" s="20" t="n">
        <v>-0.0036644943675288</v>
      </c>
      <c r="E312" s="20" t="n">
        <v>0.00257185626061762</v>
      </c>
      <c r="F312" s="20" t="n">
        <v>-0.00555197501205873</v>
      </c>
      <c r="G312" s="20" t="n">
        <v>0.010277556432495</v>
      </c>
      <c r="H312" s="20" t="n">
        <v>0.0226730136899386</v>
      </c>
      <c r="I312" s="20" t="n">
        <v>-0.00201003307515978</v>
      </c>
      <c r="J312" s="20" t="n">
        <v>0.00585362314783233</v>
      </c>
      <c r="K312" s="20" t="n">
        <v>0.00411517915086301</v>
      </c>
      <c r="L312" s="20" t="n">
        <v>0.0157153173861432</v>
      </c>
      <c r="M312" s="20" t="n">
        <v>0.00496429635295703</v>
      </c>
      <c r="N312" s="20" t="n">
        <v>0.024995806376328</v>
      </c>
      <c r="O312" s="20" t="n">
        <v>-0.00265029928703919</v>
      </c>
      <c r="P312" s="20" t="n">
        <v>0.0661110450365858</v>
      </c>
      <c r="Q312" s="20" t="n">
        <v>0.0174829460189951</v>
      </c>
      <c r="R312" s="20" t="n">
        <v>0.00190635532425265</v>
      </c>
      <c r="S312" s="20" t="n">
        <v>0.00254452824229911</v>
      </c>
      <c r="T312" s="20" t="n">
        <v>-0.00826447355852755</v>
      </c>
      <c r="U312" s="20" t="n">
        <v>-0.00314749975250627</v>
      </c>
      <c r="V312" s="20" t="n">
        <v>-0.00445832208105301</v>
      </c>
      <c r="W312" s="20" t="n">
        <v>-0.00519576413270428</v>
      </c>
      <c r="X312" s="20" t="n">
        <v>0</v>
      </c>
    </row>
    <row r="313" customFormat="false" ht="13.5" hidden="false" customHeight="true" outlineLevel="0" collapsed="false">
      <c r="A313" s="47" t="n">
        <v>42823</v>
      </c>
      <c r="B313" s="20" t="n">
        <v>-0.000460045036019707</v>
      </c>
      <c r="C313" s="20" t="n">
        <v>0.00638118835413914</v>
      </c>
      <c r="D313" s="20" t="n">
        <v>0.00378250671035207</v>
      </c>
      <c r="E313" s="20" t="n">
        <v>0</v>
      </c>
      <c r="F313" s="20" t="n">
        <v>0.022025475057299</v>
      </c>
      <c r="G313" s="20" t="n">
        <v>-0.00478304251321448</v>
      </c>
      <c r="H313" s="20" t="n">
        <v>-0.0267764800001191</v>
      </c>
      <c r="I313" s="20" t="n">
        <v>-0.016909432492663</v>
      </c>
      <c r="J313" s="20" t="n">
        <v>0.0135268095956428</v>
      </c>
      <c r="K313" s="20" t="n">
        <v>-0.00411517915086301</v>
      </c>
      <c r="L313" s="20" t="n">
        <v>-0.00835077131990891</v>
      </c>
      <c r="M313" s="20" t="n">
        <v>0.000582313440379067</v>
      </c>
      <c r="N313" s="20" t="n">
        <v>0.0137636450099534</v>
      </c>
      <c r="O313" s="20" t="n">
        <v>0.00745100339364901</v>
      </c>
      <c r="P313" s="20" t="n">
        <v>-0.0316400809483048</v>
      </c>
      <c r="Q313" s="20" t="n">
        <v>0.0034602077821022</v>
      </c>
      <c r="R313" s="20" t="n">
        <v>0.00114201316316364</v>
      </c>
      <c r="S313" s="20" t="n">
        <v>-0.00829351591427407</v>
      </c>
      <c r="T313" s="20" t="n">
        <v>0</v>
      </c>
      <c r="U313" s="20" t="n">
        <v>-0.0125509684160887</v>
      </c>
      <c r="V313" s="20" t="n">
        <v>-0.0106011260594769</v>
      </c>
      <c r="W313" s="20" t="n">
        <v>0.0101869080429368</v>
      </c>
      <c r="X313" s="20" t="n">
        <v>0.0276033847686152</v>
      </c>
    </row>
    <row r="314" customFormat="false" ht="13.5" hidden="false" customHeight="true" outlineLevel="0" collapsed="false">
      <c r="A314" s="47" t="n">
        <v>42824</v>
      </c>
      <c r="B314" s="20" t="n">
        <v>0.00160918873401172</v>
      </c>
      <c r="C314" s="20" t="n">
        <v>-0.00234619780146561</v>
      </c>
      <c r="D314" s="20" t="n">
        <v>-0.00769828537244965</v>
      </c>
      <c r="E314" s="20" t="n">
        <v>-0.0034305317297707</v>
      </c>
      <c r="F314" s="20" t="n">
        <v>-0.0117995756213251</v>
      </c>
      <c r="G314" s="20" t="n">
        <v>0.0098824796635486</v>
      </c>
      <c r="H314" s="20" t="n">
        <v>-0.0074287751521056</v>
      </c>
      <c r="I314" s="20" t="n">
        <v>-0.00478631305697163</v>
      </c>
      <c r="J314" s="20" t="n">
        <v>-0.0115831298935589</v>
      </c>
      <c r="K314" s="20" t="n">
        <v>0.00257400146774522</v>
      </c>
      <c r="L314" s="20" t="n">
        <v>-0.0042016828550655</v>
      </c>
      <c r="M314" s="20" t="n">
        <v>-0.0040840020193138</v>
      </c>
      <c r="N314" s="20" t="n">
        <v>0.00681142901564912</v>
      </c>
      <c r="O314" s="20" t="n">
        <v>-0.00504140044171519</v>
      </c>
      <c r="P314" s="20" t="n">
        <v>0.0172269382479988</v>
      </c>
      <c r="Q314" s="20" t="n">
        <v>-0.00519477055225126</v>
      </c>
      <c r="R314" s="20" t="n">
        <v>-0.0044486692690171</v>
      </c>
      <c r="S314" s="20" t="n">
        <v>-0.0226766716784494</v>
      </c>
      <c r="T314" s="20" t="n">
        <v>0.00177665305188901</v>
      </c>
      <c r="U314" s="20" t="n">
        <v>-0.00878244827318131</v>
      </c>
      <c r="V314" s="20" t="n">
        <v>-0.0178608634885337</v>
      </c>
      <c r="W314" s="20" t="n">
        <v>-0.0103665239908083</v>
      </c>
      <c r="X314" s="20" t="n">
        <v>-0.0148260540476896</v>
      </c>
    </row>
    <row r="315" customFormat="false" ht="13.5" hidden="false" customHeight="true" outlineLevel="0" collapsed="false">
      <c r="A315" s="47" t="n">
        <v>42825</v>
      </c>
      <c r="B315" s="20" t="n">
        <v>0.00206517174695974</v>
      </c>
      <c r="C315" s="20" t="n">
        <v>0.00268097691180013</v>
      </c>
      <c r="D315" s="20" t="n">
        <v>0.00403413388601503</v>
      </c>
      <c r="E315" s="20" t="n">
        <v>-0.0173315225265033</v>
      </c>
      <c r="F315" s="20" t="n">
        <v>0</v>
      </c>
      <c r="G315" s="20" t="n">
        <v>-0.00305655369637269</v>
      </c>
      <c r="H315" s="20" t="n">
        <v>0.0213122608239397</v>
      </c>
      <c r="I315" s="20" t="n">
        <v>0.0156412262827001</v>
      </c>
      <c r="J315" s="20" t="n">
        <v>-0.00975621216280897</v>
      </c>
      <c r="K315" s="20" t="n">
        <v>-0.00308962236732823</v>
      </c>
      <c r="L315" s="20" t="n">
        <v>-0.00105321010287173</v>
      </c>
      <c r="M315" s="20" t="n">
        <v>0.00087662806665012</v>
      </c>
      <c r="N315" s="20" t="n">
        <v>0.00127202419513183</v>
      </c>
      <c r="O315" s="20" t="n">
        <v>0.000481242983798591</v>
      </c>
      <c r="P315" s="20" t="n">
        <v>-0.00599570906889335</v>
      </c>
      <c r="Q315" s="20" t="n">
        <v>0.00173456277014905</v>
      </c>
      <c r="R315" s="20" t="n">
        <v>-0.00574893872688697</v>
      </c>
      <c r="S315" s="20" t="n">
        <v>-0.0171848397529106</v>
      </c>
      <c r="T315" s="20" t="n">
        <v>-0.00653007373927394</v>
      </c>
      <c r="U315" s="20" t="n">
        <v>0.00279648639119844</v>
      </c>
      <c r="V315" s="20" t="n">
        <v>-0.00313108246230298</v>
      </c>
      <c r="W315" s="20" t="n">
        <v>-0.00305889877041209</v>
      </c>
      <c r="X315" s="20" t="n">
        <v>-0.00299177192254695</v>
      </c>
    </row>
    <row r="316" customFormat="false" ht="13.5" hidden="false" customHeight="true" outlineLevel="0" collapsed="false">
      <c r="A316" s="47" t="n">
        <v>42828</v>
      </c>
      <c r="B316" s="20" t="n">
        <v>0.000114631094137784</v>
      </c>
      <c r="C316" s="20" t="n">
        <v>0.00467445054918425</v>
      </c>
      <c r="D316" s="20" t="n">
        <v>0.019233611014763</v>
      </c>
      <c r="E316" s="20" t="n">
        <v>-0.00613765157458967</v>
      </c>
      <c r="F316" s="20" t="n">
        <v>-0.00637891239507348</v>
      </c>
      <c r="G316" s="20" t="n">
        <v>0.00981564539398771</v>
      </c>
      <c r="H316" s="20" t="n">
        <v>0.0120919765999905</v>
      </c>
      <c r="I316" s="20" t="n">
        <v>0.00471227047740496</v>
      </c>
      <c r="J316" s="20" t="n">
        <v>0.00391389566889088</v>
      </c>
      <c r="K316" s="20" t="n">
        <v>0.000515620899583013</v>
      </c>
      <c r="L316" s="20" t="n">
        <v>0.0382475452911679</v>
      </c>
      <c r="M316" s="20" t="n">
        <v>0.00291625961859143</v>
      </c>
      <c r="N316" s="20" t="n">
        <v>0.0151390068410552</v>
      </c>
      <c r="O316" s="20" t="n">
        <v>0.00288251302887188</v>
      </c>
      <c r="P316" s="20" t="n">
        <v>0.023770196239329</v>
      </c>
      <c r="Q316" s="20" t="n">
        <v>0.00173164176892992</v>
      </c>
      <c r="R316" s="20" t="n">
        <v>-0.00230888120120642</v>
      </c>
      <c r="S316" s="20" t="n">
        <v>-0.00267022600594746</v>
      </c>
      <c r="T316" s="20" t="n">
        <v>-0.00507545437599255</v>
      </c>
      <c r="U316" s="20" t="n">
        <v>0.00459698799873731</v>
      </c>
      <c r="V316" s="20" t="n">
        <v>-0.00129210347113772</v>
      </c>
      <c r="W316" s="20" t="n">
        <v>-0.00523988748148784</v>
      </c>
      <c r="X316" s="20" t="n">
        <v>-0.00300074948732609</v>
      </c>
    </row>
    <row r="317" customFormat="false" ht="13.5" hidden="false" customHeight="true" outlineLevel="0" collapsed="false">
      <c r="A317" s="47" t="n">
        <v>42829</v>
      </c>
      <c r="B317" s="20" t="n">
        <v>-0.00944163229404804</v>
      </c>
      <c r="C317" s="20" t="n">
        <v>-0.00166693466859602</v>
      </c>
      <c r="D317" s="20" t="n">
        <v>-0.00535756116860941</v>
      </c>
      <c r="E317" s="20" t="n">
        <v>-0.00972165465875241</v>
      </c>
      <c r="F317" s="20" t="n">
        <v>-0.0115856457557645</v>
      </c>
      <c r="G317" s="20" t="n">
        <v>-0.0128815702616655</v>
      </c>
      <c r="H317" s="20" t="n">
        <v>-0.0292703550626511</v>
      </c>
      <c r="I317" s="20" t="n">
        <v>-0.00268997881628241</v>
      </c>
      <c r="J317" s="20" t="n">
        <v>-0.00195498635599822</v>
      </c>
      <c r="K317" s="20" t="n">
        <v>0.0204088517691994</v>
      </c>
      <c r="L317" s="20" t="n">
        <v>-0.0445900047872007</v>
      </c>
      <c r="M317" s="20" t="n">
        <v>-0.00437769642801777</v>
      </c>
      <c r="N317" s="20" t="n">
        <v>0.0103799980972936</v>
      </c>
      <c r="O317" s="20" t="n">
        <v>-0.00432693732246036</v>
      </c>
      <c r="P317" s="20" t="n">
        <v>-0.0229115207701759</v>
      </c>
      <c r="Q317" s="20" t="n">
        <v>-0.0104349502713834</v>
      </c>
      <c r="R317" s="20" t="n">
        <v>-0.0108458643425084</v>
      </c>
      <c r="S317" s="20" t="n">
        <v>0.00200332174927542</v>
      </c>
      <c r="T317" s="20" t="n">
        <v>-0.0123476903350527</v>
      </c>
      <c r="U317" s="20" t="n">
        <v>-0.000277962796453756</v>
      </c>
      <c r="V317" s="20" t="n">
        <v>-0.019773028952438</v>
      </c>
      <c r="W317" s="20" t="n">
        <v>-0.00399349269332027</v>
      </c>
      <c r="X317" s="20" t="n">
        <v>-0.0181961596466462</v>
      </c>
    </row>
    <row r="318" customFormat="false" ht="13.5" hidden="false" customHeight="true" outlineLevel="0" collapsed="false">
      <c r="A318" s="47" t="n">
        <v>42830</v>
      </c>
      <c r="B318" s="20" t="n">
        <v>-0.00249041875620026</v>
      </c>
      <c r="C318" s="20" t="n">
        <v>-0.00133556452810079</v>
      </c>
      <c r="D318" s="20" t="n">
        <v>-0.00315804281928144</v>
      </c>
      <c r="E318" s="20" t="n">
        <v>0.000887725631050884</v>
      </c>
      <c r="F318" s="20" t="n">
        <v>0.00387681519359084</v>
      </c>
      <c r="G318" s="20" t="n">
        <v>0.00680046020912783</v>
      </c>
      <c r="H318" s="20" t="n">
        <v>-0.0174785806250326</v>
      </c>
      <c r="I318" s="20" t="n">
        <v>-0.00269723432386292</v>
      </c>
      <c r="J318" s="20" t="n">
        <v>0.00390625114717302</v>
      </c>
      <c r="K318" s="20" t="n">
        <v>0.0200006476312756</v>
      </c>
      <c r="L318" s="20" t="n">
        <v>-0.0290499669796187</v>
      </c>
      <c r="M318" s="20" t="n">
        <v>-0.00234254916057663</v>
      </c>
      <c r="N318" s="20" t="n">
        <v>0.0102733596955686</v>
      </c>
      <c r="O318" s="20" t="n">
        <v>-0.0221662926052448</v>
      </c>
      <c r="P318" s="20" t="n">
        <v>0.0153325242735764</v>
      </c>
      <c r="Q318" s="20" t="n">
        <v>-0.0123132066743836</v>
      </c>
      <c r="R318" s="20" t="n">
        <v>-0.000259629226952995</v>
      </c>
      <c r="S318" s="20" t="n">
        <v>0.00731147223823613</v>
      </c>
      <c r="T318" s="20" t="n">
        <v>0.00242136404132686</v>
      </c>
      <c r="U318" s="20" t="n">
        <v>-0.007115511593482</v>
      </c>
      <c r="V318" s="20" t="n">
        <v>0.00394846952864913</v>
      </c>
      <c r="W318" s="20" t="n">
        <v>0.00706843713327476</v>
      </c>
      <c r="X318" s="20" t="n">
        <v>0.00989731085591705</v>
      </c>
    </row>
    <row r="319" customFormat="false" ht="13.5" hidden="false" customHeight="true" outlineLevel="0" collapsed="false">
      <c r="A319" s="47" t="n">
        <v>42831</v>
      </c>
      <c r="B319" s="20" t="n">
        <v>-0.00179922601071247</v>
      </c>
      <c r="C319" s="20" t="n">
        <v>0.00200264541571648</v>
      </c>
      <c r="D319" s="20" t="n">
        <v>-0.000468724117508756</v>
      </c>
      <c r="E319" s="20" t="n">
        <v>-0.00355564068179869</v>
      </c>
      <c r="F319" s="20" t="n">
        <v>-0.00430851081429484</v>
      </c>
      <c r="G319" s="20" t="n">
        <v>0.0117906158405598</v>
      </c>
      <c r="H319" s="20" t="n">
        <v>0.0108560461385063</v>
      </c>
      <c r="I319" s="20" t="n">
        <v>-0.00405957382721355</v>
      </c>
      <c r="J319" s="20" t="n">
        <v>0.00583086843132507</v>
      </c>
      <c r="K319" s="20" t="n">
        <v>0.0388397973455202</v>
      </c>
      <c r="L319" s="20" t="n">
        <v>0.0076128368915902</v>
      </c>
      <c r="M319" s="20" t="n">
        <v>-0.000293274781891561</v>
      </c>
      <c r="N319" s="20" t="n">
        <v>0.00326538376086427</v>
      </c>
      <c r="O319" s="20" t="n">
        <v>-0.000246294414407266</v>
      </c>
      <c r="P319" s="20" t="n">
        <v>-0.0187719054025996</v>
      </c>
      <c r="Q319" s="20" t="n">
        <v>0.00705469615701837</v>
      </c>
      <c r="R319" s="20" t="n">
        <v>0.000908556010607242</v>
      </c>
      <c r="S319" s="20" t="n">
        <v>0.00264550160206411</v>
      </c>
      <c r="T319" s="20" t="n">
        <v>-0.00363424824345814</v>
      </c>
      <c r="U319" s="20" t="n">
        <v>0.00405227859894274</v>
      </c>
      <c r="V319" s="20" t="n">
        <v>0.00243645991645102</v>
      </c>
      <c r="W319" s="20" t="n">
        <v>-0.00961805406783788</v>
      </c>
      <c r="X319" s="20" t="n">
        <v>-0.0060790403494022</v>
      </c>
    </row>
    <row r="320" customFormat="false" ht="13.5" hidden="false" customHeight="true" outlineLevel="0" collapsed="false">
      <c r="A320" s="47" t="n">
        <v>42832</v>
      </c>
      <c r="B320" s="20" t="n">
        <v>-0.00547564979370562</v>
      </c>
      <c r="C320" s="20" t="n">
        <v>0.000666702286725495</v>
      </c>
      <c r="D320" s="20" t="n">
        <v>0.00175656143385527</v>
      </c>
      <c r="E320" s="20" t="n">
        <v>0.00177940066264925</v>
      </c>
      <c r="F320" s="20" t="n">
        <v>-0.00606322293715821</v>
      </c>
      <c r="G320" s="20" t="n">
        <v>0.0109909488571471</v>
      </c>
      <c r="H320" s="20" t="n">
        <v>0.000830278624508462</v>
      </c>
      <c r="I320" s="20" t="n">
        <v>0.0114595171033209</v>
      </c>
      <c r="J320" s="20" t="n">
        <v>-0.0116960288913907</v>
      </c>
      <c r="K320" s="20" t="n">
        <v>0.158224066134857</v>
      </c>
      <c r="L320" s="20" t="n">
        <v>0.00108286196326901</v>
      </c>
      <c r="M320" s="20" t="n">
        <v>-0.00176100894148234</v>
      </c>
      <c r="N320" s="20" t="n">
        <v>0.0133578149698041</v>
      </c>
      <c r="O320" s="20" t="n">
        <v>-0.00518709527377314</v>
      </c>
      <c r="P320" s="20" t="n">
        <v>0.0347052010520578</v>
      </c>
      <c r="Q320" s="20" t="n">
        <v>0.00350877215409028</v>
      </c>
      <c r="R320" s="20" t="n">
        <v>0.00942605895091297</v>
      </c>
      <c r="S320" s="20" t="n">
        <v>-0.0039709131653085</v>
      </c>
      <c r="T320" s="20" t="n">
        <v>0.00151581775352926</v>
      </c>
      <c r="U320" s="20" t="n">
        <v>0.000697052392235164</v>
      </c>
      <c r="V320" s="20" t="n">
        <v>-0.00131122425876828</v>
      </c>
      <c r="W320" s="20" t="n">
        <v>-0.0054854632727439</v>
      </c>
      <c r="X320" s="20" t="n">
        <v>-0.00918841733177533</v>
      </c>
    </row>
    <row r="321" customFormat="false" ht="13.5" hidden="false" customHeight="true" outlineLevel="0" collapsed="false">
      <c r="A321" s="47" t="n">
        <v>42835</v>
      </c>
      <c r="B321" s="20" t="n">
        <v>-0.00362804025670282</v>
      </c>
      <c r="C321" s="20" t="n">
        <v>0.000999121697778271</v>
      </c>
      <c r="D321" s="20" t="n">
        <v>0.00536756341641098</v>
      </c>
      <c r="E321" s="20" t="n">
        <v>0.00266309374671669</v>
      </c>
      <c r="F321" s="20" t="n">
        <v>-0.00435352800396771</v>
      </c>
      <c r="G321" s="20" t="n">
        <v>-0.0207504378646987</v>
      </c>
      <c r="H321" s="20" t="n">
        <v>-0.0016611282724801</v>
      </c>
      <c r="I321" s="20" t="n">
        <v>0.0271090880177991</v>
      </c>
      <c r="J321" s="20" t="n">
        <v>-0.00787404903980038</v>
      </c>
      <c r="K321" s="20" t="n">
        <v>-0.0892311492348419</v>
      </c>
      <c r="L321" s="20" t="n">
        <v>-0.00978802328608274</v>
      </c>
      <c r="M321" s="20" t="n">
        <v>-0.00323674281039121</v>
      </c>
      <c r="N321" s="20" t="n">
        <v>0.00120549659047064</v>
      </c>
      <c r="O321" s="20" t="n">
        <v>-0.00173502813896142</v>
      </c>
      <c r="P321" s="20" t="n">
        <v>0.00332225890256543</v>
      </c>
      <c r="Q321" s="20" t="n">
        <v>-0.0248239455905388</v>
      </c>
      <c r="R321" s="20" t="n">
        <v>0.00461599255590261</v>
      </c>
      <c r="S321" s="20" t="n">
        <v>-0.0153694665836243</v>
      </c>
      <c r="T321" s="20" t="n">
        <v>-0.00273017483035609</v>
      </c>
      <c r="U321" s="20" t="n">
        <v>0.00444939118353371</v>
      </c>
      <c r="V321" s="20" t="n">
        <v>-0.00695947394285756</v>
      </c>
      <c r="W321" s="20" t="n">
        <v>-0.00699176841712345</v>
      </c>
      <c r="X321" s="20" t="n">
        <v>0</v>
      </c>
    </row>
    <row r="322" customFormat="false" ht="13.5" hidden="false" customHeight="true" outlineLevel="0" collapsed="false">
      <c r="A322" s="47" t="n">
        <v>42836</v>
      </c>
      <c r="B322" s="20" t="n">
        <v>0.000468888941698608</v>
      </c>
      <c r="C322" s="20" t="n">
        <v>-0.00902863662977759</v>
      </c>
      <c r="D322" s="20" t="n">
        <v>0.00371704103489101</v>
      </c>
      <c r="E322" s="20" t="n">
        <v>-0.00444249440936594</v>
      </c>
      <c r="F322" s="20" t="n">
        <v>-0.0118500600881326</v>
      </c>
      <c r="G322" s="20" t="n">
        <v>0.00975948900755163</v>
      </c>
      <c r="H322" s="20" t="n">
        <v>0</v>
      </c>
      <c r="I322" s="20" t="n">
        <v>0.0110283360182519</v>
      </c>
      <c r="J322" s="20" t="n">
        <v>0.00591138854942241</v>
      </c>
      <c r="K322" s="20" t="n">
        <v>0.0219788859867247</v>
      </c>
      <c r="L322" s="20" t="n">
        <v>-0.0458436741171577</v>
      </c>
      <c r="M322" s="20" t="n">
        <v>-0.000294830848278859</v>
      </c>
      <c r="N322" s="20" t="n">
        <v>0.0095923907334039</v>
      </c>
      <c r="O322" s="20" t="n">
        <v>0.00618278194386645</v>
      </c>
      <c r="P322" s="20" t="n">
        <v>-0.0234910705376663</v>
      </c>
      <c r="Q322" s="20" t="n">
        <v>0.0107143777204716</v>
      </c>
      <c r="R322" s="20" t="n">
        <v>-0.00269005591242343</v>
      </c>
      <c r="S322" s="20" t="n">
        <v>-0.00269723432386292</v>
      </c>
      <c r="T322" s="20" t="n">
        <v>-0.00915475573883739</v>
      </c>
      <c r="U322" s="20" t="n">
        <v>0.00110928780104835</v>
      </c>
      <c r="V322" s="20" t="n">
        <v>0.000188772976218665</v>
      </c>
      <c r="W322" s="20" t="n">
        <v>-0.0193891407260782</v>
      </c>
      <c r="X322" s="20" t="n">
        <v>-0.0108276653490118</v>
      </c>
    </row>
    <row r="323" customFormat="false" ht="13.5" hidden="false" customHeight="true" outlineLevel="0" collapsed="false">
      <c r="A323" s="47" t="n">
        <v>42837</v>
      </c>
      <c r="B323" s="20" t="n">
        <v>-0.00664339945760072</v>
      </c>
      <c r="C323" s="20" t="n">
        <v>-0.00707908927162792</v>
      </c>
      <c r="D323" s="20" t="n">
        <v>-0.00429911488251555</v>
      </c>
      <c r="E323" s="20" t="n">
        <v>-0.01074315523838</v>
      </c>
      <c r="F323" s="20" t="n">
        <v>-0.0137810346158029</v>
      </c>
      <c r="G323" s="20" t="n">
        <v>0.00367704586599204</v>
      </c>
      <c r="H323" s="20" t="n">
        <v>-0.0210003910303537</v>
      </c>
      <c r="I323" s="20" t="n">
        <v>-0.00712205376624197</v>
      </c>
      <c r="J323" s="20" t="n">
        <v>0.00196266049037796</v>
      </c>
      <c r="K323" s="20" t="n">
        <v>-0.0814930675006989</v>
      </c>
      <c r="L323" s="20" t="n">
        <v>-0.0022908949361331</v>
      </c>
      <c r="M323" s="20" t="n">
        <v>-0.00117985563185873</v>
      </c>
      <c r="N323" s="20" t="n">
        <v>-0.000795803875025757</v>
      </c>
      <c r="O323" s="20" t="n">
        <v>-0.00692735559626589</v>
      </c>
      <c r="P323" s="20" t="n">
        <v>-0.0153980245578204</v>
      </c>
      <c r="Q323" s="20" t="n">
        <v>-0.00177781893613571</v>
      </c>
      <c r="R323" s="20" t="n">
        <v>0</v>
      </c>
      <c r="S323" s="20" t="n">
        <v>-0.00881661263813216</v>
      </c>
      <c r="T323" s="20" t="n">
        <v>-0.00615010462032605</v>
      </c>
      <c r="U323" s="20" t="n">
        <v>-0.0119895562823177</v>
      </c>
      <c r="V323" s="20" t="n">
        <v>-0.00302400234423405</v>
      </c>
      <c r="W323" s="20" t="n">
        <v>-0.0338885784012865</v>
      </c>
      <c r="X323" s="20" t="n">
        <v>-0.0212188319365003</v>
      </c>
    </row>
    <row r="324" customFormat="false" ht="13.5" hidden="false" customHeight="true" outlineLevel="0" collapsed="false">
      <c r="A324" s="47" t="n">
        <v>42838</v>
      </c>
      <c r="B324" s="20" t="n">
        <v>0.0092183214610122</v>
      </c>
      <c r="C324" s="20" t="n">
        <v>0.00270271467182903</v>
      </c>
      <c r="D324" s="20" t="n">
        <v>-0.0416082853614181</v>
      </c>
      <c r="E324" s="20" t="n">
        <v>0.015185649647746</v>
      </c>
      <c r="F324" s="20" t="n">
        <v>0.0208202124116763</v>
      </c>
      <c r="G324" s="20" t="n">
        <v>0.00100052324467858</v>
      </c>
      <c r="H324" s="20" t="n">
        <v>0.0585251479557973</v>
      </c>
      <c r="I324" s="20" t="n">
        <v>-0.000649998640569027</v>
      </c>
      <c r="J324" s="20" t="n">
        <v>-0.00985223997423578</v>
      </c>
      <c r="K324" s="20" t="n">
        <v>-0.038466245545726</v>
      </c>
      <c r="L324" s="20" t="n">
        <v>0.00913247461511934</v>
      </c>
      <c r="M324" s="20" t="n">
        <v>0.00353562330588452</v>
      </c>
      <c r="N324" s="20" t="n">
        <v>0.0071399905687941</v>
      </c>
      <c r="O324" s="20" t="n">
        <v>0.000496412476216345</v>
      </c>
      <c r="P324" s="20" t="n">
        <v>0.00943804986962693</v>
      </c>
      <c r="Q324" s="20" t="n">
        <v>0.0315263068952476</v>
      </c>
      <c r="R324" s="20" t="n">
        <v>0.00982845693912448</v>
      </c>
      <c r="S324" s="20" t="n">
        <v>0.0101661070303622</v>
      </c>
      <c r="T324" s="20" t="n">
        <v>0.00584354868956804</v>
      </c>
      <c r="U324" s="20" t="n">
        <v>0.0140660282019062</v>
      </c>
      <c r="V324" s="20" t="n">
        <v>0.00226884062049537</v>
      </c>
      <c r="W324" s="20" t="n">
        <v>0.0263300066894105</v>
      </c>
      <c r="X324" s="20" t="n">
        <v>0.0250993328631699</v>
      </c>
    </row>
    <row r="325" customFormat="false" ht="13.5" hidden="false" customHeight="true" outlineLevel="0" collapsed="false">
      <c r="A325" s="47" t="n">
        <v>42842</v>
      </c>
      <c r="B325" s="20" t="n">
        <v>-0.00615568717091807</v>
      </c>
      <c r="C325" s="20" t="n">
        <v>0.00672500047534985</v>
      </c>
      <c r="D325" s="20" t="n">
        <v>-0.0144274460831281</v>
      </c>
      <c r="E325" s="20" t="n">
        <v>-0.01248895707909</v>
      </c>
      <c r="F325" s="20" t="n">
        <v>-0.00439369707936121</v>
      </c>
      <c r="G325" s="20" t="n">
        <v>-0.00601808255949265</v>
      </c>
      <c r="H325" s="20" t="n">
        <v>-0.0120823517888299</v>
      </c>
      <c r="I325" s="20" t="n">
        <v>0</v>
      </c>
      <c r="J325" s="20" t="n">
        <v>0.0019781909344354</v>
      </c>
      <c r="K325" s="20" t="n">
        <v>-0.0502617865863102</v>
      </c>
      <c r="L325" s="20" t="n">
        <v>-0.0264840461586652</v>
      </c>
      <c r="M325" s="20" t="n">
        <v>-0.00471698536904074</v>
      </c>
      <c r="N325" s="20" t="n">
        <v>-0.00953143742100026</v>
      </c>
      <c r="O325" s="20" t="n">
        <v>-0.00124144615656485</v>
      </c>
      <c r="P325" s="20" t="n">
        <v>-0.0180961454980623</v>
      </c>
      <c r="Q325" s="20" t="n">
        <v>-0.0017256654412141</v>
      </c>
      <c r="R325" s="20" t="n">
        <v>-0.00611549041466918</v>
      </c>
      <c r="S325" s="20" t="n">
        <v>0.00403771874791525</v>
      </c>
      <c r="T325" s="20" t="n">
        <v>0.0018381610480751</v>
      </c>
      <c r="U325" s="20" t="n">
        <v>0.000414777476567707</v>
      </c>
      <c r="V325" s="20" t="n">
        <v>-0.000377794820547894</v>
      </c>
      <c r="W325" s="20" t="n">
        <v>-0.0051345639603717</v>
      </c>
      <c r="X325" s="20" t="n">
        <v>-0.00855700721246188</v>
      </c>
    </row>
    <row r="326" customFormat="false" ht="13.5" hidden="false" customHeight="true" outlineLevel="0" collapsed="false">
      <c r="A326" s="47" t="n">
        <v>42843</v>
      </c>
      <c r="B326" s="20" t="n">
        <v>-0.050411592548416</v>
      </c>
      <c r="C326" s="20" t="n">
        <v>0.00534756041386685</v>
      </c>
      <c r="D326" s="20" t="n">
        <v>-0.00382501009999725</v>
      </c>
      <c r="E326" s="20" t="n">
        <v>0.00447821950651894</v>
      </c>
      <c r="F326" s="20" t="n">
        <v>0.001320162453601</v>
      </c>
      <c r="G326" s="20" t="n">
        <v>0.00435005093256668</v>
      </c>
      <c r="H326" s="20" t="n">
        <v>-0.0155167753193796</v>
      </c>
      <c r="I326" s="20" t="n">
        <v>-0.0317067841689717</v>
      </c>
      <c r="J326" s="20" t="n">
        <v>0.00197437947036793</v>
      </c>
      <c r="K326" s="20" t="n">
        <v>0.081627473625065</v>
      </c>
      <c r="L326" s="20" t="n">
        <v>-0.00702572751899621</v>
      </c>
      <c r="M326" s="20" t="n">
        <v>-0.00681987935028649</v>
      </c>
      <c r="N326" s="20" t="n">
        <v>0.00913616872626921</v>
      </c>
      <c r="O326" s="20" t="n">
        <v>0</v>
      </c>
      <c r="P326" s="20" t="n">
        <v>-0.0417282263131144</v>
      </c>
      <c r="Q326" s="20" t="n">
        <v>-0.0139132546478306</v>
      </c>
      <c r="R326" s="20" t="n">
        <v>-0.00538184492263127</v>
      </c>
      <c r="S326" s="20" t="n">
        <v>0.000671317596230292</v>
      </c>
      <c r="T326" s="20" t="n">
        <v>-0.000612267109139974</v>
      </c>
      <c r="U326" s="20" t="n">
        <v>-0.00318443650753419</v>
      </c>
      <c r="V326" s="20" t="n">
        <v>0.00508811905302097</v>
      </c>
      <c r="W326" s="20" t="n">
        <v>-0.00573613868213573</v>
      </c>
      <c r="X326" s="20" t="n">
        <v>-0.016542325650708</v>
      </c>
    </row>
    <row r="327" customFormat="false" ht="13.5" hidden="false" customHeight="true" outlineLevel="0" collapsed="false">
      <c r="A327" s="47" t="n">
        <v>42844</v>
      </c>
      <c r="B327" s="20" t="n">
        <v>0.00376555647271015</v>
      </c>
      <c r="C327" s="20" t="n">
        <v>0.00895979196189378</v>
      </c>
      <c r="D327" s="20" t="n">
        <v>0.0128971024293624</v>
      </c>
      <c r="E327" s="20" t="n">
        <v>0.0247144695973324</v>
      </c>
      <c r="F327" s="20" t="n">
        <v>0.0144075807001842</v>
      </c>
      <c r="G327" s="20" t="n">
        <v>-0.00804569137617461</v>
      </c>
      <c r="H327" s="20" t="n">
        <v>-0.0216314973560027</v>
      </c>
      <c r="I327" s="20" t="n">
        <v>0.0106810628853235</v>
      </c>
      <c r="J327" s="20" t="n">
        <v>0</v>
      </c>
      <c r="K327" s="20" t="n">
        <v>-0.0362796972353965</v>
      </c>
      <c r="L327" s="20" t="n">
        <v>0.0357798659373549</v>
      </c>
      <c r="M327" s="20" t="n">
        <v>0.00386046696807618</v>
      </c>
      <c r="N327" s="20" t="n">
        <v>0.0078771125257111</v>
      </c>
      <c r="O327" s="20" t="n">
        <v>0.0027292067435205</v>
      </c>
      <c r="P327" s="20" t="n">
        <v>-0.0275752950755219</v>
      </c>
      <c r="Q327" s="20" t="n">
        <v>-0.0158873868062028</v>
      </c>
      <c r="R327" s="20" t="n">
        <v>0.0203491499894807</v>
      </c>
      <c r="S327" s="20" t="n">
        <v>0.00268096426845909</v>
      </c>
      <c r="T327" s="20" t="n">
        <v>0.0054978848304632</v>
      </c>
      <c r="U327" s="20" t="n">
        <v>-0.00975477254895995</v>
      </c>
      <c r="V327" s="20" t="n">
        <v>0.00450109284201349</v>
      </c>
      <c r="W327" s="20" t="n">
        <v>0.025557443195757</v>
      </c>
      <c r="X327" s="20" t="n">
        <v>0.0102727187287823</v>
      </c>
    </row>
    <row r="328" customFormat="false" ht="13.5" hidden="false" customHeight="true" outlineLevel="0" collapsed="false">
      <c r="A328" s="47" t="n">
        <v>42845</v>
      </c>
      <c r="B328" s="20" t="n">
        <v>-0.0119004634995834</v>
      </c>
      <c r="C328" s="20" t="n">
        <v>-0.0240734042631705</v>
      </c>
      <c r="D328" s="20" t="n">
        <v>-0.00061042608498596</v>
      </c>
      <c r="E328" s="20" t="n">
        <v>-0.0113986426665793</v>
      </c>
      <c r="F328" s="20" t="n">
        <v>-0.0157277431537852</v>
      </c>
      <c r="G328" s="20" t="n">
        <v>0.00804569137617461</v>
      </c>
      <c r="H328" s="20" t="n">
        <v>-0.00252631469846376</v>
      </c>
      <c r="I328" s="20" t="n">
        <v>0.00595825654111648</v>
      </c>
      <c r="J328" s="20" t="n">
        <v>0</v>
      </c>
      <c r="K328" s="20" t="n">
        <v>0.00980399092998063</v>
      </c>
      <c r="L328" s="20" t="n">
        <v>0.00565294800119753</v>
      </c>
      <c r="M328" s="20" t="n">
        <v>-0.00296830990378893</v>
      </c>
      <c r="N328" s="20" t="n">
        <v>-0.00669162418552504</v>
      </c>
      <c r="O328" s="20" t="n">
        <v>-0.0107112818901935</v>
      </c>
      <c r="P328" s="20" t="n">
        <v>0.0101994961073059</v>
      </c>
      <c r="Q328" s="20" t="n">
        <v>0.00355239829475384</v>
      </c>
      <c r="R328" s="20" t="n">
        <v>-0.00189025986274504</v>
      </c>
      <c r="S328" s="20" t="n">
        <v>-0.00268096426845909</v>
      </c>
      <c r="T328" s="20" t="n">
        <v>-0.000304710923850315</v>
      </c>
      <c r="U328" s="20" t="n">
        <v>0.000839831467942531</v>
      </c>
      <c r="V328" s="20" t="n">
        <v>0.000748240143633172</v>
      </c>
      <c r="W328" s="20" t="n">
        <v>-0.00938974034983886</v>
      </c>
      <c r="X328" s="20" t="n">
        <v>-0.00947873467199977</v>
      </c>
    </row>
    <row r="329" customFormat="false" ht="13.5" hidden="false" customHeight="true" outlineLevel="0" collapsed="false">
      <c r="A329" s="47" t="n">
        <v>42846</v>
      </c>
      <c r="B329" s="20" t="n">
        <v>0.00230433329357637</v>
      </c>
      <c r="C329" s="20" t="n">
        <v>0</v>
      </c>
      <c r="D329" s="20" t="n">
        <v>0.0185111909901838</v>
      </c>
      <c r="E329" s="20" t="n">
        <v>0.00790519275093437</v>
      </c>
      <c r="F329" s="20" t="n">
        <v>0.0397117398796007</v>
      </c>
      <c r="G329" s="20" t="n">
        <v>0.00632382291257016</v>
      </c>
      <c r="H329" s="20" t="n">
        <v>0.0290839254727375</v>
      </c>
      <c r="I329" s="20" t="n">
        <v>-0.0213483557705855</v>
      </c>
      <c r="J329" s="20" t="n">
        <v>0.0117648300294981</v>
      </c>
      <c r="K329" s="20" t="n">
        <v>0</v>
      </c>
      <c r="L329" s="20" t="n">
        <v>-0.0136210830499448</v>
      </c>
      <c r="M329" s="20" t="n">
        <v>0.00296830990378893</v>
      </c>
      <c r="N329" s="20" t="n">
        <v>0.00512118775128644</v>
      </c>
      <c r="O329" s="20" t="n">
        <v>0.00225141187606059</v>
      </c>
      <c r="P329" s="20" t="n">
        <v>-0.00277133961930164</v>
      </c>
      <c r="Q329" s="20" t="n">
        <v>0.0105820995410466</v>
      </c>
      <c r="R329" s="20" t="n">
        <v>0.0096656029415012</v>
      </c>
      <c r="S329" s="20" t="n">
        <v>0.0106810628853235</v>
      </c>
      <c r="T329" s="20" t="n">
        <v>0.013918502909751</v>
      </c>
      <c r="U329" s="20" t="n">
        <v>0.0149982230825731</v>
      </c>
      <c r="V329" s="20" t="n">
        <v>0.00130803897231013</v>
      </c>
      <c r="W329" s="20" t="n">
        <v>0.0121895839659438</v>
      </c>
      <c r="X329" s="20" t="n">
        <v>0.030482968829852</v>
      </c>
    </row>
    <row r="330" customFormat="false" ht="13.5" hidden="false" customHeight="true" outlineLevel="0" collapsed="false">
      <c r="A330" s="47" t="n">
        <v>42849</v>
      </c>
      <c r="B330" s="20" t="n">
        <v>-0.00224201757386399</v>
      </c>
      <c r="C330" s="20" t="n">
        <v>-0.00338981301196739</v>
      </c>
      <c r="D330" s="20" t="n">
        <v>-0.0269728572345631</v>
      </c>
      <c r="E330" s="20" t="n">
        <v>0.0043648465102728</v>
      </c>
      <c r="F330" s="20" t="n">
        <v>0.0147030748267482</v>
      </c>
      <c r="G330" s="20" t="n">
        <v>-0.0100033924987044</v>
      </c>
      <c r="H330" s="20" t="n">
        <v>0</v>
      </c>
      <c r="I330" s="20" t="n">
        <v>-0.0322056112934645</v>
      </c>
      <c r="J330" s="20" t="n">
        <v>0.0154741815963022</v>
      </c>
      <c r="K330" s="20" t="n">
        <v>-0.0448952771848004</v>
      </c>
      <c r="L330" s="20" t="n">
        <v>0.0225998106060827</v>
      </c>
      <c r="M330" s="20" t="n">
        <v>0.000592493145226136</v>
      </c>
      <c r="N330" s="20" t="n">
        <v>0.0186848383452833</v>
      </c>
      <c r="O330" s="20" t="n">
        <v>-0.00200104699014236</v>
      </c>
      <c r="P330" s="20" t="n">
        <v>0.0156037239221311</v>
      </c>
      <c r="Q330" s="20" t="n">
        <v>0.0139375776050607</v>
      </c>
      <c r="R330" s="20" t="n">
        <v>0.02613877209349</v>
      </c>
      <c r="S330" s="20" t="n">
        <v>0.0281523894179325</v>
      </c>
      <c r="T330" s="20" t="n">
        <v>0.00419788910483154</v>
      </c>
      <c r="U330" s="20" t="n">
        <v>-0.00165543897377329</v>
      </c>
      <c r="V330" s="20" t="n">
        <v>0.00725650960545731</v>
      </c>
      <c r="W330" s="20" t="n">
        <v>0.0168195411874303</v>
      </c>
      <c r="X330" s="20" t="n">
        <v>0.00384174051046626</v>
      </c>
    </row>
    <row r="331" customFormat="false" ht="13.5" hidden="false" customHeight="true" outlineLevel="0" collapsed="false">
      <c r="A331" s="47" t="n">
        <v>42850</v>
      </c>
      <c r="B331" s="20" t="n">
        <v>-0.00205961585803393</v>
      </c>
      <c r="C331" s="20" t="n">
        <v>-0.00647255605657193</v>
      </c>
      <c r="D331" s="20" t="n">
        <v>-0.00296001535364354</v>
      </c>
      <c r="E331" s="20" t="n">
        <v>0.0103987799811045</v>
      </c>
      <c r="F331" s="20" t="n">
        <v>-0.00376019472066779</v>
      </c>
      <c r="G331" s="20" t="n">
        <v>0.000670032102389583</v>
      </c>
      <c r="H331" s="20" t="n">
        <v>-0.00574955566639445</v>
      </c>
      <c r="I331" s="20" t="n">
        <v>0.0117689194926264</v>
      </c>
      <c r="J331" s="20" t="n">
        <v>-0.0193804327434752</v>
      </c>
      <c r="K331" s="20" t="n">
        <v>-0.0211402602737136</v>
      </c>
      <c r="L331" s="20" t="n">
        <v>-0.0248881935597977</v>
      </c>
      <c r="M331" s="20" t="n">
        <v>0.00266233427048279</v>
      </c>
      <c r="N331" s="20" t="n">
        <v>-0.00231658268144219</v>
      </c>
      <c r="O331" s="20" t="n">
        <v>0.0124410665897229</v>
      </c>
      <c r="P331" s="20" t="n">
        <v>-0.0146791491771538</v>
      </c>
      <c r="Q331" s="20" t="n">
        <v>-0.0174525164723218</v>
      </c>
      <c r="R331" s="20" t="n">
        <v>-0.00207100239510538</v>
      </c>
      <c r="S331" s="20" t="n">
        <v>-0.0509875082114001</v>
      </c>
      <c r="T331" s="20" t="n">
        <v>-0.000598522710406612</v>
      </c>
      <c r="U331" s="20" t="n">
        <v>-0.0127832524871491</v>
      </c>
      <c r="V331" s="20" t="n">
        <v>-0.00315659291702763</v>
      </c>
      <c r="W331" s="20" t="n">
        <v>-0.000366644501707202</v>
      </c>
      <c r="X331" s="20" t="n">
        <v>0.00611622122018662</v>
      </c>
    </row>
    <row r="332" customFormat="false" ht="13.5" hidden="false" customHeight="true" outlineLevel="0" collapsed="false">
      <c r="A332" s="47" t="n">
        <v>42851</v>
      </c>
      <c r="B332" s="20" t="n">
        <v>0.0016231338956647</v>
      </c>
      <c r="C332" s="20" t="n">
        <v>-0.00617073252914446</v>
      </c>
      <c r="D332" s="20" t="n">
        <v>0.00455978046180938</v>
      </c>
      <c r="E332" s="20" t="n">
        <v>-0.0112701765757323</v>
      </c>
      <c r="F332" s="20" t="n">
        <v>-0.010096836981162</v>
      </c>
      <c r="G332" s="20" t="n">
        <v>0.00966509796931403</v>
      </c>
      <c r="H332" s="20" t="n">
        <v>0.00820348375122259</v>
      </c>
      <c r="I332" s="20" t="n">
        <v>-0.0515468532199085</v>
      </c>
      <c r="J332" s="20" t="n">
        <v>-0.0177695004395375</v>
      </c>
      <c r="K332" s="20" t="n">
        <v>-0.0344587802050257</v>
      </c>
      <c r="L332" s="20" t="n">
        <v>-0.0361554801005343</v>
      </c>
      <c r="M332" s="20" t="n">
        <v>0.000295440450109651</v>
      </c>
      <c r="N332" s="20" t="n">
        <v>-0.00309717324577896</v>
      </c>
      <c r="O332" s="20" t="n">
        <v>-0.0131924449561977</v>
      </c>
      <c r="P332" s="20" t="n">
        <v>-0.0158363888768695</v>
      </c>
      <c r="Q332" s="20" t="n">
        <v>0</v>
      </c>
      <c r="R332" s="20" t="n">
        <v>0.0095880449448904</v>
      </c>
      <c r="S332" s="20" t="n">
        <v>0.0248251514503383</v>
      </c>
      <c r="T332" s="20" t="n">
        <v>0.0104244716508881</v>
      </c>
      <c r="U332" s="20" t="n">
        <v>0.000279595121206455</v>
      </c>
      <c r="V332" s="20" t="n">
        <v>0.0347256699692355</v>
      </c>
      <c r="W332" s="20" t="n">
        <v>-0.00183524164629567</v>
      </c>
      <c r="X332" s="20" t="n">
        <v>-0.00995796173065288</v>
      </c>
    </row>
    <row r="333" customFormat="false" ht="13.5" hidden="false" customHeight="true" outlineLevel="0" collapsed="false">
      <c r="A333" s="47" t="n">
        <v>42852</v>
      </c>
      <c r="B333" s="20" t="n">
        <v>-0.000187230829459039</v>
      </c>
      <c r="C333" s="20" t="n">
        <v>-0.00309970448457841</v>
      </c>
      <c r="D333" s="20" t="n">
        <v>0.00893568256998822</v>
      </c>
      <c r="E333" s="20" t="n">
        <v>0</v>
      </c>
      <c r="F333" s="20" t="n">
        <v>-0.0131944654121207</v>
      </c>
      <c r="G333" s="20" t="n">
        <v>-0.0167227979428226</v>
      </c>
      <c r="H333" s="20" t="n">
        <v>0.0048899807333389</v>
      </c>
      <c r="I333" s="20" t="n">
        <v>0.0115274940822915</v>
      </c>
      <c r="J333" s="20" t="n">
        <v>-0.0140423918558361</v>
      </c>
      <c r="K333" s="20" t="n">
        <v>0.0297577723564035</v>
      </c>
      <c r="L333" s="20" t="n">
        <v>0.0188240672925288</v>
      </c>
      <c r="M333" s="20" t="n">
        <v>0.00177036221140669</v>
      </c>
      <c r="N333" s="20" t="n">
        <v>-0.00466385753741382</v>
      </c>
      <c r="O333" s="20" t="n">
        <v>-0.00704048108281085</v>
      </c>
      <c r="P333" s="20" t="n">
        <v>0.0046838673054923</v>
      </c>
      <c r="Q333" s="20" t="n">
        <v>0.00876433154436817</v>
      </c>
      <c r="R333" s="20" t="n">
        <v>-0.00423650657254537</v>
      </c>
      <c r="S333" s="20" t="n">
        <v>-0.00464960607868203</v>
      </c>
      <c r="T333" s="20" t="n">
        <v>0.00943680539701974</v>
      </c>
      <c r="U333" s="20" t="n">
        <v>0.0034889436586063</v>
      </c>
      <c r="V333" s="20" t="n">
        <v>0.0068027666022159</v>
      </c>
      <c r="W333" s="20" t="n">
        <v>-0.0110824643869218</v>
      </c>
      <c r="X333" s="20" t="n">
        <v>-0.0100581209501342</v>
      </c>
    </row>
    <row r="334" customFormat="false" ht="13.5" hidden="false" customHeight="true" outlineLevel="0" collapsed="false">
      <c r="A334" s="47" t="n">
        <v>42853</v>
      </c>
      <c r="B334" s="20" t="n">
        <v>-0.00908724954432127</v>
      </c>
      <c r="C334" s="20" t="n">
        <v>-0.00172621118510596</v>
      </c>
      <c r="D334" s="20" t="n">
        <v>-0.0029289484911521</v>
      </c>
      <c r="E334" s="20" t="n">
        <v>-0.00436874351331262</v>
      </c>
      <c r="F334" s="20" t="n">
        <v>0.0115017435527984</v>
      </c>
      <c r="G334" s="20" t="n">
        <v>-0.0214768493478589</v>
      </c>
      <c r="H334" s="20" t="n">
        <v>0.00890338622655662</v>
      </c>
      <c r="I334" s="20" t="n">
        <v>-0.0224566063823492</v>
      </c>
      <c r="J334" s="20" t="n">
        <v>0.00201821037945548</v>
      </c>
      <c r="K334" s="20" t="n">
        <v>0.0319450330484356</v>
      </c>
      <c r="L334" s="20" t="n">
        <v>0.0115876592229557</v>
      </c>
      <c r="M334" s="20" t="n">
        <v>-0.0041358816993422</v>
      </c>
      <c r="N334" s="20" t="n">
        <v>-0.0113615686356349</v>
      </c>
      <c r="O334" s="20" t="n">
        <v>-0.0134640061882485</v>
      </c>
      <c r="P334" s="20" t="n">
        <v>-0.00374531921853504</v>
      </c>
      <c r="Q334" s="20" t="n">
        <v>0.00695654315902372</v>
      </c>
      <c r="R334" s="20" t="n">
        <v>-0.00583947343631585</v>
      </c>
      <c r="S334" s="20" t="n">
        <v>-0.0019993799673923</v>
      </c>
      <c r="T334" s="20" t="n">
        <v>-0.00293940460832642</v>
      </c>
      <c r="U334" s="20" t="n">
        <v>-0.013746824909691</v>
      </c>
      <c r="V334" s="20" t="n">
        <v>0.00462802774817205</v>
      </c>
      <c r="W334" s="20" t="n">
        <v>0.0114497822640369</v>
      </c>
      <c r="X334" s="20" t="n">
        <v>0.0177268994661123</v>
      </c>
    </row>
    <row r="335" customFormat="false" ht="13.5" hidden="false" customHeight="true" outlineLevel="0" collapsed="false">
      <c r="A335" s="47" t="n">
        <v>42856</v>
      </c>
      <c r="B335" s="20" t="n">
        <v>0.00163559049878792</v>
      </c>
      <c r="C335" s="20" t="n">
        <v>0.00172621118510596</v>
      </c>
      <c r="D335" s="20" t="n">
        <v>-0.00146774425866968</v>
      </c>
      <c r="E335" s="20" t="n">
        <v>-0.0447702336052109</v>
      </c>
      <c r="F335" s="20" t="n">
        <v>-0.00339414502784629</v>
      </c>
      <c r="G335" s="20" t="n">
        <v>-0.00691568324776925</v>
      </c>
      <c r="H335" s="20" t="n">
        <v>0.0191545973678777</v>
      </c>
      <c r="I335" s="20" t="n">
        <v>0.00657177645166839</v>
      </c>
      <c r="J335" s="20" t="n">
        <v>-0.0244909961727943</v>
      </c>
      <c r="K335" s="20" t="n">
        <v>0</v>
      </c>
      <c r="L335" s="20" t="n">
        <v>0.016000271587512</v>
      </c>
      <c r="M335" s="20" t="n">
        <v>-0.00504521534595925</v>
      </c>
      <c r="N335" s="20" t="n">
        <v>0.0222102097927421</v>
      </c>
      <c r="O335" s="20" t="n">
        <v>-0.00384363606186388</v>
      </c>
      <c r="P335" s="20" t="n">
        <v>-0.00658823040164513</v>
      </c>
      <c r="Q335" s="20" t="n">
        <v>0.015477549158571</v>
      </c>
      <c r="R335" s="20" t="n">
        <v>-0.036783459733261</v>
      </c>
      <c r="S335" s="20" t="n">
        <v>-0.0168184256122874</v>
      </c>
      <c r="T335" s="20" t="n">
        <v>0.00791678218695057</v>
      </c>
      <c r="U335" s="20" t="n">
        <v>0.000423621813334662</v>
      </c>
      <c r="V335" s="20" t="n">
        <v>-0.0064137152605479</v>
      </c>
      <c r="W335" s="20" t="n">
        <v>0.00146792376918059</v>
      </c>
      <c r="X335" s="20" t="n">
        <v>-0.0107528181616514</v>
      </c>
    </row>
    <row r="336" customFormat="false" ht="13.5" hidden="false" customHeight="true" outlineLevel="0" collapsed="false">
      <c r="A336" s="47" t="n">
        <v>42857</v>
      </c>
      <c r="B336" s="20" t="n">
        <v>-0.00295849650499846</v>
      </c>
      <c r="C336" s="20" t="n">
        <v>0.00824466751108676</v>
      </c>
      <c r="D336" s="20" t="n">
        <v>-0.00552314330289327</v>
      </c>
      <c r="E336" s="20" t="n">
        <v>0.0136427418493401</v>
      </c>
      <c r="F336" s="20" t="n">
        <v>0.0101480687091699</v>
      </c>
      <c r="G336" s="20" t="n">
        <v>0.019925081387127</v>
      </c>
      <c r="H336" s="20" t="n">
        <v>-0.0183491784569804</v>
      </c>
      <c r="I336" s="20" t="n">
        <v>-0.0154018476894939</v>
      </c>
      <c r="J336" s="20" t="n">
        <v>0.00206393303104013</v>
      </c>
      <c r="K336" s="20" t="n">
        <v>0.0140989229286786</v>
      </c>
      <c r="L336" s="20" t="n">
        <v>-0.0535634493889762</v>
      </c>
      <c r="M336" s="20" t="n">
        <v>-0.00417410820203922</v>
      </c>
      <c r="N336" s="20" t="n">
        <v>-0.020635370249618</v>
      </c>
      <c r="O336" s="20" t="n">
        <v>-0.0142212925743092</v>
      </c>
      <c r="P336" s="20" t="n">
        <v>0.0242549411229759</v>
      </c>
      <c r="Q336" s="20" t="n">
        <v>-0.0034188034047502</v>
      </c>
      <c r="R336" s="20" t="n">
        <v>0.00882169503858509</v>
      </c>
      <c r="S336" s="20" t="n">
        <v>0.0247918823298385</v>
      </c>
      <c r="T336" s="20" t="n">
        <v>0.000291964414051548</v>
      </c>
      <c r="U336" s="20" t="n">
        <v>-0.00864947749266509</v>
      </c>
      <c r="V336" s="20" t="n">
        <v>-0.0160349237378483</v>
      </c>
      <c r="W336" s="20" t="n">
        <v>0.00566776469832674</v>
      </c>
      <c r="X336" s="20" t="n">
        <v>0.0145652657675414</v>
      </c>
    </row>
    <row r="337" customFormat="false" ht="13.5" hidden="false" customHeight="true" outlineLevel="0" collapsed="false">
      <c r="A337" s="47" t="n">
        <v>42858</v>
      </c>
      <c r="B337" s="20" t="n">
        <v>0.00264416018105961</v>
      </c>
      <c r="C337" s="20" t="n">
        <v>-0.00102689071918948</v>
      </c>
      <c r="D337" s="20" t="n">
        <v>0.0217916092328689</v>
      </c>
      <c r="E337" s="20" t="n">
        <v>-0.00634344635435324</v>
      </c>
      <c r="F337" s="20" t="n">
        <v>0.00335993269874279</v>
      </c>
      <c r="G337" s="20" t="n">
        <v>-0.00614127854608348</v>
      </c>
      <c r="H337" s="20" t="n">
        <v>-0.0427696361239227</v>
      </c>
      <c r="I337" s="20" t="n">
        <v>-0.0104012371033261</v>
      </c>
      <c r="J337" s="20" t="n">
        <v>-0.00206393303104013</v>
      </c>
      <c r="K337" s="20" t="n">
        <v>-0.0202026878547784</v>
      </c>
      <c r="L337" s="20" t="n">
        <v>-0.0502864813548606</v>
      </c>
      <c r="M337" s="20" t="n">
        <v>-0.000597742312203664</v>
      </c>
      <c r="N337" s="20" t="n">
        <v>-0.0683748892223108</v>
      </c>
      <c r="O337" s="20" t="n">
        <v>-0.010208260487512</v>
      </c>
      <c r="P337" s="20" t="n">
        <v>-0.0423593456774233</v>
      </c>
      <c r="Q337" s="20" t="n">
        <v>0.0169783200394286</v>
      </c>
      <c r="R337" s="20" t="n">
        <v>0.01778322504728</v>
      </c>
      <c r="S337" s="20" t="n">
        <v>-0.00198739604255937</v>
      </c>
      <c r="T337" s="20" t="n">
        <v>-0.00204587809229961</v>
      </c>
      <c r="U337" s="20" t="n">
        <v>0.00128081336334595</v>
      </c>
      <c r="V337" s="20" t="n">
        <v>0.00235822791226159</v>
      </c>
      <c r="W337" s="20" t="n">
        <v>0.00599841541757495</v>
      </c>
      <c r="X337" s="20" t="n">
        <v>-0.00687289080012654</v>
      </c>
    </row>
    <row r="338" customFormat="false" ht="13.5" hidden="false" customHeight="true" outlineLevel="0" collapsed="false">
      <c r="A338" s="47" t="n">
        <v>42859</v>
      </c>
      <c r="B338" s="20" t="n">
        <v>-0.0254709721536956</v>
      </c>
      <c r="C338" s="20" t="n">
        <v>0.000684665708948095</v>
      </c>
      <c r="D338" s="20" t="n">
        <v>-0.00640290643589924</v>
      </c>
      <c r="E338" s="20" t="n">
        <v>0.0126469925196852</v>
      </c>
      <c r="F338" s="20" t="n">
        <v>-0.00462285378855531</v>
      </c>
      <c r="G338" s="20" t="n">
        <v>0.00443917644797897</v>
      </c>
      <c r="H338" s="20" t="n">
        <v>0.0183185630672948</v>
      </c>
      <c r="I338" s="20" t="n">
        <v>0.0162966060942859</v>
      </c>
      <c r="J338" s="20" t="n">
        <v>0.0102775239282575</v>
      </c>
      <c r="K338" s="20" t="n">
        <v>-0.0154245169656204</v>
      </c>
      <c r="L338" s="20" t="n">
        <v>0.0272970135357821</v>
      </c>
      <c r="M338" s="20" t="n">
        <v>0.000896422565932919</v>
      </c>
      <c r="N338" s="20" t="n">
        <v>-0.00591465134479696</v>
      </c>
      <c r="O338" s="20" t="n">
        <v>0.0143662665141395</v>
      </c>
      <c r="P338" s="20" t="n">
        <v>0.0524465155328881</v>
      </c>
      <c r="Q338" s="20" t="n">
        <v>-0.00337268122422251</v>
      </c>
      <c r="R338" s="20" t="n">
        <v>-0.000863181471232543</v>
      </c>
      <c r="S338" s="20" t="n">
        <v>0.00529101262853171</v>
      </c>
      <c r="T338" s="20" t="n">
        <v>0.00612512008030297</v>
      </c>
      <c r="U338" s="20" t="n">
        <v>0.00863845389980078</v>
      </c>
      <c r="V338" s="20" t="n">
        <v>-0.000724979201134345</v>
      </c>
      <c r="W338" s="20" t="n">
        <v>-0.00126937534939575</v>
      </c>
      <c r="X338" s="20" t="n">
        <v>-0.00460833532174165</v>
      </c>
    </row>
    <row r="339" customFormat="false" ht="13.5" hidden="false" customHeight="true" outlineLevel="0" collapsed="false">
      <c r="A339" s="47" t="n">
        <v>42860</v>
      </c>
      <c r="B339" s="20" t="n">
        <v>-0.0131136926028121</v>
      </c>
      <c r="C339" s="20" t="n">
        <v>-0.00514666036566202</v>
      </c>
      <c r="D339" s="20" t="n">
        <v>-0.0225527877560205</v>
      </c>
      <c r="E339" s="20" t="n">
        <v>-0.000898089748399666</v>
      </c>
      <c r="F339" s="20" t="n">
        <v>0.00922435549625833</v>
      </c>
      <c r="G339" s="20" t="n">
        <v>-0.0147591593427032</v>
      </c>
      <c r="H339" s="20" t="n">
        <v>-0.00247825451052285</v>
      </c>
      <c r="I339" s="20" t="n">
        <v>0.00732070491904002</v>
      </c>
      <c r="J339" s="20" t="n">
        <v>0.00204294839610086</v>
      </c>
      <c r="K339" s="20" t="n">
        <v>0.0154245169656204</v>
      </c>
      <c r="L339" s="20" t="n">
        <v>-0.004907980574123</v>
      </c>
      <c r="M339" s="20" t="n">
        <v>-0.000896422565932919</v>
      </c>
      <c r="N339" s="20" t="n">
        <v>0.0495968942117128</v>
      </c>
      <c r="O339" s="20" t="n">
        <v>0.000259258951140761</v>
      </c>
      <c r="P339" s="20" t="n">
        <v>0.016289980317623</v>
      </c>
      <c r="Q339" s="20" t="n">
        <v>-0.00677968041012855</v>
      </c>
      <c r="R339" s="20" t="n">
        <v>-0.00012330524718962</v>
      </c>
      <c r="S339" s="20" t="n">
        <v>-0.0013200994632232</v>
      </c>
      <c r="T339" s="20" t="n">
        <v>-0.00291201352186565</v>
      </c>
      <c r="U339" s="20" t="n">
        <v>-0.00296546271890019</v>
      </c>
      <c r="V339" s="20" t="n">
        <v>-0.00381511769637565</v>
      </c>
      <c r="W339" s="20" t="n">
        <v>-0.00127098871135267</v>
      </c>
      <c r="X339" s="20" t="n">
        <v>0.00460833532174165</v>
      </c>
    </row>
    <row r="340" customFormat="false" ht="13.5" hidden="false" customHeight="true" outlineLevel="0" collapsed="false">
      <c r="A340" s="47" t="n">
        <v>42863</v>
      </c>
      <c r="B340" s="20" t="n">
        <v>-0.00603002528983864</v>
      </c>
      <c r="C340" s="20" t="n">
        <v>-0.00482757970879044</v>
      </c>
      <c r="D340" s="20" t="n">
        <v>0.00148647057300799</v>
      </c>
      <c r="E340" s="20" t="n">
        <v>0.00269176771075851</v>
      </c>
      <c r="F340" s="20" t="n">
        <v>0.000834395473382709</v>
      </c>
      <c r="G340" s="20" t="n">
        <v>0.00448505710627644</v>
      </c>
      <c r="H340" s="20" t="n">
        <v>0.00330305501273331</v>
      </c>
      <c r="I340" s="20" t="n">
        <v>-0.0021905618540674</v>
      </c>
      <c r="J340" s="20" t="n">
        <v>-0.00614131098398562</v>
      </c>
      <c r="K340" s="20" t="n">
        <v>-0.0310906190811184</v>
      </c>
      <c r="L340" s="20" t="n">
        <v>0.0158636776064589</v>
      </c>
      <c r="M340" s="20" t="n">
        <v>-0.00209485915024387</v>
      </c>
      <c r="N340" s="20" t="n">
        <v>0.00923151046933457</v>
      </c>
      <c r="O340" s="20" t="n">
        <v>-0.00911579355689484</v>
      </c>
      <c r="P340" s="20" t="n">
        <v>-0.016289980317623</v>
      </c>
      <c r="Q340" s="20" t="n">
        <v>0.010152361634351</v>
      </c>
      <c r="R340" s="20" t="n">
        <v>0.000616656472119281</v>
      </c>
      <c r="S340" s="20" t="n">
        <v>0.0260770717989031</v>
      </c>
      <c r="T340" s="20" t="n">
        <v>-0.0114387337767913</v>
      </c>
      <c r="U340" s="20" t="n">
        <v>-0.00595743845569796</v>
      </c>
      <c r="V340" s="20" t="n">
        <v>0.00689284560907221</v>
      </c>
      <c r="W340" s="20" t="n">
        <v>-0.00656219282207093</v>
      </c>
      <c r="X340" s="20" t="n">
        <v>-0.00923793199848654</v>
      </c>
    </row>
    <row r="341" customFormat="false" ht="13.5" hidden="false" customHeight="true" outlineLevel="0" collapsed="false">
      <c r="A341" s="47" t="n">
        <v>42864</v>
      </c>
      <c r="B341" s="20" t="n">
        <v>-0.00566985042526724</v>
      </c>
      <c r="C341" s="20" t="n">
        <v>-0.00798204386098655</v>
      </c>
      <c r="D341" s="20" t="n">
        <v>0.00321307901066081</v>
      </c>
      <c r="E341" s="20" t="n">
        <v>-0.0108109058868071</v>
      </c>
      <c r="F341" s="20" t="n">
        <v>0.00706423379276</v>
      </c>
      <c r="G341" s="20" t="n">
        <v>0.0335114003379319</v>
      </c>
      <c r="H341" s="20" t="n">
        <v>0.013104187571773</v>
      </c>
      <c r="I341" s="20" t="n">
        <v>0.0152342469809378</v>
      </c>
      <c r="J341" s="20" t="n">
        <v>-0.00411522830933264</v>
      </c>
      <c r="K341" s="20" t="n">
        <v>-0.0380845063009935</v>
      </c>
      <c r="L341" s="20" t="n">
        <v>0.0120337707867426</v>
      </c>
      <c r="M341" s="20" t="n">
        <v>-0.010540747787056</v>
      </c>
      <c r="N341" s="20" t="n">
        <v>0.00319106460002149</v>
      </c>
      <c r="O341" s="20" t="n">
        <v>0.00599974504304778</v>
      </c>
      <c r="P341" s="20" t="n">
        <v>0.0340840267548951</v>
      </c>
      <c r="Q341" s="20" t="n">
        <v>0.013378113144749</v>
      </c>
      <c r="R341" s="20" t="n">
        <v>-0.00197477269570356</v>
      </c>
      <c r="S341" s="20" t="n">
        <v>0.0134230227869007</v>
      </c>
      <c r="T341" s="20" t="n">
        <v>-0.00473093253267009</v>
      </c>
      <c r="U341" s="20" t="n">
        <v>0.000284447274797372</v>
      </c>
      <c r="V341" s="20" t="n">
        <v>-0.00325910675347795</v>
      </c>
      <c r="W341" s="20" t="n">
        <v>0.000731278185594597</v>
      </c>
      <c r="X341" s="20" t="n">
        <v>-0.00232293458958476</v>
      </c>
    </row>
    <row r="342" customFormat="false" ht="13.5" hidden="false" customHeight="true" outlineLevel="0" collapsed="false">
      <c r="A342" s="47" t="n">
        <v>42865</v>
      </c>
      <c r="B342" s="20" t="n">
        <v>-0.00397487184918254</v>
      </c>
      <c r="C342" s="20" t="n">
        <v>0.00590587631984051</v>
      </c>
      <c r="D342" s="20" t="n">
        <v>-0.0102934102756151</v>
      </c>
      <c r="E342" s="20" t="n">
        <v>-0.00272106587047815</v>
      </c>
      <c r="F342" s="20" t="n">
        <v>-0.00331812518643115</v>
      </c>
      <c r="G342" s="20" t="n">
        <v>0.012899116564784</v>
      </c>
      <c r="H342" s="20" t="n">
        <v>0.0225270769857584</v>
      </c>
      <c r="I342" s="20" t="n">
        <v>0.0164230424767022</v>
      </c>
      <c r="J342" s="20" t="n">
        <v>-0.00413223341737034</v>
      </c>
      <c r="K342" s="20" t="n">
        <v>0.0275024069824351</v>
      </c>
      <c r="L342" s="20" t="n">
        <v>-0.00359493900948004</v>
      </c>
      <c r="M342" s="20" t="n">
        <v>0.000302773917150833</v>
      </c>
      <c r="N342" s="20" t="n">
        <v>-0.0270450413214256</v>
      </c>
      <c r="O342" s="20" t="n">
        <v>-0.000260167417513113</v>
      </c>
      <c r="P342" s="20" t="n">
        <v>0.000881465781750634</v>
      </c>
      <c r="Q342" s="20" t="n">
        <v>0.0213648411729492</v>
      </c>
      <c r="R342" s="20" t="n">
        <v>0.0164198803379118</v>
      </c>
      <c r="S342" s="20" t="n">
        <v>-0.0025429105759156</v>
      </c>
      <c r="T342" s="20" t="n">
        <v>-0.00326556935194677</v>
      </c>
      <c r="U342" s="20" t="n">
        <v>0.00241502776990198</v>
      </c>
      <c r="V342" s="20" t="n">
        <v>0</v>
      </c>
      <c r="W342" s="20" t="n">
        <v>-0.018071661202021</v>
      </c>
      <c r="X342" s="20" t="n">
        <v>-0.00856366918814055</v>
      </c>
    </row>
    <row r="343" customFormat="false" ht="13.5" hidden="false" customHeight="true" outlineLevel="0" collapsed="false">
      <c r="A343" s="47" t="n">
        <v>42866</v>
      </c>
      <c r="B343" s="20" t="n">
        <v>-0.00186033399952645</v>
      </c>
      <c r="C343" s="20" t="n">
        <v>-0.0210018331009123</v>
      </c>
      <c r="D343" s="20" t="n">
        <v>-0.000374026294641893</v>
      </c>
      <c r="E343" s="20" t="n">
        <v>-0.00820799421974571</v>
      </c>
      <c r="F343" s="20" t="n">
        <v>-0.00291240876835674</v>
      </c>
      <c r="G343" s="20" t="n">
        <v>-0.0303609586984885</v>
      </c>
      <c r="H343" s="20" t="n">
        <v>0.0196934658188419</v>
      </c>
      <c r="I343" s="20" t="n">
        <v>0.0070572191932765</v>
      </c>
      <c r="J343" s="20" t="n">
        <v>-0.00414937964710904</v>
      </c>
      <c r="K343" s="20" t="n">
        <v>-0.0379449606412694</v>
      </c>
      <c r="L343" s="20" t="n">
        <v>-0.00843883177726256</v>
      </c>
      <c r="M343" s="20" t="n">
        <v>-0.000908481344564116</v>
      </c>
      <c r="N343" s="20" t="n">
        <v>0.00774402190364131</v>
      </c>
      <c r="O343" s="20" t="n">
        <v>0.00129996252700248</v>
      </c>
      <c r="P343" s="20" t="n">
        <v>-0.00618655513993271</v>
      </c>
      <c r="Q343" s="20" t="n">
        <v>0.0177281243492744</v>
      </c>
      <c r="R343" s="20" t="n">
        <v>-0.0254798659840886</v>
      </c>
      <c r="S343" s="20" t="n">
        <v>-0.0115238347295165</v>
      </c>
      <c r="T343" s="20" t="n">
        <v>-0.0053667481303723</v>
      </c>
      <c r="U343" s="20" t="n">
        <v>0.00240910147074213</v>
      </c>
      <c r="V343" s="20" t="n">
        <v>-0.00199692563736064</v>
      </c>
      <c r="W343" s="20" t="n">
        <v>-0.0134884249257729</v>
      </c>
      <c r="X343" s="20" t="n">
        <v>-0.00234831675409719</v>
      </c>
    </row>
    <row r="344" customFormat="false" ht="13.5" hidden="false" customHeight="true" outlineLevel="0" collapsed="false">
      <c r="A344" s="47" t="n">
        <v>42867</v>
      </c>
      <c r="B344" s="20" t="n">
        <v>0.00755270205338565</v>
      </c>
      <c r="C344" s="20" t="n">
        <v>-0.00318865990639816</v>
      </c>
      <c r="D344" s="20" t="n">
        <v>0.00137080969296388</v>
      </c>
      <c r="E344" s="20" t="n">
        <v>0.00182978133426248</v>
      </c>
      <c r="F344" s="20" t="n">
        <v>0.00249685800167842</v>
      </c>
      <c r="G344" s="20" t="n">
        <v>-0.0129562354176022</v>
      </c>
      <c r="H344" s="20" t="n">
        <v>0.00544530451568059</v>
      </c>
      <c r="I344" s="20" t="n">
        <v>-0.00140749197830958</v>
      </c>
      <c r="J344" s="20" t="n">
        <v>-0.00625648182520044</v>
      </c>
      <c r="K344" s="20" t="n">
        <v>0.0218588383135035</v>
      </c>
      <c r="L344" s="20" t="n">
        <v>0.0298173542383639</v>
      </c>
      <c r="M344" s="20" t="n">
        <v>0.00332680224932424</v>
      </c>
      <c r="N344" s="20" t="n">
        <v>0.00728159811898754</v>
      </c>
      <c r="O344" s="20" t="n">
        <v>0.00259466860008483</v>
      </c>
      <c r="P344" s="20" t="n">
        <v>0.00353982341889924</v>
      </c>
      <c r="Q344" s="20" t="n">
        <v>0.0111200024287285</v>
      </c>
      <c r="R344" s="20" t="n">
        <v>0.00323627536300552</v>
      </c>
      <c r="S344" s="20" t="n">
        <v>0.036666615109175</v>
      </c>
      <c r="T344" s="20" t="n">
        <v>0.0230506297863306</v>
      </c>
      <c r="U344" s="20" t="n">
        <v>0.0002829980645771</v>
      </c>
      <c r="V344" s="20" t="n">
        <v>0.0012712195768012</v>
      </c>
      <c r="W344" s="20" t="n">
        <v>0.00564228009235945</v>
      </c>
      <c r="X344" s="20" t="n">
        <v>0.0147804775628941</v>
      </c>
    </row>
    <row r="345" customFormat="false" ht="13.5" hidden="false" customHeight="true" outlineLevel="0" collapsed="false">
      <c r="A345" s="47" t="n">
        <v>42870</v>
      </c>
      <c r="B345" s="20" t="n">
        <v>0.014220877685779</v>
      </c>
      <c r="C345" s="20" t="n">
        <v>-0.00498042808690435</v>
      </c>
      <c r="D345" s="20" t="n">
        <v>-0.0164484238251594</v>
      </c>
      <c r="E345" s="20" t="n">
        <v>0</v>
      </c>
      <c r="F345" s="20" t="n">
        <v>-0.00291362103873948</v>
      </c>
      <c r="G345" s="20" t="n">
        <v>-0.0110421998392209</v>
      </c>
      <c r="H345" s="20" t="n">
        <v>0.00541592406744495</v>
      </c>
      <c r="I345" s="20" t="n">
        <v>0.00631803809710662</v>
      </c>
      <c r="J345" s="20" t="n">
        <v>0.00208981306262256</v>
      </c>
      <c r="K345" s="20" t="n">
        <v>0</v>
      </c>
      <c r="L345" s="20" t="n">
        <v>0.0300948890997165</v>
      </c>
      <c r="M345" s="20" t="n">
        <v>-0.0158250557006431</v>
      </c>
      <c r="N345" s="20" t="n">
        <v>-0.00161351419597188</v>
      </c>
      <c r="O345" s="20" t="n">
        <v>-0.0104195142256213</v>
      </c>
      <c r="P345" s="20" t="n">
        <v>-0.0151315821224495</v>
      </c>
      <c r="Q345" s="20" t="n">
        <v>0.0047281742415326</v>
      </c>
      <c r="R345" s="20" t="n">
        <v>-0.0169187372991217</v>
      </c>
      <c r="S345" s="20" t="n">
        <v>0.00865267370036138</v>
      </c>
      <c r="T345" s="20" t="n">
        <v>0.00204289275983926</v>
      </c>
      <c r="U345" s="20" t="n">
        <v>0.00395423180042175</v>
      </c>
      <c r="V345" s="20" t="n">
        <v>-0.0129693862528572</v>
      </c>
      <c r="W345" s="20" t="n">
        <v>-0.0011259407158306</v>
      </c>
      <c r="X345" s="20" t="n">
        <v>0.00692578015613953</v>
      </c>
    </row>
    <row r="346" customFormat="false" ht="13.5" hidden="false" customHeight="true" outlineLevel="0" collapsed="false">
      <c r="A346" s="47" t="n">
        <v>42871</v>
      </c>
      <c r="B346" s="20" t="n">
        <v>-0.0180563661573271</v>
      </c>
      <c r="C346" s="20" t="n">
        <v>-0.0227241130086857</v>
      </c>
      <c r="D346" s="20" t="n">
        <v>-0.0108191533160875</v>
      </c>
      <c r="E346" s="20" t="n">
        <v>-0.0165901826324619</v>
      </c>
      <c r="F346" s="20" t="n">
        <v>-0.0610154900027422</v>
      </c>
      <c r="G346" s="20" t="n">
        <v>-0.00766284881843892</v>
      </c>
      <c r="H346" s="20" t="n">
        <v>-0.0337419450080993</v>
      </c>
      <c r="I346" s="20" t="n">
        <v>-0.00210155823551927</v>
      </c>
      <c r="J346" s="20" t="n">
        <v>-0.0126051969226552</v>
      </c>
      <c r="K346" s="20" t="n">
        <v>-0.00542006221628599</v>
      </c>
      <c r="L346" s="20" t="n">
        <v>-0.0265758552470121</v>
      </c>
      <c r="M346" s="20" t="n">
        <v>-0.0114145599422434</v>
      </c>
      <c r="N346" s="20" t="n">
        <v>-0.00892143881827012</v>
      </c>
      <c r="O346" s="20" t="n">
        <v>-0.0192999927021739</v>
      </c>
      <c r="P346" s="20" t="n">
        <v>-0.0291194097253821</v>
      </c>
      <c r="Q346" s="20" t="n">
        <v>-0.0206520624839448</v>
      </c>
      <c r="R346" s="20" t="n">
        <v>-0.0358996522295447</v>
      </c>
      <c r="S346" s="20" t="n">
        <v>-0.0628578679206257</v>
      </c>
      <c r="T346" s="20" t="n">
        <v>-0.0140929974818568</v>
      </c>
      <c r="U346" s="20" t="n">
        <v>-0.00565363903776727</v>
      </c>
      <c r="V346" s="20" t="n">
        <v>0.000367655480316475</v>
      </c>
      <c r="W346" s="20" t="n">
        <v>-0.01933703177311</v>
      </c>
      <c r="X346" s="20" t="n">
        <v>-0.0592356330990853</v>
      </c>
    </row>
    <row r="347" customFormat="false" ht="13.5" hidden="false" customHeight="true" outlineLevel="0" collapsed="false">
      <c r="A347" s="47" t="n">
        <v>42872</v>
      </c>
      <c r="B347" s="20" t="n">
        <v>-0.000994291956446069</v>
      </c>
      <c r="C347" s="20" t="n">
        <v>0.00255051253286042</v>
      </c>
      <c r="D347" s="20" t="n">
        <v>0.00204556015602808</v>
      </c>
      <c r="E347" s="20" t="n">
        <v>0.00278419972945842</v>
      </c>
      <c r="F347" s="20" t="n">
        <v>0.00750390094908315</v>
      </c>
      <c r="G347" s="20" t="n">
        <v>0.0169877465885739</v>
      </c>
      <c r="H347" s="20" t="n">
        <v>-0.203779174748836</v>
      </c>
      <c r="I347" s="20" t="n">
        <v>-0.0270094677130883</v>
      </c>
      <c r="J347" s="20" t="n">
        <v>0.0271132588482105</v>
      </c>
      <c r="K347" s="20" t="n">
        <v>-0.00272108746636379</v>
      </c>
      <c r="L347" s="20" t="n">
        <v>-0.0653194616537842</v>
      </c>
      <c r="M347" s="20" t="n">
        <v>-0.000310265988985314</v>
      </c>
      <c r="N347" s="20" t="n">
        <v>0.0016280392698178</v>
      </c>
      <c r="O347" s="20" t="n">
        <v>0.0129958513696348</v>
      </c>
      <c r="P347" s="20" t="n">
        <v>-0.00277390217740425</v>
      </c>
      <c r="Q347" s="20" t="n">
        <v>-0.124628243622491</v>
      </c>
      <c r="R347" s="20" t="n">
        <v>0.00379210532026252</v>
      </c>
      <c r="S347" s="20" t="n">
        <v>0.0162499510903759</v>
      </c>
      <c r="T347" s="20" t="n">
        <v>-0.0748816138862311</v>
      </c>
      <c r="U347" s="20" t="n">
        <v>-0.00014178376874252</v>
      </c>
      <c r="V347" s="20" t="n">
        <v>-0.011646329550794</v>
      </c>
      <c r="W347" s="20" t="n">
        <v>0.00267634237313663</v>
      </c>
      <c r="X347" s="20" t="n">
        <v>0.0169427238342154</v>
      </c>
    </row>
    <row r="348" customFormat="false" ht="13.5" hidden="false" customHeight="true" outlineLevel="0" collapsed="false">
      <c r="A348" s="47" t="n">
        <v>42873</v>
      </c>
      <c r="B348" s="20" t="n">
        <v>0.00792709244201006</v>
      </c>
      <c r="C348" s="20" t="n">
        <v>0.0205301539605202</v>
      </c>
      <c r="D348" s="20" t="n">
        <v>-0.00640617156192835</v>
      </c>
      <c r="E348" s="20" t="n">
        <v>0.00738691487033182</v>
      </c>
      <c r="F348" s="20" t="n">
        <v>0.0135402580861057</v>
      </c>
      <c r="G348" s="20" t="n">
        <v>0.00480108570992321</v>
      </c>
      <c r="H348" s="20" t="n">
        <v>0.0625796629561137</v>
      </c>
      <c r="I348" s="20" t="n">
        <v>-0.00288600210902112</v>
      </c>
      <c r="J348" s="20" t="n">
        <v>0.0102354453449635</v>
      </c>
      <c r="K348" s="20" t="n">
        <v>0.00326437871705742</v>
      </c>
      <c r="L348" s="20" t="n">
        <v>0.051168295635438</v>
      </c>
      <c r="M348" s="20" t="n">
        <v>0.00742111824632862</v>
      </c>
      <c r="N348" s="20" t="n">
        <v>0.0113224291267379</v>
      </c>
      <c r="O348" s="20" t="n">
        <v>0.00761260813071462</v>
      </c>
      <c r="P348" s="20" t="n">
        <v>0.047024894025236</v>
      </c>
      <c r="Q348" s="20" t="n">
        <v>0.0286757730176745</v>
      </c>
      <c r="R348" s="20" t="n">
        <v>-0.00392315197790793</v>
      </c>
      <c r="S348" s="20" t="n">
        <v>0.0317285493593062</v>
      </c>
      <c r="T348" s="20" t="n">
        <v>-0.00543219361240865</v>
      </c>
      <c r="U348" s="20" t="n">
        <v>0.0050905172729001</v>
      </c>
      <c r="V348" s="20" t="n">
        <v>0.00445272869580515</v>
      </c>
      <c r="W348" s="20" t="n">
        <v>0.012898515120217</v>
      </c>
      <c r="X348" s="20" t="n">
        <v>0.00558435401579515</v>
      </c>
    </row>
    <row r="349" customFormat="false" ht="13.5" hidden="false" customHeight="true" outlineLevel="0" collapsed="false">
      <c r="A349" s="47" t="n">
        <v>42874</v>
      </c>
      <c r="B349" s="20" t="n">
        <v>0.00433329857169795</v>
      </c>
      <c r="C349" s="20" t="n">
        <v>0.00462387460220936</v>
      </c>
      <c r="D349" s="20" t="n">
        <v>-0.0105957789465582</v>
      </c>
      <c r="E349" s="20" t="n">
        <v>0.0209384520799553</v>
      </c>
      <c r="F349" s="20" t="n">
        <v>-0.000433860779211592</v>
      </c>
      <c r="G349" s="20" t="n">
        <v>0.00170914908171226</v>
      </c>
      <c r="H349" s="20" t="n">
        <v>-0.0308004184574433</v>
      </c>
      <c r="I349" s="20" t="n">
        <v>0.0150594481405299</v>
      </c>
      <c r="J349" s="20" t="n">
        <v>0.00609143205345463</v>
      </c>
      <c r="K349" s="20" t="n">
        <v>0.0262679404905754</v>
      </c>
      <c r="L349" s="20" t="n">
        <v>0.00827913604899066</v>
      </c>
      <c r="M349" s="20" t="n">
        <v>-0.0105296780569976</v>
      </c>
      <c r="N349" s="20" t="n">
        <v>0.00321156121614096</v>
      </c>
      <c r="O349" s="20" t="n">
        <v>0.000261428196385082</v>
      </c>
      <c r="P349" s="20" t="n">
        <v>-0.00353982341889924</v>
      </c>
      <c r="Q349" s="20" t="n">
        <v>-0.00531440277751738</v>
      </c>
      <c r="R349" s="20" t="n">
        <v>0.00026197620464341</v>
      </c>
      <c r="S349" s="20" t="n">
        <v>0.0111802593716223</v>
      </c>
      <c r="T349" s="20" t="n">
        <v>0.0121020926959882</v>
      </c>
      <c r="U349" s="20" t="n">
        <v>0.0159510779567071</v>
      </c>
      <c r="V349" s="20" t="n">
        <v>0.00147980080921339</v>
      </c>
      <c r="W349" s="20" t="n">
        <v>-0.000942831254940657</v>
      </c>
      <c r="X349" s="20" t="n">
        <v>0.00555341755627036</v>
      </c>
    </row>
    <row r="350" customFormat="false" ht="13.5" hidden="false" customHeight="true" outlineLevel="0" collapsed="false">
      <c r="A350" s="47" t="n">
        <v>42877</v>
      </c>
      <c r="B350" s="20" t="n">
        <v>-0.00400434193795362</v>
      </c>
      <c r="C350" s="20" t="n">
        <v>0.00354238319492816</v>
      </c>
      <c r="D350" s="20" t="n">
        <v>0.0130348944878591</v>
      </c>
      <c r="E350" s="20" t="n">
        <v>-0.00451469746009491</v>
      </c>
      <c r="F350" s="20" t="n">
        <v>0.0150766789374161</v>
      </c>
      <c r="G350" s="20" t="n">
        <v>-0.00547946039580526</v>
      </c>
      <c r="H350" s="20" t="n">
        <v>0.0215666853077973</v>
      </c>
      <c r="I350" s="20" t="n">
        <v>-0.0362358479531064</v>
      </c>
      <c r="J350" s="20" t="n">
        <v>0.00605445511065672</v>
      </c>
      <c r="K350" s="20" t="n">
        <v>-0.0160003260866754</v>
      </c>
      <c r="L350" s="20" t="n">
        <v>0.0163555449918968</v>
      </c>
      <c r="M350" s="20" t="n">
        <v>0.00062248549430155</v>
      </c>
      <c r="N350" s="20" t="n">
        <v>0.00957325878943171</v>
      </c>
      <c r="O350" s="20" t="n">
        <v>0.00156743428681505</v>
      </c>
      <c r="P350" s="20" t="n">
        <v>-0.00890472737361181</v>
      </c>
      <c r="Q350" s="20" t="n">
        <v>0.0228280519656465</v>
      </c>
      <c r="R350" s="20" t="n">
        <v>0.0121087391552476</v>
      </c>
      <c r="S350" s="20" t="n">
        <v>0.0104455678057275</v>
      </c>
      <c r="T350" s="20" t="n">
        <v>0.00536702394128907</v>
      </c>
      <c r="U350" s="20" t="n">
        <v>0.00124847542100781</v>
      </c>
      <c r="V350" s="20" t="n">
        <v>0.00203121873606448</v>
      </c>
      <c r="W350" s="20" t="n">
        <v>0.00714290774364601</v>
      </c>
      <c r="X350" s="20" t="n">
        <v>0.0195854277055884</v>
      </c>
    </row>
    <row r="351" customFormat="false" ht="13.5" hidden="false" customHeight="true" outlineLevel="0" collapsed="false">
      <c r="A351" s="47" t="n">
        <v>42878</v>
      </c>
      <c r="B351" s="20" t="n">
        <v>0.00315226988631778</v>
      </c>
      <c r="C351" s="20" t="n">
        <v>-0.0160403089171983</v>
      </c>
      <c r="D351" s="20" t="n">
        <v>-0.000384723055517177</v>
      </c>
      <c r="E351" s="20" t="n">
        <v>-0.0081781602244022</v>
      </c>
      <c r="F351" s="20" t="n">
        <v>-0.0012833704134465</v>
      </c>
      <c r="G351" s="20" t="n">
        <v>0.000343290013094854</v>
      </c>
      <c r="H351" s="20" t="n">
        <v>0.011070279147578</v>
      </c>
      <c r="I351" s="20" t="n">
        <v>0.0102790472469442</v>
      </c>
      <c r="J351" s="20" t="n">
        <v>0.0277796324500994</v>
      </c>
      <c r="K351" s="20" t="n">
        <v>0</v>
      </c>
      <c r="L351" s="20" t="n">
        <v>-0.0198953402289308</v>
      </c>
      <c r="M351" s="20" t="n">
        <v>-0.00280418175694752</v>
      </c>
      <c r="N351" s="20" t="n">
        <v>-0.0091726047442493</v>
      </c>
      <c r="O351" s="20" t="n">
        <v>-0.00418519683206897</v>
      </c>
      <c r="P351" s="20" t="n">
        <v>-0.0198742100231013</v>
      </c>
      <c r="Q351" s="20" t="n">
        <v>-0.00347834398763891</v>
      </c>
      <c r="R351" s="20" t="n">
        <v>-0.0110613204429466</v>
      </c>
      <c r="S351" s="20" t="n">
        <v>0.0253483734773776</v>
      </c>
      <c r="T351" s="20" t="n">
        <v>-0.0085376157410062</v>
      </c>
      <c r="U351" s="20" t="n">
        <v>0.00993250325836392</v>
      </c>
      <c r="V351" s="20" t="n">
        <v>-0.00722023675525873</v>
      </c>
      <c r="W351" s="20" t="n">
        <v>-0.00563486161043336</v>
      </c>
      <c r="X351" s="20" t="n">
        <v>-0.00544541589804881</v>
      </c>
    </row>
    <row r="352" customFormat="false" ht="13.5" hidden="false" customHeight="true" outlineLevel="0" collapsed="false">
      <c r="A352" s="47" t="n">
        <v>42879</v>
      </c>
      <c r="B352" s="20" t="n">
        <v>0.0045141057366953</v>
      </c>
      <c r="C352" s="20" t="n">
        <v>-0.0122922846654214</v>
      </c>
      <c r="D352" s="20" t="n">
        <v>0.00486241859552194</v>
      </c>
      <c r="E352" s="20" t="n">
        <v>-0.00916600210815721</v>
      </c>
      <c r="F352" s="20" t="n">
        <v>-0.00472005205472392</v>
      </c>
      <c r="G352" s="20" t="n">
        <v>0.00376908489247362</v>
      </c>
      <c r="H352" s="20" t="n">
        <v>-0.0260238148198557</v>
      </c>
      <c r="I352" s="20" t="n">
        <v>-0.0102790472469442</v>
      </c>
      <c r="J352" s="20" t="n">
        <v>0.00195498635599822</v>
      </c>
      <c r="K352" s="20" t="n">
        <v>0</v>
      </c>
      <c r="L352" s="20" t="n">
        <v>0.00118136206315577</v>
      </c>
      <c r="M352" s="20" t="n">
        <v>0.00342628000410183</v>
      </c>
      <c r="N352" s="20" t="n">
        <v>-0.00120259704467162</v>
      </c>
      <c r="O352" s="20" t="n">
        <v>0.00209473800709192</v>
      </c>
      <c r="P352" s="20" t="n">
        <v>-0.0305720818807326</v>
      </c>
      <c r="Q352" s="20" t="n">
        <v>-0.00349040174466552</v>
      </c>
      <c r="R352" s="20" t="n">
        <v>-0.00616922919770335</v>
      </c>
      <c r="S352" s="20" t="n">
        <v>0.00948997879080115</v>
      </c>
      <c r="T352" s="20" t="n">
        <v>-0.00158904329696474</v>
      </c>
      <c r="U352" s="20" t="n">
        <v>0.0175526777944421</v>
      </c>
      <c r="V352" s="20" t="n">
        <v>0.0105351625846532</v>
      </c>
      <c r="W352" s="20" t="n">
        <v>-0.00585628152267636</v>
      </c>
      <c r="X352" s="20" t="n">
        <v>0.00389258502810641</v>
      </c>
    </row>
    <row r="353" customFormat="false" ht="13.5" hidden="false" customHeight="true" outlineLevel="0" collapsed="false">
      <c r="A353" s="47" t="n">
        <v>42880</v>
      </c>
      <c r="B353" s="20" t="n">
        <v>-0.00464518123637081</v>
      </c>
      <c r="C353" s="20" t="n">
        <v>-0.00145613982081416</v>
      </c>
      <c r="D353" s="20" t="n">
        <v>-0.00370859542985346</v>
      </c>
      <c r="E353" s="20" t="n">
        <v>0.00642504721710279</v>
      </c>
      <c r="F353" s="20" t="n">
        <v>-0.000430209898270916</v>
      </c>
      <c r="G353" s="20" t="n">
        <v>0.00715630894997687</v>
      </c>
      <c r="H353" s="20" t="n">
        <v>0.0287723250715665</v>
      </c>
      <c r="I353" s="20" t="n">
        <v>0.0124680803583965</v>
      </c>
      <c r="J353" s="20" t="n">
        <v>0.0326638219593857</v>
      </c>
      <c r="K353" s="20" t="n">
        <v>0</v>
      </c>
      <c r="L353" s="20" t="n">
        <v>0.00705879000853393</v>
      </c>
      <c r="M353" s="20" t="n">
        <v>-0.000622098247154312</v>
      </c>
      <c r="N353" s="20" t="n">
        <v>-0.00522828736952485</v>
      </c>
      <c r="O353" s="20" t="n">
        <v>-0.00288148496819395</v>
      </c>
      <c r="P353" s="20" t="n">
        <v>0.0112255514539714</v>
      </c>
      <c r="Q353" s="20" t="n">
        <v>0.00870330850245348</v>
      </c>
      <c r="R353" s="20" t="n">
        <v>0.0090439368380899</v>
      </c>
      <c r="S353" s="20" t="n">
        <v>0.0421905698989837</v>
      </c>
      <c r="T353" s="20" t="n">
        <v>0.00190656128401611</v>
      </c>
      <c r="U353" s="20" t="n">
        <v>0.00363520113428705</v>
      </c>
      <c r="V353" s="20" t="n">
        <v>-0.00775194296437842</v>
      </c>
      <c r="W353" s="20" t="n">
        <v>-0.00703489804439216</v>
      </c>
      <c r="X353" s="20" t="n">
        <v>-0.000777320603442266</v>
      </c>
    </row>
    <row r="354" customFormat="false" ht="13.5" hidden="false" customHeight="true" outlineLevel="0" collapsed="false">
      <c r="A354" s="47" t="n">
        <v>42881</v>
      </c>
      <c r="B354" s="20" t="n">
        <v>-0.00499645877119459</v>
      </c>
      <c r="C354" s="20" t="n">
        <v>-0.00328406973385941</v>
      </c>
      <c r="D354" s="20" t="n">
        <v>0.00383626326539232</v>
      </c>
      <c r="E354" s="20" t="n">
        <v>0.0136303443240239</v>
      </c>
      <c r="F354" s="20" t="n">
        <v>-0.0143014323300088</v>
      </c>
      <c r="G354" s="20" t="n">
        <v>0.0104712816519545</v>
      </c>
      <c r="H354" s="20" t="n">
        <v>0.0018281522811947</v>
      </c>
      <c r="I354" s="20" t="n">
        <v>-0.00804985032287763</v>
      </c>
      <c r="J354" s="20" t="n">
        <v>-0.0114069569352903</v>
      </c>
      <c r="K354" s="20" t="n">
        <v>-0.0173540500343686</v>
      </c>
      <c r="L354" s="20" t="n">
        <v>0.026606600877443</v>
      </c>
      <c r="M354" s="20" t="n">
        <v>-0.000311134947647229</v>
      </c>
      <c r="N354" s="20" t="n">
        <v>0.00723186396497599</v>
      </c>
      <c r="O354" s="20" t="n">
        <v>0.0112170294522426</v>
      </c>
      <c r="P354" s="20" t="n">
        <v>-0.0673331010899938</v>
      </c>
      <c r="Q354" s="20" t="n">
        <v>-0.00870330850245348</v>
      </c>
      <c r="R354" s="20" t="n">
        <v>0.00169476941392421</v>
      </c>
      <c r="S354" s="20" t="n">
        <v>-0.0171236620811967</v>
      </c>
      <c r="T354" s="20" t="n">
        <v>0.00569803074771169</v>
      </c>
      <c r="U354" s="20" t="n">
        <v>0.00883061689524122</v>
      </c>
      <c r="V354" s="20" t="n">
        <v>-0.000741444240855759</v>
      </c>
      <c r="W354" s="20" t="n">
        <v>-0.00478149520963144</v>
      </c>
      <c r="X354" s="20" t="n">
        <v>-0.00937505993411491</v>
      </c>
    </row>
    <row r="355" customFormat="false" ht="13.5" hidden="false" customHeight="true" outlineLevel="0" collapsed="false">
      <c r="A355" s="47" t="n">
        <v>42885</v>
      </c>
      <c r="B355" s="20" t="n">
        <v>0.00591412653936629</v>
      </c>
      <c r="C355" s="20" t="n">
        <v>0.000730766137105654</v>
      </c>
      <c r="D355" s="20" t="n">
        <v>0.0154511842272624</v>
      </c>
      <c r="E355" s="20" t="n">
        <v>0.00360360409758442</v>
      </c>
      <c r="F355" s="20" t="n">
        <v>-0.0220662088011698</v>
      </c>
      <c r="G355" s="20" t="n">
        <v>0.000671832657319626</v>
      </c>
      <c r="H355" s="20" t="n">
        <v>-0.00365965282522107</v>
      </c>
      <c r="I355" s="20" t="n">
        <v>-0.00147055204659629</v>
      </c>
      <c r="J355" s="20" t="n">
        <v>0.00381679487976271</v>
      </c>
      <c r="K355" s="20" t="n">
        <v>-0.0562577490607412</v>
      </c>
      <c r="L355" s="20" t="n">
        <v>-0.0455420602477292</v>
      </c>
      <c r="M355" s="20" t="n">
        <v>0.0160546960855461</v>
      </c>
      <c r="N355" s="20" t="n">
        <v>-0.00120163359596192</v>
      </c>
      <c r="O355" s="20" t="n">
        <v>-0.000518953262253596</v>
      </c>
      <c r="P355" s="20" t="n">
        <v>-0.0333870075392308</v>
      </c>
      <c r="Q355" s="20" t="n">
        <v>-0.00174973836327496</v>
      </c>
      <c r="R355" s="20" t="n">
        <v>0.000781317599439113</v>
      </c>
      <c r="S355" s="20" t="n">
        <v>-0.00751237660878034</v>
      </c>
      <c r="T355" s="20" t="n">
        <v>-0.00474608124480013</v>
      </c>
      <c r="U355" s="20" t="n">
        <v>0.00491666316773198</v>
      </c>
      <c r="V355" s="20" t="n">
        <v>0.000370790837871393</v>
      </c>
      <c r="W355" s="20" t="n">
        <v>-0.0197489567648907</v>
      </c>
      <c r="X355" s="20" t="n">
        <v>-0.0158231000156585</v>
      </c>
    </row>
    <row r="356" customFormat="false" ht="13.5" hidden="false" customHeight="true" outlineLevel="0" collapsed="false">
      <c r="A356" s="47" t="n">
        <v>42886</v>
      </c>
      <c r="B356" s="20" t="n">
        <v>0.000261993357103307</v>
      </c>
      <c r="C356" s="20" t="n">
        <v>0.0123413653339161</v>
      </c>
      <c r="D356" s="20" t="n">
        <v>0.00526446660038004</v>
      </c>
      <c r="E356" s="20" t="n">
        <v>0.0257448719698256</v>
      </c>
      <c r="F356" s="20" t="n">
        <v>0.00976914155653618</v>
      </c>
      <c r="G356" s="20" t="n">
        <v>0.0156591341637177</v>
      </c>
      <c r="H356" s="20" t="n">
        <v>-0.0119872888552625</v>
      </c>
      <c r="I356" s="20" t="n">
        <v>0.00513760358122139</v>
      </c>
      <c r="J356" s="20" t="n">
        <v>0.0392207201399061</v>
      </c>
      <c r="K356" s="20" t="n">
        <v>-0.00464038886170603</v>
      </c>
      <c r="L356" s="20" t="n">
        <v>-0.0217400241989076</v>
      </c>
      <c r="M356" s="20" t="n">
        <v>0.00183591110421144</v>
      </c>
      <c r="N356" s="20" t="n">
        <v>0.0362101758620845</v>
      </c>
      <c r="O356" s="20" t="n">
        <v>0.0087855904287859</v>
      </c>
      <c r="P356" s="20" t="n">
        <v>0.0102354453449637</v>
      </c>
      <c r="Q356" s="20" t="n">
        <v>-0.00879516509254974</v>
      </c>
      <c r="R356" s="20" t="n">
        <v>0.0188246799017832</v>
      </c>
      <c r="S356" s="20" t="n">
        <v>0.0308420167454017</v>
      </c>
      <c r="T356" s="20" t="n">
        <v>0.00915551798445113</v>
      </c>
      <c r="U356" s="20" t="n">
        <v>-0.000530375436396113</v>
      </c>
      <c r="V356" s="20" t="n">
        <v>0.0106932807063242</v>
      </c>
      <c r="W356" s="20" t="n">
        <v>0.0182140751306878</v>
      </c>
      <c r="X356" s="20" t="n">
        <v>0.0142520467420554</v>
      </c>
    </row>
    <row r="357" customFormat="false" ht="13.5" hidden="false" customHeight="true" outlineLevel="0" collapsed="false">
      <c r="A357" s="47" t="n">
        <v>42887</v>
      </c>
      <c r="B357" s="20" t="n">
        <v>-0.00406928308118015</v>
      </c>
      <c r="C357" s="20" t="n">
        <v>0.00575536218704897</v>
      </c>
      <c r="D357" s="20" t="n">
        <v>0.00174868135889205</v>
      </c>
      <c r="E357" s="20" t="n">
        <v>-0.00527237296373384</v>
      </c>
      <c r="F357" s="20" t="n">
        <v>-0.00798577438824921</v>
      </c>
      <c r="G357" s="20" t="n">
        <v>-0.00397485918838791</v>
      </c>
      <c r="H357" s="20" t="n">
        <v>0.00923373314964592</v>
      </c>
      <c r="I357" s="20" t="n">
        <v>-0.0147495159215469</v>
      </c>
      <c r="J357" s="20" t="n">
        <v>0.00547941708731936</v>
      </c>
      <c r="K357" s="20" t="n">
        <v>-0.0421552343866725</v>
      </c>
      <c r="L357" s="20" t="n">
        <v>0.00243908148101379</v>
      </c>
      <c r="M357" s="20" t="n">
        <v>-0.00521068363473808</v>
      </c>
      <c r="N357" s="20" t="n">
        <v>0</v>
      </c>
      <c r="O357" s="20" t="n">
        <v>0</v>
      </c>
      <c r="P357" s="20" t="n">
        <v>-0.0122952254434616</v>
      </c>
      <c r="Q357" s="20" t="n">
        <v>0.00176526593928305</v>
      </c>
      <c r="R357" s="20" t="n">
        <v>0.00966070964701781</v>
      </c>
      <c r="S357" s="20" t="n">
        <v>-0.0107437012805777</v>
      </c>
      <c r="T357" s="20" t="n">
        <v>0.00501567977279737</v>
      </c>
      <c r="U357" s="20" t="n">
        <v>-0.00372042378843051</v>
      </c>
      <c r="V357" s="20" t="n">
        <v>0.00803661752721351</v>
      </c>
      <c r="W357" s="20" t="n">
        <v>-0.00519782572582405</v>
      </c>
      <c r="X357" s="20" t="n">
        <v>-0.011067333697214</v>
      </c>
    </row>
    <row r="358" customFormat="false" ht="13.5" hidden="false" customHeight="true" outlineLevel="0" collapsed="false">
      <c r="A358" s="47" t="n">
        <v>42888</v>
      </c>
      <c r="B358" s="20" t="n">
        <v>0.0023648477316458</v>
      </c>
      <c r="C358" s="20" t="n">
        <v>0.0035804325239801</v>
      </c>
      <c r="D358" s="20" t="n">
        <v>-0.00978185377071305</v>
      </c>
      <c r="E358" s="20" t="n">
        <v>-0.0088496488866494</v>
      </c>
      <c r="F358" s="20" t="n">
        <v>-0.00178336716828697</v>
      </c>
      <c r="G358" s="20" t="n">
        <v>-0.00132842957545875</v>
      </c>
      <c r="H358" s="20" t="n">
        <v>-0.0138827376593551</v>
      </c>
      <c r="I358" s="20" t="n">
        <v>-0.00446764856170522</v>
      </c>
      <c r="J358" s="20" t="n">
        <v>-0.020239818385519</v>
      </c>
      <c r="K358" s="20" t="n">
        <v>-0.0490934203033543</v>
      </c>
      <c r="L358" s="20" t="n">
        <v>-0.0147241781790432</v>
      </c>
      <c r="M358" s="20" t="n">
        <v>-0.00585615614724455</v>
      </c>
      <c r="N358" s="20" t="n">
        <v>-0.000773412926859506</v>
      </c>
      <c r="O358" s="20" t="n">
        <v>-0.00154473661917098</v>
      </c>
      <c r="P358" s="20" t="n">
        <v>-0.00516799002559675</v>
      </c>
      <c r="Q358" s="20" t="n">
        <v>0.00877963751654165</v>
      </c>
      <c r="R358" s="20" t="n">
        <v>-0.00329450538345366</v>
      </c>
      <c r="S358" s="20" t="n">
        <v>-0.00341682932128195</v>
      </c>
      <c r="T358" s="20" t="n">
        <v>-0.00690304950620523</v>
      </c>
      <c r="U358" s="20" t="n">
        <v>-0.000799110281788806</v>
      </c>
      <c r="V358" s="20" t="n">
        <v>-0.0486446513807554</v>
      </c>
      <c r="W358" s="20" t="n">
        <v>-0.0017386298271842</v>
      </c>
      <c r="X358" s="20" t="n">
        <v>-0.000795246883542155</v>
      </c>
    </row>
    <row r="359" customFormat="false" ht="13.5" hidden="false" customHeight="true" outlineLevel="0" collapsed="false">
      <c r="A359" s="47" t="n">
        <v>42891</v>
      </c>
      <c r="B359" s="20" t="n">
        <v>-0.000262540490268747</v>
      </c>
      <c r="C359" s="20" t="n">
        <v>-0.00178857831474754</v>
      </c>
      <c r="D359" s="20" t="n">
        <v>-0.00328202951442957</v>
      </c>
      <c r="E359" s="20" t="n">
        <v>-0.0116228501194424</v>
      </c>
      <c r="F359" s="20" t="n">
        <v>-0.00806457361996892</v>
      </c>
      <c r="G359" s="20" t="n">
        <v>-0.0093490059384087</v>
      </c>
      <c r="H359" s="20" t="n">
        <v>0.0202959461901928</v>
      </c>
      <c r="I359" s="20" t="n">
        <v>0.0480792377382583</v>
      </c>
      <c r="J359" s="20" t="n">
        <v>-0.0168701567861788</v>
      </c>
      <c r="K359" s="20" t="n">
        <v>-0.0516285792489728</v>
      </c>
      <c r="L359" s="20" t="n">
        <v>0.00616147225999386</v>
      </c>
      <c r="M359" s="20" t="n">
        <v>-0.00869296958995402</v>
      </c>
      <c r="N359" s="20" t="n">
        <v>-0.000386930891982384</v>
      </c>
      <c r="O359" s="20" t="n">
        <v>-0.00206349905848846</v>
      </c>
      <c r="P359" s="20" t="n">
        <v>0.0215282579744391</v>
      </c>
      <c r="Q359" s="20" t="n">
        <v>0.00870330850245348</v>
      </c>
      <c r="R359" s="20" t="n">
        <v>-0.0113601244130743</v>
      </c>
      <c r="S359" s="20" t="n">
        <v>0.015846329212299</v>
      </c>
      <c r="T359" s="20" t="n">
        <v>-0.00631716452984632</v>
      </c>
      <c r="U359" s="20" t="n">
        <v>0.00279384326706821</v>
      </c>
      <c r="V359" s="20" t="n">
        <v>-0.0134591679845286</v>
      </c>
      <c r="W359" s="20" t="n">
        <v>0.0017386298271842</v>
      </c>
      <c r="X359" s="20" t="n">
        <v>-0.00959239073340345</v>
      </c>
    </row>
    <row r="360" customFormat="false" ht="13.5" hidden="false" customHeight="true" outlineLevel="0" collapsed="false">
      <c r="A360" s="47" t="n">
        <v>42892</v>
      </c>
      <c r="B360" s="20" t="n">
        <v>-0.00916439202221486</v>
      </c>
      <c r="C360" s="20" t="n">
        <v>-0.00899126544926476</v>
      </c>
      <c r="D360" s="20" t="n">
        <v>0.00378600982074583</v>
      </c>
      <c r="E360" s="20" t="n">
        <v>-0.00450655937826294</v>
      </c>
      <c r="F360" s="20" t="n">
        <v>0.0165072157734846</v>
      </c>
      <c r="G360" s="20" t="n">
        <v>-0.00336023111554029</v>
      </c>
      <c r="H360" s="20" t="n">
        <v>0.0163046931790835</v>
      </c>
      <c r="I360" s="20" t="n">
        <v>-0.00570621216575251</v>
      </c>
      <c r="J360" s="20" t="n">
        <v>0.00565509696166843</v>
      </c>
      <c r="K360" s="20" t="n">
        <v>0.0630283265388629</v>
      </c>
      <c r="L360" s="20" t="n">
        <v>-0.00492611341827098</v>
      </c>
      <c r="M360" s="20" t="n">
        <v>-0.00218510138941008</v>
      </c>
      <c r="N360" s="20" t="n">
        <v>-0.00193682942693707</v>
      </c>
      <c r="O360" s="20" t="n">
        <v>0.000774262011163262</v>
      </c>
      <c r="P360" s="20" t="n">
        <v>-0.0879337959371944</v>
      </c>
      <c r="Q360" s="20" t="n">
        <v>-0.0139618190198187</v>
      </c>
      <c r="R360" s="20" t="n">
        <v>0.0033320821241709</v>
      </c>
      <c r="S360" s="20" t="n">
        <v>-0.00506616088799161</v>
      </c>
      <c r="T360" s="20" t="n">
        <v>0.00158306648064288</v>
      </c>
      <c r="U360" s="20" t="n">
        <v>0.00450695319466465</v>
      </c>
      <c r="V360" s="20" t="n">
        <v>0.0174618243122255</v>
      </c>
      <c r="W360" s="20" t="n">
        <v>0.00538978735342343</v>
      </c>
      <c r="X360" s="20" t="n">
        <v>0.0190936410689266</v>
      </c>
    </row>
    <row r="361" customFormat="false" ht="13.5" hidden="false" customHeight="true" outlineLevel="0" collapsed="false">
      <c r="A361" s="47" t="n">
        <v>42893</v>
      </c>
      <c r="B361" s="20" t="n">
        <v>0.00739088998026726</v>
      </c>
      <c r="C361" s="20" t="n">
        <v>-0.00325673693577677</v>
      </c>
      <c r="D361" s="20" t="n">
        <v>0.00890342697563273</v>
      </c>
      <c r="E361" s="20" t="n">
        <v>0.00270642353220607</v>
      </c>
      <c r="F361" s="20" t="n">
        <v>0.0162390636504312</v>
      </c>
      <c r="G361" s="20" t="n">
        <v>0.0163582909846646</v>
      </c>
      <c r="H361" s="20" t="n">
        <v>-0.0072137303448212</v>
      </c>
      <c r="I361" s="20" t="n">
        <v>-0.0209620954124534</v>
      </c>
      <c r="J361" s="20" t="n">
        <v>0.0149256356101354</v>
      </c>
      <c r="K361" s="20" t="n">
        <v>0.0740179927636602</v>
      </c>
      <c r="L361" s="20" t="n">
        <v>0.0207704556144969</v>
      </c>
      <c r="M361" s="20" t="n">
        <v>-0.00784317746102569</v>
      </c>
      <c r="N361" s="20" t="n">
        <v>0.00734013823003643</v>
      </c>
      <c r="O361" s="20" t="n">
        <v>-0.00673050242472905</v>
      </c>
      <c r="P361" s="20" t="n">
        <v>-0.0133781135003441</v>
      </c>
      <c r="Q361" s="20" t="n">
        <v>-0.0106007957159768</v>
      </c>
      <c r="R361" s="20" t="n">
        <v>0.00344845652709935</v>
      </c>
      <c r="S361" s="20" t="n">
        <v>0.00674922927780841</v>
      </c>
      <c r="T361" s="20" t="n">
        <v>0</v>
      </c>
      <c r="U361" s="20" t="n">
        <v>-0.00530436897718011</v>
      </c>
      <c r="V361" s="20" t="n">
        <v>0.00531207441814007</v>
      </c>
      <c r="W361" s="20" t="n">
        <v>0.00898240561800545</v>
      </c>
      <c r="X361" s="20" t="n">
        <v>0.0179622555999858</v>
      </c>
    </row>
    <row r="362" customFormat="false" ht="13.5" hidden="false" customHeight="true" outlineLevel="0" collapsed="false">
      <c r="A362" s="47" t="n">
        <v>42894</v>
      </c>
      <c r="B362" s="20" t="n">
        <v>0.0130635425400136</v>
      </c>
      <c r="C362" s="20" t="n">
        <v>0.0126059598612293</v>
      </c>
      <c r="D362" s="20" t="n">
        <v>0.0116670362130166</v>
      </c>
      <c r="E362" s="20" t="n">
        <v>0.00269903288472628</v>
      </c>
      <c r="F362" s="20" t="n">
        <v>0.0300194399412636</v>
      </c>
      <c r="G362" s="20" t="n">
        <v>0.0190232010751842</v>
      </c>
      <c r="H362" s="20" t="n">
        <v>-0.0191874791256296</v>
      </c>
      <c r="I362" s="20" t="n">
        <v>-0.0191745753904433</v>
      </c>
      <c r="J362" s="20" t="n">
        <v>-0.0377403823232644</v>
      </c>
      <c r="K362" s="20" t="n">
        <v>-0.0254677558728529</v>
      </c>
      <c r="L362" s="20" t="n">
        <v>0.00482509497482963</v>
      </c>
      <c r="M362" s="20" t="n">
        <v>0.0316207513410082</v>
      </c>
      <c r="N362" s="20" t="n">
        <v>0.00499141246459355</v>
      </c>
      <c r="O362" s="20" t="n">
        <v>0.00750426376028556</v>
      </c>
      <c r="P362" s="20" t="n">
        <v>0.0524711054255115</v>
      </c>
      <c r="Q362" s="20" t="n">
        <v>-0.0288308844008815</v>
      </c>
      <c r="R362" s="20" t="n">
        <v>0.0161885258384693</v>
      </c>
      <c r="S362" s="20" t="n">
        <v>-0.0330514367888894</v>
      </c>
      <c r="T362" s="20" t="n">
        <v>-0.00762149658101396</v>
      </c>
      <c r="U362" s="20" t="n">
        <v>0.00331851373818192</v>
      </c>
      <c r="V362" s="20" t="n">
        <v>0.0168859835634069</v>
      </c>
      <c r="W362" s="20" t="n">
        <v>0.0233180526822898</v>
      </c>
      <c r="X362" s="20" t="n">
        <v>0.0282353655952425</v>
      </c>
    </row>
    <row r="363" customFormat="false" ht="13.5" hidden="false" customHeight="true" outlineLevel="0" collapsed="false">
      <c r="A363" s="47" t="n">
        <v>42895</v>
      </c>
      <c r="B363" s="20" t="n">
        <v>0.00698390433402096</v>
      </c>
      <c r="C363" s="20" t="n">
        <v>0.0351653615358316</v>
      </c>
      <c r="D363" s="20" t="n">
        <v>-0.0017290283119129</v>
      </c>
      <c r="E363" s="20" t="n">
        <v>0.0133870468274897</v>
      </c>
      <c r="F363" s="20" t="n">
        <v>0.00463649338842486</v>
      </c>
      <c r="G363" s="20" t="n">
        <v>-0.0246682458583471</v>
      </c>
      <c r="H363" s="20" t="n">
        <v>-0.00833723370400663</v>
      </c>
      <c r="I363" s="20" t="n">
        <v>0.00519865218579918</v>
      </c>
      <c r="J363" s="20" t="n">
        <v>0</v>
      </c>
      <c r="K363" s="20" t="n">
        <v>-0.00843381984180557</v>
      </c>
      <c r="L363" s="20" t="n">
        <v>-0.0218987217266537</v>
      </c>
      <c r="M363" s="20" t="n">
        <v>-0.00213837544501993</v>
      </c>
      <c r="N363" s="20" t="n">
        <v>0.0185928240414221</v>
      </c>
      <c r="O363" s="20" t="n">
        <v>0.00719239620195466</v>
      </c>
      <c r="P363" s="20" t="n">
        <v>0.00636939153930304</v>
      </c>
      <c r="Q363" s="20" t="n">
        <v>-0.00733947574537063</v>
      </c>
      <c r="R363" s="20" t="n">
        <v>-0.00037641984774428</v>
      </c>
      <c r="S363" s="20" t="n">
        <v>0.010947993453787</v>
      </c>
      <c r="T363" s="20" t="n">
        <v>-0.00383267277291388</v>
      </c>
      <c r="U363" s="20" t="n">
        <v>-0.000795407152515359</v>
      </c>
      <c r="V363" s="20" t="n">
        <v>0.0112849335031244</v>
      </c>
      <c r="W363" s="20" t="n">
        <v>0.00537587571762765</v>
      </c>
      <c r="X363" s="20" t="n">
        <v>0.0060015126995192</v>
      </c>
    </row>
    <row r="364" customFormat="false" ht="13.5" hidden="false" customHeight="true" outlineLevel="0" collapsed="false">
      <c r="A364" s="47" t="n">
        <v>42898</v>
      </c>
      <c r="B364" s="20" t="n">
        <v>-0.00601102348209181</v>
      </c>
      <c r="C364" s="20" t="n">
        <v>-0.0170765389958957</v>
      </c>
      <c r="D364" s="20" t="n">
        <v>0.00431697828410371</v>
      </c>
      <c r="E364" s="20" t="n">
        <v>-0.000886853727567249</v>
      </c>
      <c r="F364" s="20" t="n">
        <v>-0.00042061950740635</v>
      </c>
      <c r="G364" s="20" t="n">
        <v>0.00961064584844972</v>
      </c>
      <c r="H364" s="20" t="n">
        <v>0.0101805504970766</v>
      </c>
      <c r="I364" s="20" t="n">
        <v>0.010316992141222</v>
      </c>
      <c r="J364" s="20" t="n">
        <v>0.00766286574561059</v>
      </c>
      <c r="K364" s="20" t="n">
        <v>-0.0244959960890329</v>
      </c>
      <c r="L364" s="20" t="n">
        <v>-0.0161193959562568</v>
      </c>
      <c r="M364" s="20" t="n">
        <v>-0.00367644185899029</v>
      </c>
      <c r="N364" s="20" t="n">
        <v>0.0237752427502742</v>
      </c>
      <c r="O364" s="20" t="n">
        <v>-0.0100322227811289</v>
      </c>
      <c r="P364" s="20" t="n">
        <v>0.0281709246223793</v>
      </c>
      <c r="Q364" s="20" t="n">
        <v>0.016438754501332</v>
      </c>
      <c r="R364" s="20" t="n">
        <v>0.00213123844534557</v>
      </c>
      <c r="S364" s="20" t="n">
        <v>0.0164822716095196</v>
      </c>
      <c r="T364" s="20" t="n">
        <v>0.0142973287683143</v>
      </c>
      <c r="U364" s="20" t="n">
        <v>-0.00598611141967353</v>
      </c>
      <c r="V364" s="20" t="n">
        <v>-0.00313223627502212</v>
      </c>
      <c r="W364" s="20" t="n">
        <v>0.00663353468637772</v>
      </c>
      <c r="X364" s="20" t="n">
        <v>-0.00149696913355201</v>
      </c>
    </row>
    <row r="365" customFormat="false" ht="13.5" hidden="false" customHeight="true" outlineLevel="0" collapsed="false">
      <c r="A365" s="47" t="n">
        <v>42899</v>
      </c>
      <c r="B365" s="20" t="n">
        <v>-0.00285660419464939</v>
      </c>
      <c r="C365" s="20" t="n">
        <v>0.00840043192220685</v>
      </c>
      <c r="D365" s="20" t="n">
        <v>0.00429842206071828</v>
      </c>
      <c r="E365" s="20" t="n">
        <v>-0.0044464447756698</v>
      </c>
      <c r="F365" s="20" t="n">
        <v>-0.000420796502627052</v>
      </c>
      <c r="G365" s="20" t="n">
        <v>-0.00132009946322275</v>
      </c>
      <c r="H365" s="20" t="n">
        <v>0.0146255407367659</v>
      </c>
      <c r="I365" s="20" t="n">
        <v>-0.0327898624428915</v>
      </c>
      <c r="J365" s="20" t="n">
        <v>-0.0153849047310359</v>
      </c>
      <c r="K365" s="20" t="n">
        <v>-0.0018616331375118</v>
      </c>
      <c r="L365" s="20" t="n">
        <v>-0.00626963700540228</v>
      </c>
      <c r="M365" s="20" t="n">
        <v>0.00337051935090526</v>
      </c>
      <c r="N365" s="20" t="n">
        <v>0.00256644305133191</v>
      </c>
      <c r="O365" s="20" t="n">
        <v>0.00103361545994928</v>
      </c>
      <c r="P365" s="20" t="n">
        <v>-0.0441712252761119</v>
      </c>
      <c r="Q365" s="20" t="n">
        <v>-0.003629764595237</v>
      </c>
      <c r="R365" s="20" t="n">
        <v>0.0118271477446239</v>
      </c>
      <c r="S365" s="20" t="n">
        <v>-0.0113379248388358</v>
      </c>
      <c r="T365" s="20" t="n">
        <v>-0.00315957228603203</v>
      </c>
      <c r="U365" s="20" t="n">
        <v>0.0106172605581216</v>
      </c>
      <c r="V365" s="20" t="n">
        <v>0.00607125098870975</v>
      </c>
      <c r="W365" s="20" t="n">
        <v>0.00146812316135669</v>
      </c>
      <c r="X365" s="20" t="n">
        <v>0.00448427249415317</v>
      </c>
    </row>
    <row r="366" customFormat="false" ht="13.5" hidden="false" customHeight="true" outlineLevel="0" collapsed="false">
      <c r="A366" s="47" t="n">
        <v>42900</v>
      </c>
      <c r="B366" s="20" t="n">
        <v>0.00266210372930242</v>
      </c>
      <c r="C366" s="20" t="n">
        <v>0.00867610707368893</v>
      </c>
      <c r="D366" s="20" t="n">
        <v>0.00549961145941413</v>
      </c>
      <c r="E366" s="20" t="n">
        <v>0.00178090020848342</v>
      </c>
      <c r="F366" s="20" t="n">
        <v>-0.00930236340297785</v>
      </c>
      <c r="G366" s="20" t="n">
        <v>-0.209368369711859</v>
      </c>
      <c r="H366" s="20" t="n">
        <v>-0.0118668551577492</v>
      </c>
      <c r="I366" s="20" t="n">
        <v>-0.00836822356407696</v>
      </c>
      <c r="J366" s="20" t="n">
        <v>0.00386847320995498</v>
      </c>
      <c r="K366" s="20" t="n">
        <v>-0.04575132485905</v>
      </c>
      <c r="L366" s="20" t="n">
        <v>-0.013933050849376</v>
      </c>
      <c r="M366" s="20" t="n">
        <v>0.00366421010227302</v>
      </c>
      <c r="N366" s="20" t="n">
        <v>-0.0132695902657791</v>
      </c>
      <c r="O366" s="20" t="n">
        <v>0.00309435341695207</v>
      </c>
      <c r="P366" s="20" t="n">
        <v>-0.0541269330906568</v>
      </c>
      <c r="Q366" s="20" t="n">
        <v>-0.00913251856049579</v>
      </c>
      <c r="R366" s="20" t="n">
        <v>-0.008826046685666</v>
      </c>
      <c r="S366" s="20" t="n">
        <v>-0.00743929412486199</v>
      </c>
      <c r="T366" s="20" t="n">
        <v>-0.000633126253091198</v>
      </c>
      <c r="U366" s="20" t="n">
        <v>0.00867518119709132</v>
      </c>
      <c r="V366" s="20" t="n">
        <v>-0.00441180274691976</v>
      </c>
      <c r="W366" s="20" t="n">
        <v>-0.0116204803276773</v>
      </c>
      <c r="X366" s="20" t="n">
        <v>-0.00898881606012036</v>
      </c>
    </row>
    <row r="367" customFormat="false" ht="13.5" hidden="false" customHeight="true" outlineLevel="0" collapsed="false">
      <c r="A367" s="47" t="n">
        <v>42901</v>
      </c>
      <c r="B367" s="20" t="n">
        <v>0.0074935986270983</v>
      </c>
      <c r="C367" s="20" t="n">
        <v>0.00207108245306164</v>
      </c>
      <c r="D367" s="20" t="n">
        <v>-0.0020741274808822</v>
      </c>
      <c r="E367" s="20" t="n">
        <v>-0.00178090020848342</v>
      </c>
      <c r="F367" s="20" t="n">
        <v>-0.00468387517983481</v>
      </c>
      <c r="G367" s="20" t="n">
        <v>-0.0969808930626912</v>
      </c>
      <c r="H367" s="20" t="n">
        <v>0.00275103066529447</v>
      </c>
      <c r="I367" s="20" t="n">
        <v>0.00228918321467475</v>
      </c>
      <c r="J367" s="20" t="n">
        <v>0</v>
      </c>
      <c r="K367" s="20" t="n">
        <v>0.0332511742024848</v>
      </c>
      <c r="L367" s="20" t="n">
        <v>0.00508906456768931</v>
      </c>
      <c r="M367" s="20" t="n">
        <v>0.00486470527942417</v>
      </c>
      <c r="N367" s="20" t="n">
        <v>-0.0467144529919774</v>
      </c>
      <c r="O367" s="20" t="n">
        <v>0.00308480792342091</v>
      </c>
      <c r="P367" s="20" t="n">
        <v>-0.00227278022040744</v>
      </c>
      <c r="Q367" s="20" t="n">
        <v>-0.020389892131315</v>
      </c>
      <c r="R367" s="20" t="n">
        <v>-0.0385666490945393</v>
      </c>
      <c r="S367" s="20" t="n">
        <v>-0.00460564569062116</v>
      </c>
      <c r="T367" s="20" t="n">
        <v>0.00158200437312583</v>
      </c>
      <c r="U367" s="20" t="n">
        <v>0.0113215485218445</v>
      </c>
      <c r="V367" s="20" t="n">
        <v>0.00331065795694396</v>
      </c>
      <c r="W367" s="20" t="n">
        <v>-0.00018558560486559</v>
      </c>
      <c r="X367" s="20" t="n">
        <v>-0.00528101523241142</v>
      </c>
    </row>
    <row r="368" customFormat="false" ht="13.5" hidden="false" customHeight="true" outlineLevel="0" collapsed="false">
      <c r="A368" s="47" t="n">
        <v>42902</v>
      </c>
      <c r="B368" s="20" t="n">
        <v>-0.00348145888872775</v>
      </c>
      <c r="C368" s="20" t="n">
        <v>-0.00692040056866671</v>
      </c>
      <c r="D368" s="20" t="n">
        <v>0.00560224461720082</v>
      </c>
      <c r="E368" s="20" t="n">
        <v>0.00178090020848342</v>
      </c>
      <c r="F368" s="20" t="n">
        <v>0.0202795095437675</v>
      </c>
      <c r="G368" s="20" t="n">
        <v>0.0155800379047574</v>
      </c>
      <c r="H368" s="20" t="n">
        <v>0.00638979184084664</v>
      </c>
      <c r="I368" s="20" t="n">
        <v>-0.00534962640891123</v>
      </c>
      <c r="J368" s="20" t="n">
        <v>0.0115164315210809</v>
      </c>
      <c r="K368" s="20" t="n">
        <v>0.0297419551925318</v>
      </c>
      <c r="L368" s="20" t="n">
        <v>0.0188565763120238</v>
      </c>
      <c r="M368" s="20" t="n">
        <v>0.00755404682287697</v>
      </c>
      <c r="N368" s="20" t="n">
        <v>-0.0140957190359545</v>
      </c>
      <c r="O368" s="20" t="n">
        <v>-0.0012841722002701</v>
      </c>
      <c r="P368" s="20" t="n">
        <v>-0.00684938994146255</v>
      </c>
      <c r="Q368" s="20" t="n">
        <v>0.0111732896842495</v>
      </c>
      <c r="R368" s="20" t="n">
        <v>0.013405729792014</v>
      </c>
      <c r="S368" s="20" t="n">
        <v>0.00690059304479939</v>
      </c>
      <c r="T368" s="20" t="n">
        <v>0.0113173360219058</v>
      </c>
      <c r="U368" s="20" t="n">
        <v>0.00554876333140352</v>
      </c>
      <c r="V368" s="20" t="n">
        <v>0.0138587581735776</v>
      </c>
      <c r="W368" s="20" t="n">
        <v>0.00647375395779681</v>
      </c>
      <c r="X368" s="20" t="n">
        <v>0.00753578757875716</v>
      </c>
    </row>
    <row r="369" customFormat="false" ht="13.5" hidden="false" customHeight="true" outlineLevel="0" collapsed="false">
      <c r="A369" s="47" t="n">
        <v>42905</v>
      </c>
      <c r="B369" s="20" t="n">
        <v>0.000710162480122456</v>
      </c>
      <c r="C369" s="20" t="n">
        <v>-0.0235388019798534</v>
      </c>
      <c r="D369" s="20" t="n">
        <v>0.00496704239087453</v>
      </c>
      <c r="E369" s="20" t="n">
        <v>-0.0107335455714054</v>
      </c>
      <c r="F369" s="20" t="n">
        <v>-0.0177219861614505</v>
      </c>
      <c r="G369" s="20" t="n">
        <v>-0.0115505609914703</v>
      </c>
      <c r="H369" s="20" t="n">
        <v>-0.0351888482388342</v>
      </c>
      <c r="I369" s="20" t="n">
        <v>0</v>
      </c>
      <c r="J369" s="20" t="n">
        <v>-0.0115164315210809</v>
      </c>
      <c r="K369" s="20" t="n">
        <v>-0.0110498402297707</v>
      </c>
      <c r="L369" s="20" t="n">
        <v>-0.0329143327799745</v>
      </c>
      <c r="M369" s="20" t="n">
        <v>0.0101827815882975</v>
      </c>
      <c r="N369" s="20" t="n">
        <v>-0.0263698791143474</v>
      </c>
      <c r="O369" s="20" t="n">
        <v>-0.00644581324163651</v>
      </c>
      <c r="P369" s="20" t="n">
        <v>-0.0385336569796037</v>
      </c>
      <c r="Q369" s="20" t="n">
        <v>-0.00371057578562505</v>
      </c>
      <c r="R369" s="20" t="n">
        <v>-0.00410572427484279</v>
      </c>
      <c r="S369" s="20" t="n">
        <v>0.00400341926641489</v>
      </c>
      <c r="T369" s="20" t="n">
        <v>-0.00438595281138987</v>
      </c>
      <c r="U369" s="20" t="n">
        <v>-0.00490193514042225</v>
      </c>
      <c r="V369" s="20" t="n">
        <v>0.00793652474813022</v>
      </c>
      <c r="W369" s="20" t="n">
        <v>-0.014484980992016</v>
      </c>
      <c r="X369" s="20" t="n">
        <v>-0.00677969867471306</v>
      </c>
    </row>
    <row r="370" customFormat="false" ht="13.5" hidden="false" customHeight="true" outlineLevel="0" collapsed="false">
      <c r="A370" s="47" t="n">
        <v>42906</v>
      </c>
      <c r="B370" s="20" t="n">
        <v>-0.00751447274288352</v>
      </c>
      <c r="C370" s="20" t="n">
        <v>-0.0125202798195265</v>
      </c>
      <c r="D370" s="20" t="n">
        <v>-0.00133019683145629</v>
      </c>
      <c r="E370" s="20" t="n">
        <v>-0.00722024113737918</v>
      </c>
      <c r="F370" s="20" t="n">
        <v>-0.0154443489670041</v>
      </c>
      <c r="G370" s="20" t="n">
        <v>-0.000446852366461136</v>
      </c>
      <c r="H370" s="20" t="n">
        <v>0.00376293598480215</v>
      </c>
      <c r="I370" s="20" t="n">
        <v>0.0257200369589156</v>
      </c>
      <c r="J370" s="20" t="n">
        <v>0.0115164315210809</v>
      </c>
      <c r="K370" s="20" t="n">
        <v>-0.0124225080408352</v>
      </c>
      <c r="L370" s="20" t="n">
        <v>0.0229017427496374</v>
      </c>
      <c r="M370" s="20" t="n">
        <v>0.00948997879080115</v>
      </c>
      <c r="N370" s="20" t="n">
        <v>-0.0105821183669889</v>
      </c>
      <c r="O370" s="20" t="n">
        <v>-0.0132796721059746</v>
      </c>
      <c r="P370" s="20" t="n">
        <v>-0.0425595453119607</v>
      </c>
      <c r="Q370" s="20" t="n">
        <v>0.00740743408268951</v>
      </c>
      <c r="R370" s="20" t="n">
        <v>0.00487374155524023</v>
      </c>
      <c r="S370" s="20" t="n">
        <v>0.00114092750426886</v>
      </c>
      <c r="T370" s="20" t="n">
        <v>-0.000314028226727991</v>
      </c>
      <c r="U370" s="20" t="n">
        <v>-0.00388706178163467</v>
      </c>
      <c r="V370" s="20" t="n">
        <v>0.00733915133650064</v>
      </c>
      <c r="W370" s="20" t="n">
        <v>-0.00901921838169528</v>
      </c>
      <c r="X370" s="20" t="n">
        <v>-0.0129327875482347</v>
      </c>
    </row>
    <row r="371" customFormat="false" ht="13.5" hidden="false" customHeight="true" outlineLevel="0" collapsed="false">
      <c r="A371" s="47" t="n">
        <v>42907</v>
      </c>
      <c r="B371" s="20" t="n">
        <v>0.00395860626437372</v>
      </c>
      <c r="C371" s="20" t="n">
        <v>-0.00831377961880841</v>
      </c>
      <c r="D371" s="20" t="n">
        <v>0.0200066355513746</v>
      </c>
      <c r="E371" s="20" t="n">
        <v>0.00811913817604859</v>
      </c>
      <c r="F371" s="20" t="n">
        <v>-0.00868432978118738</v>
      </c>
      <c r="G371" s="20" t="n">
        <v>0.00845758993903222</v>
      </c>
      <c r="H371" s="20" t="n">
        <v>0.00281293873548471</v>
      </c>
      <c r="I371" s="20" t="n">
        <v>0.0104012371033261</v>
      </c>
      <c r="J371" s="20" t="n">
        <v>0</v>
      </c>
      <c r="K371" s="20" t="n">
        <v>0.0362113906302151</v>
      </c>
      <c r="L371" s="20" t="n">
        <v>0.0186922040989863</v>
      </c>
      <c r="M371" s="20" t="n">
        <v>0.005298814244024</v>
      </c>
      <c r="N371" s="20" t="n">
        <v>-0.00368929096047265</v>
      </c>
      <c r="O371" s="20" t="n">
        <v>-0.00131155564395157</v>
      </c>
      <c r="P371" s="20" t="n">
        <v>0.0233282010202144</v>
      </c>
      <c r="Q371" s="20" t="n">
        <v>0.00184327280440177</v>
      </c>
      <c r="R371" s="20" t="n">
        <v>-0.0120995479443237</v>
      </c>
      <c r="S371" s="20" t="n">
        <v>0.00170884568928864</v>
      </c>
      <c r="T371" s="20" t="n">
        <v>0.000314028226727991</v>
      </c>
      <c r="U371" s="20" t="n">
        <v>-0.00716562788165653</v>
      </c>
      <c r="V371" s="20" t="n">
        <v>0.0222231741663314</v>
      </c>
      <c r="W371" s="20" t="n">
        <v>-0.00929176796251773</v>
      </c>
      <c r="X371" s="20" t="n">
        <v>-0.00923089933332121</v>
      </c>
    </row>
    <row r="372" customFormat="false" ht="13.5" hidden="false" customHeight="true" outlineLevel="0" collapsed="false">
      <c r="A372" s="47" t="n">
        <v>42908</v>
      </c>
      <c r="B372" s="20" t="n">
        <v>-0.00187996095235476</v>
      </c>
      <c r="C372" s="20" t="n">
        <v>0.000725656217352987</v>
      </c>
      <c r="D372" s="20" t="n">
        <v>-0.00499404339450482</v>
      </c>
      <c r="E372" s="20" t="n">
        <v>-0.00811913817604859</v>
      </c>
      <c r="F372" s="20" t="n">
        <v>-0.00480877911807331</v>
      </c>
      <c r="G372" s="20" t="n">
        <v>0.00177152020034032</v>
      </c>
      <c r="H372" s="20" t="n">
        <v>-0.00657587472028686</v>
      </c>
      <c r="I372" s="20" t="n">
        <v>0.0197591835378831</v>
      </c>
      <c r="J372" s="20" t="n">
        <v>0.0207750884290167</v>
      </c>
      <c r="K372" s="20" t="n">
        <v>-0.0176350228838221</v>
      </c>
      <c r="L372" s="20" t="n">
        <v>0.00860480943679586</v>
      </c>
      <c r="M372" s="20" t="n">
        <v>0.00322429698628123</v>
      </c>
      <c r="N372" s="20" t="n">
        <v>0.00246101295912204</v>
      </c>
      <c r="O372" s="20" t="n">
        <v>-0.00394471813789421</v>
      </c>
      <c r="P372" s="20" t="n">
        <v>0.0263488619827723</v>
      </c>
      <c r="Q372" s="20" t="n">
        <v>0.00183996905398764</v>
      </c>
      <c r="R372" s="20" t="n">
        <v>0.00245751188037157</v>
      </c>
      <c r="S372" s="20" t="n">
        <v>0.00567540581944925</v>
      </c>
      <c r="T372" s="20" t="n">
        <v>0.00750706588152017</v>
      </c>
      <c r="U372" s="20" t="n">
        <v>0.000130672769437012</v>
      </c>
      <c r="V372" s="20" t="n">
        <v>-0.0121086402496652</v>
      </c>
      <c r="W372" s="20" t="n">
        <v>-0.000762357852755357</v>
      </c>
      <c r="X372" s="20" t="n">
        <v>-0.0179341684421809</v>
      </c>
    </row>
    <row r="373" customFormat="false" ht="13.5" hidden="false" customHeight="true" outlineLevel="0" collapsed="false">
      <c r="A373" s="47" t="n">
        <v>42909</v>
      </c>
      <c r="B373" s="20" t="n">
        <v>0.00724122340715016</v>
      </c>
      <c r="C373" s="20" t="n">
        <v>0.0014498064569568</v>
      </c>
      <c r="D373" s="20" t="n">
        <v>0.00463816486950197</v>
      </c>
      <c r="E373" s="20" t="n">
        <v>0.0126014576299264</v>
      </c>
      <c r="F373" s="20" t="n">
        <v>0.00306277623916706</v>
      </c>
      <c r="G373" s="20" t="n">
        <v>0.000442390127207925</v>
      </c>
      <c r="H373" s="20" t="n">
        <v>0.0351888482388342</v>
      </c>
      <c r="I373" s="20" t="n">
        <v>-0.00946494966754496</v>
      </c>
      <c r="J373" s="20" t="n">
        <v>-0.00938968653644134</v>
      </c>
      <c r="K373" s="20" t="n">
        <v>0.0061162212201864</v>
      </c>
      <c r="L373" s="20" t="n">
        <v>0.0205943164563495</v>
      </c>
      <c r="M373" s="20" t="n">
        <v>-0.00381168193977643</v>
      </c>
      <c r="N373" s="20" t="n">
        <v>0.00571894500973746</v>
      </c>
      <c r="O373" s="20" t="n">
        <v>0.00525627378184578</v>
      </c>
      <c r="P373" s="20" t="n">
        <v>-0.0047393408119567</v>
      </c>
      <c r="Q373" s="20" t="n">
        <v>0.00914914244444009</v>
      </c>
      <c r="R373" s="20" t="n">
        <v>0.0344095265538877</v>
      </c>
      <c r="S373" s="20" t="n">
        <v>-0.0011325288830255</v>
      </c>
      <c r="T373" s="20" t="n">
        <v>0.00466350982328744</v>
      </c>
      <c r="U373" s="20" t="n">
        <v>0.000522819465639479</v>
      </c>
      <c r="V373" s="20" t="n">
        <v>0.00493130244325268</v>
      </c>
      <c r="W373" s="20" t="n">
        <v>0.00854301832050552</v>
      </c>
      <c r="X373" s="20" t="n">
        <v>0.00627452440549092</v>
      </c>
    </row>
    <row r="374" customFormat="false" ht="13.5" hidden="false" customHeight="true" outlineLevel="0" collapsed="false">
      <c r="A374" s="47" t="n">
        <v>42912</v>
      </c>
      <c r="B374" s="20" t="n">
        <v>-0.00309694895022349</v>
      </c>
      <c r="C374" s="20" t="n">
        <v>-0.0145934564860321</v>
      </c>
      <c r="D374" s="20" t="n">
        <v>-0.014822144009372</v>
      </c>
      <c r="E374" s="20" t="n">
        <v>-0.00898482059013172</v>
      </c>
      <c r="F374" s="20" t="n">
        <v>0.0164648896861137</v>
      </c>
      <c r="G374" s="20" t="n">
        <v>0.00705158689481466</v>
      </c>
      <c r="H374" s="20" t="n">
        <v>-0.012820741754653</v>
      </c>
      <c r="I374" s="20" t="n">
        <v>-0.0221902737626593</v>
      </c>
      <c r="J374" s="20" t="n">
        <v>-0.00757578628251098</v>
      </c>
      <c r="K374" s="20" t="n">
        <v>0</v>
      </c>
      <c r="L374" s="20" t="n">
        <v>0.00954660264870854</v>
      </c>
      <c r="M374" s="20" t="n">
        <v>-0.00796348264799418</v>
      </c>
      <c r="N374" s="20" t="n">
        <v>0.000407258370358487</v>
      </c>
      <c r="O374" s="20" t="n">
        <v>-0.0118656830362051</v>
      </c>
      <c r="P374" s="20" t="n">
        <v>0.0047393408119567</v>
      </c>
      <c r="Q374" s="20" t="n">
        <v>-0.00547941708731936</v>
      </c>
      <c r="R374" s="20" t="n">
        <v>0.00460738148685013</v>
      </c>
      <c r="S374" s="20" t="n">
        <v>-0.0499522361487092</v>
      </c>
      <c r="T374" s="20" t="n">
        <v>-0.0150003261145093</v>
      </c>
      <c r="U374" s="20" t="n">
        <v>-0.0151408534686749</v>
      </c>
      <c r="V374" s="20" t="n">
        <v>-0.0180823335951014</v>
      </c>
      <c r="W374" s="20" t="n">
        <v>0.0049028632658481</v>
      </c>
      <c r="X374" s="20" t="n">
        <v>0.00933858043100555</v>
      </c>
    </row>
    <row r="375" customFormat="false" ht="13.5" hidden="false" customHeight="true" outlineLevel="0" collapsed="false">
      <c r="A375" s="47" t="n">
        <v>42913</v>
      </c>
      <c r="B375" s="20" t="n">
        <v>0.00367664045443039</v>
      </c>
      <c r="C375" s="20" t="n">
        <v>-0.00478910472416016</v>
      </c>
      <c r="D375" s="20" t="n">
        <v>0.000722253056726351</v>
      </c>
      <c r="E375" s="20" t="n">
        <v>0.000902140687925712</v>
      </c>
      <c r="F375" s="20" t="n">
        <v>0.0258762563945853</v>
      </c>
      <c r="G375" s="20" t="n">
        <v>0.0251531002724849</v>
      </c>
      <c r="H375" s="20" t="n">
        <v>0.00917443316779254</v>
      </c>
      <c r="I375" s="20" t="n">
        <v>-0.00224633062847123</v>
      </c>
      <c r="J375" s="20" t="n">
        <v>0.0262679009675894</v>
      </c>
      <c r="K375" s="20" t="n">
        <v>0.0181273676173764</v>
      </c>
      <c r="L375" s="20" t="n">
        <v>0.0350094312281838</v>
      </c>
      <c r="M375" s="20" t="n">
        <v>-0.000592430634272833</v>
      </c>
      <c r="N375" s="20" t="n">
        <v>0.0121410291001917</v>
      </c>
      <c r="O375" s="20" t="n">
        <v>0.00634581361939234</v>
      </c>
      <c r="P375" s="20" t="n">
        <v>0.0222100987160098</v>
      </c>
      <c r="Q375" s="20" t="n">
        <v>0.0109290600902236</v>
      </c>
      <c r="R375" s="20" t="n">
        <v>0.00939789464452545</v>
      </c>
      <c r="S375" s="20" t="n">
        <v>0.0200477377264212</v>
      </c>
      <c r="T375" s="20" t="n">
        <v>0.0100251964905346</v>
      </c>
      <c r="U375" s="20" t="n">
        <v>0.00608385825695201</v>
      </c>
      <c r="V375" s="20" t="n">
        <v>-0.000536863104444229</v>
      </c>
      <c r="W375" s="20" t="n">
        <v>0.0217703632911985</v>
      </c>
      <c r="X375" s="20" t="n">
        <v>0.0176588461453328</v>
      </c>
    </row>
    <row r="376" customFormat="false" ht="13.5" hidden="false" customHeight="true" outlineLevel="0" collapsed="false">
      <c r="A376" s="47" t="n">
        <v>42914</v>
      </c>
      <c r="B376" s="20" t="n">
        <v>-0.00769111818067624</v>
      </c>
      <c r="C376" s="20" t="n">
        <v>-0.00221808726340855</v>
      </c>
      <c r="D376" s="20" t="n">
        <v>-0.00482511837134236</v>
      </c>
      <c r="E376" s="20" t="n">
        <v>0.007187804790036</v>
      </c>
      <c r="F376" s="20" t="n">
        <v>0.0182577911689962</v>
      </c>
      <c r="G376" s="20" t="n">
        <v>-0.00472207831684468</v>
      </c>
      <c r="H376" s="20" t="n">
        <v>0.00273597714181916</v>
      </c>
      <c r="I376" s="20" t="n">
        <v>-0.0281280330093092</v>
      </c>
      <c r="J376" s="20" t="n">
        <v>-0.00743497123875003</v>
      </c>
      <c r="K376" s="20" t="n">
        <v>-0.00781489509236321</v>
      </c>
      <c r="L376" s="20" t="n">
        <v>0.0022908949361331</v>
      </c>
      <c r="M376" s="20" t="n">
        <v>-0.0035618598055751</v>
      </c>
      <c r="N376" s="20" t="n">
        <v>-0.0277342528264696</v>
      </c>
      <c r="O376" s="20" t="n">
        <v>-0.00847013282981201</v>
      </c>
      <c r="P376" s="20" t="n">
        <v>0.0103508866363504</v>
      </c>
      <c r="Q376" s="20" t="n">
        <v>-0.00909927875596139</v>
      </c>
      <c r="R376" s="20" t="n">
        <v>-0.0121349108868873</v>
      </c>
      <c r="S376" s="20" t="n">
        <v>-0.0176682596744983</v>
      </c>
      <c r="T376" s="20" t="n">
        <v>-0.0211065313834613</v>
      </c>
      <c r="U376" s="20" t="n">
        <v>-0.0191698473112875</v>
      </c>
      <c r="V376" s="20" t="n">
        <v>-0.000895321712154562</v>
      </c>
      <c r="W376" s="20" t="n">
        <v>0.0263387660492071</v>
      </c>
      <c r="X376" s="20" t="n">
        <v>0.0181000240686879</v>
      </c>
    </row>
    <row r="377" customFormat="false" ht="13.5" hidden="false" customHeight="true" outlineLevel="0" collapsed="false">
      <c r="A377" s="47" t="n">
        <v>42915</v>
      </c>
      <c r="B377" s="20" t="n">
        <v>-0.00194832536769418</v>
      </c>
      <c r="C377" s="20" t="n">
        <v>-0.000370221208093379</v>
      </c>
      <c r="D377" s="20" t="n">
        <v>-0.00484842036417898</v>
      </c>
      <c r="E377" s="20" t="n">
        <v>0.00178886491321073</v>
      </c>
      <c r="F377" s="20" t="n">
        <v>-0.00247013159918019</v>
      </c>
      <c r="G377" s="20" t="n">
        <v>0.00343642626075713</v>
      </c>
      <c r="H377" s="20" t="n">
        <v>0.00635498569244319</v>
      </c>
      <c r="I377" s="20" t="n">
        <v>-0.00463682587734659</v>
      </c>
      <c r="J377" s="20" t="n">
        <v>0.0203145780855869</v>
      </c>
      <c r="K377" s="20" t="n">
        <v>0.00721595675475184</v>
      </c>
      <c r="L377" s="20" t="n">
        <v>0.0011435368899324</v>
      </c>
      <c r="M377" s="20" t="n">
        <v>-0.00119014934610417</v>
      </c>
      <c r="N377" s="20" t="n">
        <v>-0.0124846044270228</v>
      </c>
      <c r="O377" s="20" t="n">
        <v>0.00291972636293502</v>
      </c>
      <c r="P377" s="20" t="n">
        <v>0.00684157967898624</v>
      </c>
      <c r="Q377" s="20" t="n">
        <v>0.0036496357530571</v>
      </c>
      <c r="R377" s="20" t="n">
        <v>0.00236424482001851</v>
      </c>
      <c r="S377" s="20" t="n">
        <v>-0.0185912078670065</v>
      </c>
      <c r="T377" s="20" t="n">
        <v>-0.00350823552157075</v>
      </c>
      <c r="U377" s="20" t="n">
        <v>0.000940413766261194</v>
      </c>
      <c r="V377" s="20" t="n">
        <v>-0.00179305182162181</v>
      </c>
      <c r="W377" s="20" t="n">
        <v>-0.00665528018963712</v>
      </c>
      <c r="X377" s="20" t="n">
        <v>0.0104090412198618</v>
      </c>
    </row>
    <row r="378" customFormat="false" ht="13.5" hidden="false" customHeight="true" outlineLevel="0" collapsed="false">
      <c r="A378" s="47" t="n">
        <v>42916</v>
      </c>
      <c r="B378" s="20" t="n">
        <v>0.0113119720770793</v>
      </c>
      <c r="C378" s="20" t="n">
        <v>0.0161589893957145</v>
      </c>
      <c r="D378" s="20" t="n">
        <v>0.00484842036417898</v>
      </c>
      <c r="E378" s="20" t="n">
        <v>0.0325304147186784</v>
      </c>
      <c r="F378" s="20" t="n">
        <v>0.0171642984520543</v>
      </c>
      <c r="G378" s="20" t="n">
        <v>0.00981443966999462</v>
      </c>
      <c r="H378" s="20" t="n">
        <v>0.0108011746865286</v>
      </c>
      <c r="I378" s="20" t="n">
        <v>-0.0148266141343875</v>
      </c>
      <c r="J378" s="20" t="n">
        <v>-0.0165901826324619</v>
      </c>
      <c r="K378" s="20" t="n">
        <v>0.0242687304294981</v>
      </c>
      <c r="L378" s="20" t="n">
        <v>0.0192422547755275</v>
      </c>
      <c r="M378" s="20" t="n">
        <v>0.00682392628004491</v>
      </c>
      <c r="N378" s="20" t="n">
        <v>0.0037617664196321</v>
      </c>
      <c r="O378" s="20" t="n">
        <v>0.0100212090576898</v>
      </c>
      <c r="P378" s="20" t="n">
        <v>0.02024808817962</v>
      </c>
      <c r="Q378" s="20" t="n">
        <v>-0.0036496357530571</v>
      </c>
      <c r="R378" s="20" t="n">
        <v>0.00198663661428799</v>
      </c>
      <c r="S378" s="20" t="n">
        <v>-0.0263738253148062</v>
      </c>
      <c r="T378" s="20" t="n">
        <v>0.000958029357883472</v>
      </c>
      <c r="U378" s="20" t="n">
        <v>0.000805336400489409</v>
      </c>
      <c r="V378" s="20" t="n">
        <v>0.00982237076090264</v>
      </c>
      <c r="W378" s="20" t="n">
        <v>0.00665528018963712</v>
      </c>
      <c r="X378" s="20" t="n">
        <v>0.0168687196395032</v>
      </c>
    </row>
    <row r="379" customFormat="false" ht="13.5" hidden="false" customHeight="true" outlineLevel="0" collapsed="false">
      <c r="A379" s="47" t="n">
        <v>42919</v>
      </c>
      <c r="B379" s="20" t="n">
        <v>-0.0123526463961027</v>
      </c>
      <c r="C379" s="20" t="n">
        <v>-0.00364961689316833</v>
      </c>
      <c r="D379" s="20" t="n">
        <v>0</v>
      </c>
      <c r="E379" s="20" t="n">
        <v>-0.022748156945767</v>
      </c>
      <c r="F379" s="20" t="n">
        <v>0.00967748557831305</v>
      </c>
      <c r="G379" s="20" t="n">
        <v>-0.01368126098924</v>
      </c>
      <c r="H379" s="20" t="n">
        <v>0.00268216264715936</v>
      </c>
      <c r="I379" s="20" t="n">
        <v>0.0101682621227814</v>
      </c>
      <c r="J379" s="20" t="n">
        <v>0.00740743408268951</v>
      </c>
      <c r="K379" s="20" t="n">
        <v>-0.035718119359861</v>
      </c>
      <c r="L379" s="20" t="n">
        <v>-0.0203857916654599</v>
      </c>
      <c r="M379" s="20" t="n">
        <v>-0.00533651748578289</v>
      </c>
      <c r="N379" s="20" t="n">
        <v>-0.00964164025992309</v>
      </c>
      <c r="O379" s="20" t="n">
        <v>0.000262319864897886</v>
      </c>
      <c r="P379" s="20" t="n">
        <v>-0.0455659267303945</v>
      </c>
      <c r="Q379" s="20" t="n">
        <v>0.0036496357530571</v>
      </c>
      <c r="R379" s="20" t="n">
        <v>-0.0119791680320213</v>
      </c>
      <c r="S379" s="20" t="n">
        <v>0.0148059318226718</v>
      </c>
      <c r="T379" s="20" t="n">
        <v>-0.00704677200023873</v>
      </c>
      <c r="U379" s="20" t="n">
        <v>0.00107284214906133</v>
      </c>
      <c r="V379" s="20" t="n">
        <v>0.00142067182687188</v>
      </c>
      <c r="W379" s="20" t="n">
        <v>0</v>
      </c>
      <c r="X379" s="20" t="n">
        <v>0.00362978187194551</v>
      </c>
    </row>
    <row r="380" customFormat="false" ht="13.5" hidden="false" customHeight="true" outlineLevel="0" collapsed="false">
      <c r="A380" s="47" t="n">
        <v>42921</v>
      </c>
      <c r="B380" s="20" t="n">
        <v>-0.00856128853535587</v>
      </c>
      <c r="C380" s="20" t="n">
        <v>-0.0387674342568566</v>
      </c>
      <c r="D380" s="20" t="n">
        <v>-0.0133903218575346</v>
      </c>
      <c r="E380" s="20" t="n">
        <v>-0.0106762475739521</v>
      </c>
      <c r="F380" s="20" t="n">
        <v>-0.00846271403117304</v>
      </c>
      <c r="G380" s="20" t="n">
        <v>-0.00431408711658809</v>
      </c>
      <c r="H380" s="20" t="n">
        <v>-0.0162019589294817</v>
      </c>
      <c r="I380" s="20" t="n">
        <v>-0.00468022841939941</v>
      </c>
      <c r="J380" s="20" t="n">
        <v>-0.0129992864457015</v>
      </c>
      <c r="K380" s="20" t="n">
        <v>0</v>
      </c>
      <c r="L380" s="20" t="n">
        <v>0.00228576759677245</v>
      </c>
      <c r="M380" s="20" t="n">
        <v>-0.0125636760299432</v>
      </c>
      <c r="N380" s="20" t="n">
        <v>0.0067170634360556</v>
      </c>
      <c r="O380" s="20" t="n">
        <v>-0.0249680602648281</v>
      </c>
      <c r="P380" s="20" t="n">
        <v>-0.00701751003844908</v>
      </c>
      <c r="Q380" s="20" t="n">
        <v>-0.0277025322841435</v>
      </c>
      <c r="R380" s="20" t="n">
        <v>-0.0119974232025379</v>
      </c>
      <c r="S380" s="20" t="n">
        <v>-0.0160497415513449</v>
      </c>
      <c r="T380" s="20" t="n">
        <v>-0.0126154446009598</v>
      </c>
      <c r="U380" s="20" t="n">
        <v>-0.0038944642646399</v>
      </c>
      <c r="V380" s="20" t="n">
        <v>-0.0191710560299576</v>
      </c>
      <c r="W380" s="20" t="n">
        <v>-0.0039518177116955</v>
      </c>
      <c r="X380" s="20" t="n">
        <v>-0.0101967630122983</v>
      </c>
    </row>
    <row r="381" customFormat="false" ht="13.5" hidden="false" customHeight="true" outlineLevel="0" collapsed="false">
      <c r="A381" s="47" t="n">
        <v>42922</v>
      </c>
      <c r="B381" s="20" t="n">
        <v>0.00379955796285624</v>
      </c>
      <c r="C381" s="20" t="n">
        <v>-0.00609992795264435</v>
      </c>
      <c r="D381" s="20" t="n">
        <v>0.00842036147267766</v>
      </c>
      <c r="E381" s="20" t="n">
        <v>0.00713014801499367</v>
      </c>
      <c r="F381" s="20" t="n">
        <v>0.0048446134977893</v>
      </c>
      <c r="G381" s="20" t="n">
        <v>0.00129620615635284</v>
      </c>
      <c r="H381" s="20" t="n">
        <v>-0.0045475250001703</v>
      </c>
      <c r="I381" s="20" t="n">
        <v>-0.0221352698334591</v>
      </c>
      <c r="J381" s="20" t="n">
        <v>0.00373134412738829</v>
      </c>
      <c r="K381" s="20" t="n">
        <v>-0.0245410855813422</v>
      </c>
      <c r="L381" s="20" t="n">
        <v>0.00114092750426886</v>
      </c>
      <c r="M381" s="20" t="n">
        <v>0.00390558567696297</v>
      </c>
      <c r="N381" s="20" t="n">
        <v>-0.0126317147808525</v>
      </c>
      <c r="O381" s="20" t="n">
        <v>-0.00539377692106457</v>
      </c>
      <c r="P381" s="20" t="n">
        <v>-0.0153758331697684</v>
      </c>
      <c r="Q381" s="20" t="n">
        <v>0.020389892131315</v>
      </c>
      <c r="R381" s="20" t="n">
        <v>-0.000889732445132907</v>
      </c>
      <c r="S381" s="20" t="n">
        <v>0.00372667934874959</v>
      </c>
      <c r="T381" s="20" t="n">
        <v>0.00584228563067146</v>
      </c>
      <c r="U381" s="20" t="n">
        <v>-0.000942312716533777</v>
      </c>
      <c r="V381" s="20" t="n">
        <v>0.0113320949321531</v>
      </c>
      <c r="W381" s="20" t="n">
        <v>0.00323450956282744</v>
      </c>
      <c r="X381" s="20" t="n">
        <v>0.00219376567680029</v>
      </c>
    </row>
    <row r="382" customFormat="false" ht="13.5" hidden="false" customHeight="true" outlineLevel="0" collapsed="false">
      <c r="A382" s="47" t="n">
        <v>42923</v>
      </c>
      <c r="B382" s="20" t="n">
        <v>0.00313354301699231</v>
      </c>
      <c r="C382" s="20" t="n">
        <v>-0.00421533230020676</v>
      </c>
      <c r="D382" s="20" t="n">
        <v>-0.000121554794450418</v>
      </c>
      <c r="E382" s="20" t="n">
        <v>0.00707966871680021</v>
      </c>
      <c r="F382" s="20" t="n">
        <v>0.00241349541011803</v>
      </c>
      <c r="G382" s="20" t="n">
        <v>-0.0240343328317313</v>
      </c>
      <c r="H382" s="20" t="n">
        <v>0.0153779452871585</v>
      </c>
      <c r="I382" s="20" t="n">
        <v>0.0182182894036802</v>
      </c>
      <c r="J382" s="20" t="n">
        <v>-0.00560220566300073</v>
      </c>
      <c r="K382" s="20" t="n">
        <v>0.0425595743121504</v>
      </c>
      <c r="L382" s="20" t="n">
        <v>0.0358380663951019</v>
      </c>
      <c r="M382" s="20" t="n">
        <v>0.00179752519339171</v>
      </c>
      <c r="N382" s="20" t="n">
        <v>-0.00552374758891005</v>
      </c>
      <c r="O382" s="20" t="n">
        <v>-0.00406443340693218</v>
      </c>
      <c r="P382" s="20" t="n">
        <v>0.0431553696767781</v>
      </c>
      <c r="Q382" s="20" t="n">
        <v>0.0253637407856595</v>
      </c>
      <c r="R382" s="20" t="n">
        <v>-0.0063783862616491</v>
      </c>
      <c r="S382" s="20" t="n">
        <v>-0.000620050967661267</v>
      </c>
      <c r="T382" s="20" t="n">
        <v>0.00258564865421861</v>
      </c>
      <c r="U382" s="20" t="n">
        <v>-0.00757063977313432</v>
      </c>
      <c r="V382" s="20" t="n">
        <v>0.0003576619805008</v>
      </c>
      <c r="W382" s="20" t="n">
        <v>-0.00269472045597218</v>
      </c>
      <c r="X382" s="20" t="n">
        <v>0</v>
      </c>
    </row>
    <row r="383" customFormat="false" ht="13.5" hidden="false" customHeight="true" outlineLevel="0" collapsed="false">
      <c r="A383" s="47" t="n">
        <v>42926</v>
      </c>
      <c r="B383" s="20" t="n">
        <v>-0.00150024963451755</v>
      </c>
      <c r="C383" s="20" t="n">
        <v>0.012972341441729</v>
      </c>
      <c r="D383" s="20" t="n">
        <v>0.000850388145665625</v>
      </c>
      <c r="E383" s="20" t="n">
        <v>0.00352112699917661</v>
      </c>
      <c r="F383" s="20" t="n">
        <v>-0.011719633412325</v>
      </c>
      <c r="G383" s="20" t="n">
        <v>0.000884109275812505</v>
      </c>
      <c r="H383" s="20" t="n">
        <v>0.0169118243900858</v>
      </c>
      <c r="I383" s="20" t="n">
        <v>0.00781867796719693</v>
      </c>
      <c r="J383" s="20" t="n">
        <v>0.00931967860352966</v>
      </c>
      <c r="K383" s="20" t="n">
        <v>0.0159436916749367</v>
      </c>
      <c r="L383" s="20" t="n">
        <v>0.0131149294333896</v>
      </c>
      <c r="M383" s="20" t="n">
        <v>-0.00720945404470452</v>
      </c>
      <c r="N383" s="20" t="n">
        <v>-0.00941784857326011</v>
      </c>
      <c r="O383" s="20" t="n">
        <v>-0.00626458145672481</v>
      </c>
      <c r="P383" s="20" t="n">
        <v>0.0124788523431047</v>
      </c>
      <c r="Q383" s="20" t="n">
        <v>0.00890472737361158</v>
      </c>
      <c r="R383" s="20" t="n">
        <v>-0.00641933137641803</v>
      </c>
      <c r="S383" s="20" t="n">
        <v>-0.00372911387538987</v>
      </c>
      <c r="T383" s="20" t="n">
        <v>0.00354440876598394</v>
      </c>
      <c r="U383" s="20" t="n">
        <v>-0.00353456229014614</v>
      </c>
      <c r="V383" s="20" t="n">
        <v>-0.0107856242865231</v>
      </c>
      <c r="W383" s="20" t="n">
        <v>-0.00994312145131637</v>
      </c>
      <c r="X383" s="20" t="n">
        <v>0.00145988770761462</v>
      </c>
    </row>
    <row r="384" customFormat="false" ht="13.5" hidden="false" customHeight="true" outlineLevel="0" collapsed="false">
      <c r="A384" s="47" t="n">
        <v>42927</v>
      </c>
      <c r="B384" s="20" t="n">
        <v>0.00332363372754418</v>
      </c>
      <c r="C384" s="20" t="n">
        <v>0.00755285993973542</v>
      </c>
      <c r="D384" s="20" t="n">
        <v>0.0138681937623523</v>
      </c>
      <c r="E384" s="20" t="n">
        <v>0.00787751566740269</v>
      </c>
      <c r="F384" s="20" t="n">
        <v>-0.0102145932505099</v>
      </c>
      <c r="G384" s="20" t="n">
        <v>0.00748407993768562</v>
      </c>
      <c r="H384" s="20" t="n">
        <v>0.0244126978323873</v>
      </c>
      <c r="I384" s="20" t="n">
        <v>0.0116145029170522</v>
      </c>
      <c r="J384" s="20" t="n">
        <v>0.00370370450346002</v>
      </c>
      <c r="K384" s="20" t="n">
        <v>0.0912009795478034</v>
      </c>
      <c r="L384" s="20" t="n">
        <v>0.0107992819514621</v>
      </c>
      <c r="M384" s="20" t="n">
        <v>0.00150634317434983</v>
      </c>
      <c r="N384" s="20" t="n">
        <v>-0.0327898228229912</v>
      </c>
      <c r="O384" s="20" t="n">
        <v>0.00626458145672481</v>
      </c>
      <c r="P384" s="20" t="n">
        <v>0.0310790541772805</v>
      </c>
      <c r="Q384" s="20" t="n">
        <v>0.0245196771461073</v>
      </c>
      <c r="R384" s="20" t="n">
        <v>-0.00245022297957131</v>
      </c>
      <c r="S384" s="20" t="n">
        <v>0.0191187673848745</v>
      </c>
      <c r="T384" s="20" t="n">
        <v>0.00224898712702836</v>
      </c>
      <c r="U384" s="20" t="n">
        <v>0.00624491692075501</v>
      </c>
      <c r="V384" s="20" t="n">
        <v>-0.00525507974441907</v>
      </c>
      <c r="W384" s="20" t="n">
        <v>0.00235908383607874</v>
      </c>
      <c r="X384" s="20" t="n">
        <v>0.00145769008283824</v>
      </c>
    </row>
    <row r="385" customFormat="false" ht="13.5" hidden="false" customHeight="true" outlineLevel="0" collapsed="false">
      <c r="A385" s="47" t="n">
        <v>42928</v>
      </c>
      <c r="B385" s="20" t="n">
        <v>-0.000455484763756786</v>
      </c>
      <c r="C385" s="20" t="n">
        <v>0.00786964188782457</v>
      </c>
      <c r="D385" s="20" t="n">
        <v>0.00620819393044325</v>
      </c>
      <c r="E385" s="20" t="n">
        <v>0.0112701765757323</v>
      </c>
      <c r="F385" s="20" t="n">
        <v>0.0110272896490659</v>
      </c>
      <c r="G385" s="20" t="n">
        <v>0.00524939267710733</v>
      </c>
      <c r="H385" s="20" t="n">
        <v>0.00172123073252494</v>
      </c>
      <c r="I385" s="20" t="n">
        <v>-0.00772796947674958</v>
      </c>
      <c r="J385" s="20" t="n">
        <v>0.00369003767872611</v>
      </c>
      <c r="K385" s="20" t="n">
        <v>-0.00589974211925359</v>
      </c>
      <c r="L385" s="20" t="n">
        <v>-0.0261169058802646</v>
      </c>
      <c r="M385" s="20" t="n">
        <v>0.00180443834204746</v>
      </c>
      <c r="N385" s="20" t="n">
        <v>0.0123676789511333</v>
      </c>
      <c r="O385" s="20" t="n">
        <v>-0.0169774816796408</v>
      </c>
      <c r="P385" s="20" t="n">
        <v>0.00978802328608274</v>
      </c>
      <c r="Q385" s="20" t="n">
        <v>-0.00346620453907897</v>
      </c>
      <c r="R385" s="20" t="n">
        <v>0.00605010837518271</v>
      </c>
      <c r="S385" s="20" t="n">
        <v>0.0054826969779862</v>
      </c>
      <c r="T385" s="20" t="n">
        <v>0.0035239700031866</v>
      </c>
      <c r="U385" s="20" t="n">
        <v>-0.00556418650836221</v>
      </c>
      <c r="V385" s="20" t="n">
        <v>-0.00674513084489536</v>
      </c>
      <c r="W385" s="20" t="n">
        <v>0.00776387971765046</v>
      </c>
      <c r="X385" s="20" t="n">
        <v>0.010145039636292</v>
      </c>
    </row>
    <row r="386" customFormat="false" ht="13.5" hidden="false" customHeight="true" outlineLevel="0" collapsed="false">
      <c r="A386" s="47" t="n">
        <v>42929</v>
      </c>
      <c r="B386" s="20" t="n">
        <v>0.00396272055112412</v>
      </c>
      <c r="C386" s="20" t="n">
        <v>-0.000373326206381197</v>
      </c>
      <c r="D386" s="20" t="n">
        <v>0.00391996511487313</v>
      </c>
      <c r="E386" s="20" t="n">
        <v>0.00687287253050428</v>
      </c>
      <c r="F386" s="20" t="n">
        <v>-0.0167934217098877</v>
      </c>
      <c r="G386" s="20" t="n">
        <v>0.00391901881908873</v>
      </c>
      <c r="H386" s="20" t="n">
        <v>0.00941383864947775</v>
      </c>
      <c r="I386" s="20" t="n">
        <v>0.0100348283530129</v>
      </c>
      <c r="J386" s="20" t="n">
        <v>0.00916600210815721</v>
      </c>
      <c r="K386" s="20" t="n">
        <v>0.00589974211925359</v>
      </c>
      <c r="L386" s="20" t="n">
        <v>0.0196513210440127</v>
      </c>
      <c r="M386" s="20" t="n">
        <v>0.00449713028758136</v>
      </c>
      <c r="N386" s="20" t="n">
        <v>0.00917634065786998</v>
      </c>
      <c r="O386" s="20" t="n">
        <v>0.00248242175946566</v>
      </c>
      <c r="P386" s="20" t="n">
        <v>0.0224728604392363</v>
      </c>
      <c r="Q386" s="20" t="n">
        <v>0.015504130497411</v>
      </c>
      <c r="R386" s="20" t="n">
        <v>0.0001283559363765</v>
      </c>
      <c r="S386" s="20" t="n">
        <v>0.00726400547800754</v>
      </c>
      <c r="T386" s="20" t="n">
        <v>0.00478544914685352</v>
      </c>
      <c r="U386" s="20" t="n">
        <v>0.00610539766498874</v>
      </c>
      <c r="V386" s="20" t="n">
        <v>0.00874169395325985</v>
      </c>
      <c r="W386" s="20" t="n">
        <v>-0.0110317927698204</v>
      </c>
      <c r="X386" s="20" t="n">
        <v>-0.00578453703684012</v>
      </c>
    </row>
    <row r="387" customFormat="false" ht="13.5" hidden="false" customHeight="true" outlineLevel="0" collapsed="false">
      <c r="A387" s="47" t="n">
        <v>42930</v>
      </c>
      <c r="B387" s="20" t="n">
        <v>-0.00800662364359361</v>
      </c>
      <c r="C387" s="20" t="n">
        <v>0.00149254327983827</v>
      </c>
      <c r="D387" s="20" t="n">
        <v>-0.0084529236390578</v>
      </c>
      <c r="E387" s="20" t="n">
        <v>0.00512379137590857</v>
      </c>
      <c r="F387" s="20" t="n">
        <v>-0.00787889742444214</v>
      </c>
      <c r="G387" s="20" t="n">
        <v>-0.00610286926382475</v>
      </c>
      <c r="H387" s="20" t="n">
        <v>-0.00855436372213258</v>
      </c>
      <c r="I387" s="20" t="n">
        <v>0.0122138802898983</v>
      </c>
      <c r="J387" s="20" t="n">
        <v>-0.00365630769704883</v>
      </c>
      <c r="K387" s="20" t="n">
        <v>0.0408647483047546</v>
      </c>
      <c r="L387" s="20" t="n">
        <v>0.00539086914400099</v>
      </c>
      <c r="M387" s="20" t="n">
        <v>-0.00539894245894378</v>
      </c>
      <c r="N387" s="20" t="n">
        <v>-0.00479619898756267</v>
      </c>
      <c r="O387" s="20" t="n">
        <v>0.00247627459837129</v>
      </c>
      <c r="P387" s="20" t="n">
        <v>-0.00956946751234877</v>
      </c>
      <c r="Q387" s="20" t="n">
        <v>0.00511513643163641</v>
      </c>
      <c r="R387" s="20" t="n">
        <v>0.00473665020045821</v>
      </c>
      <c r="S387" s="20" t="n">
        <v>-0.0194890269095462</v>
      </c>
      <c r="T387" s="20" t="n">
        <v>0.00254291057591515</v>
      </c>
      <c r="U387" s="20" t="n">
        <v>-0.0076035335363338</v>
      </c>
      <c r="V387" s="20" t="n">
        <v>-0.00654906110723008</v>
      </c>
      <c r="W387" s="20" t="n">
        <v>-0.00510488970130307</v>
      </c>
      <c r="X387" s="20" t="n">
        <v>0.00144930876725668</v>
      </c>
    </row>
    <row r="388" customFormat="false" ht="13.5" hidden="false" customHeight="true" outlineLevel="0" collapsed="false">
      <c r="A388" s="47" t="n">
        <v>42933</v>
      </c>
      <c r="B388" s="20" t="n">
        <v>0.00644935958059456</v>
      </c>
      <c r="C388" s="20" t="n">
        <v>0.00260662078503859</v>
      </c>
      <c r="D388" s="20" t="n">
        <v>0.000717073771693499</v>
      </c>
      <c r="E388" s="20" t="n">
        <v>0.000851445686115504</v>
      </c>
      <c r="F388" s="20" t="n">
        <v>-0.0050083927330542</v>
      </c>
      <c r="G388" s="20" t="n">
        <v>-0.0140910126150575</v>
      </c>
      <c r="H388" s="20" t="n">
        <v>0.00855436372213258</v>
      </c>
      <c r="I388" s="20" t="n">
        <v>0.0173001336861018</v>
      </c>
      <c r="J388" s="20" t="n">
        <v>-0.00919973208983449</v>
      </c>
      <c r="K388" s="20" t="n">
        <v>0.00102621530766144</v>
      </c>
      <c r="L388" s="20" t="n">
        <v>0.0128206760190816</v>
      </c>
      <c r="M388" s="20" t="n">
        <v>0.00330282868459264</v>
      </c>
      <c r="N388" s="20" t="n">
        <v>-0.0243320673964051</v>
      </c>
      <c r="O388" s="20" t="n">
        <v>-0.0110528261235893</v>
      </c>
      <c r="P388" s="20" t="n">
        <v>0.0148465447967764</v>
      </c>
      <c r="Q388" s="20" t="n">
        <v>0.00169919362223835</v>
      </c>
      <c r="R388" s="20" t="n">
        <v>-0.00383881528236074</v>
      </c>
      <c r="S388" s="20" t="n">
        <v>-0.00307983892762475</v>
      </c>
      <c r="T388" s="20" t="n">
        <v>0.00031741720138001</v>
      </c>
      <c r="U388" s="20" t="n">
        <v>-0.000545343084805693</v>
      </c>
      <c r="V388" s="20" t="n">
        <v>-0.000912977985016105</v>
      </c>
      <c r="W388" s="20" t="n">
        <v>0.00164368869016939</v>
      </c>
      <c r="X388" s="20" t="n">
        <v>-0.0072675014495469</v>
      </c>
    </row>
    <row r="389" customFormat="false" ht="13.5" hidden="false" customHeight="true" outlineLevel="0" collapsed="false">
      <c r="A389" s="47" t="n">
        <v>42934</v>
      </c>
      <c r="B389" s="20" t="n">
        <v>-0.0429210657584242</v>
      </c>
      <c r="C389" s="20" t="n">
        <v>0.00185768931027441</v>
      </c>
      <c r="D389" s="20" t="n">
        <v>0.00631225114687961</v>
      </c>
      <c r="E389" s="20" t="n">
        <v>0.00678543095093475</v>
      </c>
      <c r="F389" s="20" t="n">
        <v>0.00667224537323596</v>
      </c>
      <c r="G389" s="20" t="n">
        <v>0.0171471028664011</v>
      </c>
      <c r="H389" s="20" t="n">
        <v>-0.00855436372213258</v>
      </c>
      <c r="I389" s="20" t="n">
        <v>0.00890873653171997</v>
      </c>
      <c r="J389" s="20" t="n">
        <v>0.00553000673271375</v>
      </c>
      <c r="K389" s="20" t="n">
        <v>0.00918842922288321</v>
      </c>
      <c r="L389" s="20" t="n">
        <v>0</v>
      </c>
      <c r="M389" s="20" t="n">
        <v>0.00776350042377993</v>
      </c>
      <c r="N389" s="20" t="n">
        <v>0.0155524298798637</v>
      </c>
      <c r="O389" s="20" t="n">
        <v>0.00388240599468936</v>
      </c>
      <c r="P389" s="20" t="n">
        <v>0.0452751798470267</v>
      </c>
      <c r="Q389" s="20" t="n">
        <v>0.00845316801211271</v>
      </c>
      <c r="R389" s="20" t="n">
        <v>-0.0078512612939221</v>
      </c>
      <c r="S389" s="20" t="n">
        <v>0.0165192174359902</v>
      </c>
      <c r="T389" s="20" t="n">
        <v>0.0123010347995329</v>
      </c>
      <c r="U389" s="20" t="n">
        <v>0.0029956614639639</v>
      </c>
      <c r="V389" s="20" t="n">
        <v>0.0060103634577322</v>
      </c>
      <c r="W389" s="20" t="n">
        <v>0.00255147563921376</v>
      </c>
      <c r="X389" s="20" t="n">
        <v>-0.000729677444816001</v>
      </c>
    </row>
    <row r="390" customFormat="false" ht="13.5" hidden="false" customHeight="true" outlineLevel="0" collapsed="false">
      <c r="A390" s="47" t="n">
        <v>42935</v>
      </c>
      <c r="B390" s="20" t="n">
        <v>0.000880821776771512</v>
      </c>
      <c r="C390" s="20" t="n">
        <v>-0.00932322450470124</v>
      </c>
      <c r="D390" s="20" t="n">
        <v>0.00615455407891829</v>
      </c>
      <c r="E390" s="20" t="n">
        <v>-0.0110498460395174</v>
      </c>
      <c r="F390" s="20" t="n">
        <v>-0.00499996591162599</v>
      </c>
      <c r="G390" s="20" t="n">
        <v>0.0138530219488131</v>
      </c>
      <c r="H390" s="20" t="n">
        <v>0.00428632897551262</v>
      </c>
      <c r="I390" s="20" t="n">
        <v>0.00662986987230684</v>
      </c>
      <c r="J390" s="20" t="n">
        <v>0.00549950669138299</v>
      </c>
      <c r="K390" s="20" t="n">
        <v>-0.0220918832827401</v>
      </c>
      <c r="L390" s="20" t="n">
        <v>-0.0312693895459372</v>
      </c>
      <c r="M390" s="20" t="n">
        <v>-0.00238231251859222</v>
      </c>
      <c r="N390" s="20" t="n">
        <v>0.0235304543831751</v>
      </c>
      <c r="O390" s="20" t="n">
        <v>0.0107364935387095</v>
      </c>
      <c r="P390" s="20" t="n">
        <v>-0.0275386610985628</v>
      </c>
      <c r="Q390" s="20" t="n">
        <v>0</v>
      </c>
      <c r="R390" s="20" t="n">
        <v>-0.00297632989690121</v>
      </c>
      <c r="S390" s="20" t="n">
        <v>0</v>
      </c>
      <c r="T390" s="20" t="n">
        <v>-0.00125467419329838</v>
      </c>
      <c r="U390" s="20" t="n">
        <v>0.000543608635089398</v>
      </c>
      <c r="V390" s="20" t="n">
        <v>0.00669623237809347</v>
      </c>
      <c r="W390" s="20" t="n">
        <v>-0.00109265279056014</v>
      </c>
      <c r="X390" s="20" t="n">
        <v>-0.0102715054543929</v>
      </c>
    </row>
    <row r="391" customFormat="false" ht="13.5" hidden="false" customHeight="true" outlineLevel="0" collapsed="false">
      <c r="A391" s="47" t="n">
        <v>42936</v>
      </c>
      <c r="B391" s="20" t="n">
        <v>-0.00393568954952616</v>
      </c>
      <c r="C391" s="20" t="n">
        <v>-0.0296599686703071</v>
      </c>
      <c r="D391" s="20" t="n">
        <v>-0.00106246791111708</v>
      </c>
      <c r="E391" s="20" t="n">
        <v>-0.0146365143800983</v>
      </c>
      <c r="F391" s="20" t="n">
        <v>-0.00586517381684936</v>
      </c>
      <c r="G391" s="20" t="n">
        <v>0</v>
      </c>
      <c r="H391" s="20" t="n">
        <v>-0.00428632897551262</v>
      </c>
      <c r="I391" s="20" t="n">
        <v>0.00731534944153056</v>
      </c>
      <c r="J391" s="20" t="n">
        <v>0</v>
      </c>
      <c r="K391" s="20" t="n">
        <v>0.0726226320584353</v>
      </c>
      <c r="L391" s="20" t="n">
        <v>-0.0121213223170957</v>
      </c>
      <c r="M391" s="20" t="n">
        <v>-0.00179055174311937</v>
      </c>
      <c r="N391" s="20" t="n">
        <v>0.00643923776303179</v>
      </c>
      <c r="O391" s="20" t="n">
        <v>-0.000273918566621844</v>
      </c>
      <c r="P391" s="20" t="n">
        <v>0.0164106090427784</v>
      </c>
      <c r="Q391" s="20" t="n">
        <v>0</v>
      </c>
      <c r="R391" s="20" t="n">
        <v>-0.00168629498100703</v>
      </c>
      <c r="S391" s="20" t="n">
        <v>-0.0140545879286571</v>
      </c>
      <c r="T391" s="20" t="n">
        <v>-0.000627957870686035</v>
      </c>
      <c r="U391" s="20" t="n">
        <v>-0.00231274404558945</v>
      </c>
      <c r="V391" s="20" t="n">
        <v>0.00378077502987483</v>
      </c>
      <c r="W391" s="20" t="n">
        <v>-0.0130217870125703</v>
      </c>
      <c r="X391" s="20" t="n">
        <v>-0.0444852945408924</v>
      </c>
    </row>
    <row r="392" customFormat="false" ht="13.5" hidden="false" customHeight="true" outlineLevel="0" collapsed="false">
      <c r="A392" s="47" t="n">
        <v>42937</v>
      </c>
      <c r="B392" s="20" t="n">
        <v>-0.00743850504357457</v>
      </c>
      <c r="C392" s="20" t="n">
        <v>-0.0186994090285206</v>
      </c>
      <c r="D392" s="20" t="n">
        <v>0.000944441639735949</v>
      </c>
      <c r="E392" s="20" t="n">
        <v>-0.0210349363387449</v>
      </c>
      <c r="F392" s="20" t="n">
        <v>0.00461122646732414</v>
      </c>
      <c r="G392" s="20" t="n">
        <v>-0.00129062985405958</v>
      </c>
      <c r="H392" s="20" t="n">
        <v>0.00599572942914772</v>
      </c>
      <c r="I392" s="20" t="n">
        <v>-0.0213636085018955</v>
      </c>
      <c r="J392" s="20" t="n">
        <v>-0.0165901826324619</v>
      </c>
      <c r="K392" s="20" t="n">
        <v>0.0517763323961458</v>
      </c>
      <c r="L392" s="20" t="n">
        <v>0.0186715058830695</v>
      </c>
      <c r="M392" s="20" t="n">
        <v>-0.00479042380881944</v>
      </c>
      <c r="N392" s="20" t="n">
        <v>-0.0264485651470307</v>
      </c>
      <c r="O392" s="20" t="n">
        <v>-0.00769865742269626</v>
      </c>
      <c r="P392" s="20" t="n">
        <v>0.0121336056034304</v>
      </c>
      <c r="Q392" s="20" t="n">
        <v>-0.00337268122422251</v>
      </c>
      <c r="R392" s="20" t="n">
        <v>0.000908320260615269</v>
      </c>
      <c r="S392" s="20" t="n">
        <v>-0.00123155545403275</v>
      </c>
      <c r="T392" s="20" t="n">
        <v>0.000627957870686035</v>
      </c>
      <c r="U392" s="20" t="n">
        <v>-0.0106806272386137</v>
      </c>
      <c r="V392" s="20" t="n">
        <v>-0.000898931328089602</v>
      </c>
      <c r="W392" s="20" t="n">
        <v>0.00184438064244352</v>
      </c>
      <c r="X392" s="20" t="n">
        <v>0.0168199159994366</v>
      </c>
    </row>
    <row r="393" customFormat="false" ht="13.5" hidden="false" customHeight="true" outlineLevel="0" collapsed="false">
      <c r="A393" s="47" t="n">
        <v>42940</v>
      </c>
      <c r="B393" s="20" t="n">
        <v>0.00136899838487547</v>
      </c>
      <c r="C393" s="20" t="n">
        <v>0.000393141039320976</v>
      </c>
      <c r="D393" s="20" t="n">
        <v>-0.0305540501243513</v>
      </c>
      <c r="E393" s="20" t="n">
        <v>-0.00177300611316333</v>
      </c>
      <c r="F393" s="20" t="n">
        <v>0.0235596638561559</v>
      </c>
      <c r="G393" s="20" t="n">
        <v>0.0191862958266892</v>
      </c>
      <c r="H393" s="20" t="n">
        <v>-0.00256519769937657</v>
      </c>
      <c r="I393" s="20" t="n">
        <v>-0.000744896029956088</v>
      </c>
      <c r="J393" s="20" t="n">
        <v>0.00185696470490515</v>
      </c>
      <c r="K393" s="20" t="n">
        <v>-0.00921664599106431</v>
      </c>
      <c r="L393" s="20" t="n">
        <v>0.0405172828686128</v>
      </c>
      <c r="M393" s="20" t="n">
        <v>-0.00662457185574938</v>
      </c>
      <c r="N393" s="20" t="n">
        <v>0.008748912262031</v>
      </c>
      <c r="O393" s="20" t="n">
        <v>-0.000276006114324101</v>
      </c>
      <c r="P393" s="20" t="n">
        <v>0.0394140245671876</v>
      </c>
      <c r="Q393" s="20" t="n">
        <v>0</v>
      </c>
      <c r="R393" s="20" t="n">
        <v>0.0232047481632511</v>
      </c>
      <c r="S393" s="20" t="n">
        <v>-0.0142726310819325</v>
      </c>
      <c r="T393" s="20" t="n">
        <v>0.00812753218545969</v>
      </c>
      <c r="U393" s="20" t="n">
        <v>-0.00552184635318742</v>
      </c>
      <c r="V393" s="20" t="n">
        <v>0.00627527458135634</v>
      </c>
      <c r="W393" s="20" t="n">
        <v>0.0144519281459354</v>
      </c>
      <c r="X393" s="20" t="n">
        <v>0.0157957435729976</v>
      </c>
    </row>
    <row r="394" customFormat="false" ht="13.5" hidden="false" customHeight="true" outlineLevel="0" collapsed="false">
      <c r="A394" s="47" t="n">
        <v>42941</v>
      </c>
      <c r="B394" s="20" t="n">
        <v>-0.00569373393693961</v>
      </c>
      <c r="C394" s="20" t="n">
        <v>0.00587895347448919</v>
      </c>
      <c r="D394" s="20" t="n">
        <v>-0.00426759296863998</v>
      </c>
      <c r="E394" s="20" t="n">
        <v>-0.0188093346353634</v>
      </c>
      <c r="F394" s="20" t="n">
        <v>-0.0110907058107443</v>
      </c>
      <c r="G394" s="20" t="n">
        <v>0.00168772227827318</v>
      </c>
      <c r="H394" s="20" t="n">
        <v>0.0034188034047502</v>
      </c>
      <c r="I394" s="20" t="n">
        <v>0.0271975518103042</v>
      </c>
      <c r="J394" s="20" t="n">
        <v>0</v>
      </c>
      <c r="K394" s="20" t="n">
        <v>0</v>
      </c>
      <c r="L394" s="20" t="n">
        <v>-0.0189878437933015</v>
      </c>
      <c r="M394" s="20" t="n">
        <v>-0.00636459464034988</v>
      </c>
      <c r="N394" s="20" t="n">
        <v>-0.0043648465102728</v>
      </c>
      <c r="O394" s="20" t="n">
        <v>0.0487638036840145</v>
      </c>
      <c r="P394" s="20" t="n">
        <v>-0.032403415226641</v>
      </c>
      <c r="Q394" s="20" t="n">
        <v>0.00337268122422251</v>
      </c>
      <c r="R394" s="20" t="n">
        <v>-0.0078881163277531</v>
      </c>
      <c r="S394" s="20" t="n">
        <v>0.0031200798010742</v>
      </c>
      <c r="T394" s="20" t="n">
        <v>-0.0144248061913749</v>
      </c>
      <c r="U394" s="20" t="n">
        <v>-0.00708476259951496</v>
      </c>
      <c r="V394" s="20" t="n">
        <v>0.000536027516007564</v>
      </c>
      <c r="W394" s="20" t="n">
        <v>-0.00272804614427091</v>
      </c>
      <c r="X394" s="20" t="n">
        <v>-0.0165541262601545</v>
      </c>
    </row>
    <row r="395" customFormat="false" ht="13.5" hidden="false" customHeight="true" outlineLevel="0" collapsed="false">
      <c r="A395" s="47" t="n">
        <v>42942</v>
      </c>
      <c r="B395" s="20" t="n">
        <v>-0.00199699324852176</v>
      </c>
      <c r="C395" s="20" t="n">
        <v>0.00778512211168935</v>
      </c>
      <c r="D395" s="20" t="n">
        <v>0.0143154252934643</v>
      </c>
      <c r="E395" s="20" t="n">
        <v>0.0107914609893189</v>
      </c>
      <c r="F395" s="20" t="n">
        <v>-0.00413901562551854</v>
      </c>
      <c r="G395" s="20" t="n">
        <v>0.00964981053086466</v>
      </c>
      <c r="H395" s="20" t="n">
        <v>-0.00256300615900872</v>
      </c>
      <c r="I395" s="20" t="n">
        <v>-0.0737175403733272</v>
      </c>
      <c r="J395" s="20" t="n">
        <v>0.0784716271258167</v>
      </c>
      <c r="K395" s="20" t="n">
        <v>0</v>
      </c>
      <c r="L395" s="20" t="n">
        <v>0.00212760759901975</v>
      </c>
      <c r="M395" s="20" t="n">
        <v>0.00333891982287459</v>
      </c>
      <c r="N395" s="20" t="n">
        <v>0.0318580431293278</v>
      </c>
      <c r="O395" s="20" t="n">
        <v>0.0356442974933637</v>
      </c>
      <c r="P395" s="20" t="n">
        <v>0.0265894047970545</v>
      </c>
      <c r="Q395" s="20" t="n">
        <v>0.0150379025255538</v>
      </c>
      <c r="R395" s="20" t="n">
        <v>0.00801476533913714</v>
      </c>
      <c r="S395" s="20" t="n">
        <v>-0.0112782747136854</v>
      </c>
      <c r="T395" s="20" t="n">
        <v>-0.00284675673002476</v>
      </c>
      <c r="U395" s="20" t="n">
        <v>0.0306152772023233</v>
      </c>
      <c r="V395" s="20" t="n">
        <v>-0.0315758013327114</v>
      </c>
      <c r="W395" s="20" t="n">
        <v>-0.00364898717036066</v>
      </c>
      <c r="X395" s="20" t="n">
        <v>-0.00456277743550881</v>
      </c>
    </row>
    <row r="396" customFormat="false" ht="13.5" hidden="false" customHeight="true" outlineLevel="0" collapsed="false">
      <c r="A396" s="47" t="n">
        <v>42943</v>
      </c>
      <c r="B396" s="20" t="n">
        <v>-0.00539131825949734</v>
      </c>
      <c r="C396" s="20" t="n">
        <v>-0.0101325887603702</v>
      </c>
      <c r="D396" s="20" t="n">
        <v>0.000963181309789895</v>
      </c>
      <c r="E396" s="20" t="n">
        <v>-0.000894875112170012</v>
      </c>
      <c r="F396" s="20" t="n">
        <v>-0.0033236391854774</v>
      </c>
      <c r="G396" s="20" t="n">
        <v>0.0136846387591562</v>
      </c>
      <c r="H396" s="20" t="n">
        <v>0.00766939526011078</v>
      </c>
      <c r="I396" s="20" t="n">
        <v>0.0185619997187953</v>
      </c>
      <c r="J396" s="20" t="n">
        <v>-0.00343642626075713</v>
      </c>
      <c r="K396" s="20" t="n">
        <v>-0.000926398131960382</v>
      </c>
      <c r="L396" s="20" t="n">
        <v>0.0272553799731749</v>
      </c>
      <c r="M396" s="20" t="n">
        <v>0.00453520119492001</v>
      </c>
      <c r="N396" s="20" t="n">
        <v>-0.0136520758372169</v>
      </c>
      <c r="O396" s="20" t="n">
        <v>-0.0104579412054595</v>
      </c>
      <c r="P396" s="20" t="n">
        <v>-0.0127141190069268</v>
      </c>
      <c r="Q396" s="20" t="n">
        <v>0.00331125803599197</v>
      </c>
      <c r="R396" s="20" t="n">
        <v>0.0104620837119417</v>
      </c>
      <c r="S396" s="20" t="n">
        <v>-0.0178008344699356</v>
      </c>
      <c r="T396" s="20" t="n">
        <v>-0.00158501339062411</v>
      </c>
      <c r="U396" s="20" t="n">
        <v>-0.0997276618855016</v>
      </c>
      <c r="V396" s="20" t="n">
        <v>0.0188115995501645</v>
      </c>
      <c r="W396" s="20" t="n">
        <v>-0.0261101744838101</v>
      </c>
      <c r="X396" s="20" t="n">
        <v>0.0038037467548877</v>
      </c>
    </row>
    <row r="397" customFormat="false" ht="13.5" hidden="false" customHeight="true" outlineLevel="0" collapsed="false">
      <c r="A397" s="47" t="n">
        <v>42944</v>
      </c>
      <c r="B397" s="20" t="n">
        <v>0.00263015720593795</v>
      </c>
      <c r="C397" s="20" t="n">
        <v>0.00312868091165618</v>
      </c>
      <c r="D397" s="20" t="n">
        <v>-0.00530883011257365</v>
      </c>
      <c r="E397" s="20" t="n">
        <v>0.00446630398254477</v>
      </c>
      <c r="F397" s="20" t="n">
        <v>0.00373832833018328</v>
      </c>
      <c r="G397" s="20" t="n">
        <v>0.00983613526541216</v>
      </c>
      <c r="H397" s="20" t="n">
        <v>0.0109751945398191</v>
      </c>
      <c r="I397" s="20" t="n">
        <v>0.0061115486462917</v>
      </c>
      <c r="J397" s="20" t="n">
        <v>0.00856906535774526</v>
      </c>
      <c r="K397" s="20" t="n">
        <v>0.0101430441230246</v>
      </c>
      <c r="L397" s="20" t="n">
        <v>0.0365522579958725</v>
      </c>
      <c r="M397" s="20" t="n">
        <v>0.000301563004128979</v>
      </c>
      <c r="N397" s="20" t="n">
        <v>-0.000429655372280457</v>
      </c>
      <c r="O397" s="20" t="n">
        <v>0</v>
      </c>
      <c r="P397" s="20" t="n">
        <v>-0.00989122074884862</v>
      </c>
      <c r="Q397" s="20" t="n">
        <v>0.00494637986055601</v>
      </c>
      <c r="R397" s="20" t="n">
        <v>0.00225451379101215</v>
      </c>
      <c r="S397" s="20" t="n">
        <v>-0.00192614713933503</v>
      </c>
      <c r="T397" s="20" t="n">
        <v>-0.00222327210738226</v>
      </c>
      <c r="U397" s="20" t="n">
        <v>-0.0298710885735804</v>
      </c>
      <c r="V397" s="20" t="n">
        <v>0.0290650938216492</v>
      </c>
      <c r="W397" s="20" t="n">
        <v>0.011935975394242</v>
      </c>
      <c r="X397" s="20" t="n">
        <v>0.00605603088403139</v>
      </c>
    </row>
    <row r="398" customFormat="false" ht="13.5" hidden="false" customHeight="true" outlineLevel="0" collapsed="false">
      <c r="A398" s="47" t="n">
        <v>42947</v>
      </c>
      <c r="B398" s="20" t="n">
        <v>0.00434531759465706</v>
      </c>
      <c r="C398" s="20" t="n">
        <v>-0.00666016773746447</v>
      </c>
      <c r="D398" s="20" t="n">
        <v>-0.00351452708926558</v>
      </c>
      <c r="E398" s="20" t="n">
        <v>-0.0243584850501084</v>
      </c>
      <c r="F398" s="20" t="n">
        <v>0.0135888404718764</v>
      </c>
      <c r="G398" s="20" t="n">
        <v>0.00325732870821449</v>
      </c>
      <c r="H398" s="20" t="n">
        <v>0.0305935104001635</v>
      </c>
      <c r="I398" s="20" t="n">
        <v>-0.00458019274389531</v>
      </c>
      <c r="J398" s="20" t="n">
        <v>-0.0120173413764688</v>
      </c>
      <c r="K398" s="20" t="n">
        <v>-0.0185190293691656</v>
      </c>
      <c r="L398" s="20" t="n">
        <v>-0.0140563950020808</v>
      </c>
      <c r="M398" s="20" t="n">
        <v>-0.00241540015772212</v>
      </c>
      <c r="N398" s="20" t="n">
        <v>0.00386018710205116</v>
      </c>
      <c r="O398" s="20" t="n">
        <v>-0.00308163906530856</v>
      </c>
      <c r="P398" s="20" t="n">
        <v>-0.00398406504127901</v>
      </c>
      <c r="Q398" s="20" t="n">
        <v>0.00492211160555911</v>
      </c>
      <c r="R398" s="20" t="n">
        <v>-0.00288170795035913</v>
      </c>
      <c r="S398" s="20" t="n">
        <v>0.013405884284547</v>
      </c>
      <c r="T398" s="20" t="n">
        <v>0.00633912913217393</v>
      </c>
      <c r="U398" s="20" t="n">
        <v>0.00812449896004707</v>
      </c>
      <c r="V398" s="20" t="n">
        <v>-0.0139813073084891</v>
      </c>
      <c r="W398" s="20" t="n">
        <v>0.00259217334098815</v>
      </c>
      <c r="X398" s="20" t="n">
        <v>0.00526908976891693</v>
      </c>
    </row>
    <row r="399" customFormat="false" ht="13.5" hidden="false" customHeight="true" outlineLevel="0" collapsed="false">
      <c r="A399" s="47" t="n">
        <v>42948</v>
      </c>
      <c r="B399" s="20" t="n">
        <v>-0.00586718579388545</v>
      </c>
      <c r="C399" s="20" t="n">
        <v>0.00313973198176897</v>
      </c>
      <c r="D399" s="20" t="n">
        <v>-0.00669961752619308</v>
      </c>
      <c r="E399" s="20" t="n">
        <v>0.00455583395457015</v>
      </c>
      <c r="F399" s="20" t="n">
        <v>0.00570961530843527</v>
      </c>
      <c r="G399" s="20" t="n">
        <v>0.00121871961360398</v>
      </c>
      <c r="H399" s="20" t="n">
        <v>0.0145515771774471</v>
      </c>
      <c r="I399" s="20" t="n">
        <v>-0.00845181041922948</v>
      </c>
      <c r="J399" s="20" t="n">
        <v>-0.0191810824854941</v>
      </c>
      <c r="K399" s="20" t="n">
        <v>-0.0478560888977729</v>
      </c>
      <c r="L399" s="20" t="n">
        <v>0.00101053825949692</v>
      </c>
      <c r="M399" s="20" t="n">
        <v>-0.00484860532028497</v>
      </c>
      <c r="N399" s="20" t="n">
        <v>0.0161361954522432</v>
      </c>
      <c r="O399" s="20" t="n">
        <v>-0.0158136956653036</v>
      </c>
      <c r="P399" s="20" t="n">
        <v>-0.0211808249900609</v>
      </c>
      <c r="Q399" s="20" t="n">
        <v>0.0130083009052321</v>
      </c>
      <c r="R399" s="20" t="n">
        <v>0.000627194159346977</v>
      </c>
      <c r="S399" s="20" t="n">
        <v>-0.00572339561744339</v>
      </c>
      <c r="T399" s="20" t="n">
        <v>-0.00411585702479166</v>
      </c>
      <c r="U399" s="20" t="n">
        <v>0.000763114124683994</v>
      </c>
      <c r="V399" s="20" t="n">
        <v>-0.0158077850158679</v>
      </c>
      <c r="W399" s="20" t="n">
        <v>-0.00854235270524528</v>
      </c>
      <c r="X399" s="20" t="n">
        <v>0</v>
      </c>
    </row>
    <row r="400" customFormat="false" ht="13.5" hidden="false" customHeight="true" outlineLevel="0" collapsed="false">
      <c r="A400" s="47" t="n">
        <v>42949</v>
      </c>
      <c r="B400" s="20" t="n">
        <v>0.00338647473988729</v>
      </c>
      <c r="C400" s="20" t="n">
        <v>0.00936040123975612</v>
      </c>
      <c r="D400" s="20" t="n">
        <v>0.00134351910714958</v>
      </c>
      <c r="E400" s="20" t="n">
        <v>-0.00638394268899222</v>
      </c>
      <c r="F400" s="20" t="n">
        <v>-0.00898696035911728</v>
      </c>
      <c r="G400" s="20" t="n">
        <v>-0.0234144897091961</v>
      </c>
      <c r="H400" s="20" t="n">
        <v>-0.00321543389595024</v>
      </c>
      <c r="I400" s="20" t="n">
        <v>-0.0116415452019622</v>
      </c>
      <c r="J400" s="20" t="n">
        <v>-0.00706716067378554</v>
      </c>
      <c r="K400" s="20" t="n">
        <v>-0.0502617865863102</v>
      </c>
      <c r="L400" s="20" t="n">
        <v>-0.00811362731883713</v>
      </c>
      <c r="M400" s="20" t="n">
        <v>0.015373389373285</v>
      </c>
      <c r="N400" s="20" t="n">
        <v>-0.0563162750864782</v>
      </c>
      <c r="O400" s="20" t="n">
        <v>0.000261223296922352</v>
      </c>
      <c r="P400" s="20" t="n">
        <v>-0.0448225411329965</v>
      </c>
      <c r="Q400" s="20" t="n">
        <v>-0.00648299861519485</v>
      </c>
      <c r="R400" s="20" t="n">
        <v>-0.0145250616430105</v>
      </c>
      <c r="S400" s="20" t="n">
        <v>-0.0115460104598019</v>
      </c>
      <c r="T400" s="20" t="n">
        <v>0.00126819954305812</v>
      </c>
      <c r="U400" s="20" t="n">
        <v>-0.000152599526236585</v>
      </c>
      <c r="V400" s="20" t="n">
        <v>0.00487674512760794</v>
      </c>
      <c r="W400" s="20" t="n">
        <v>-0.00411133834706278</v>
      </c>
      <c r="X400" s="20" t="n">
        <v>-0.0120847278988014</v>
      </c>
    </row>
    <row r="401" customFormat="false" ht="13.5" hidden="false" customHeight="true" outlineLevel="0" collapsed="false">
      <c r="A401" s="47" t="n">
        <v>42950</v>
      </c>
      <c r="B401" s="20" t="n">
        <v>0.00151672704756844</v>
      </c>
      <c r="C401" s="20" t="n">
        <v>0.000776137734394222</v>
      </c>
      <c r="D401" s="20" t="n">
        <v>0.00462734944487941</v>
      </c>
      <c r="E401" s="20" t="n">
        <v>0.00182810873442207</v>
      </c>
      <c r="F401" s="20" t="n">
        <v>0.0243221747185962</v>
      </c>
      <c r="G401" s="20" t="n">
        <v>0.002905156507647</v>
      </c>
      <c r="H401" s="20" t="n">
        <v>-0.00484262000285351</v>
      </c>
      <c r="I401" s="20" t="n">
        <v>-0.0197089542165804</v>
      </c>
      <c r="J401" s="20" t="n">
        <v>-0.0142859438661591</v>
      </c>
      <c r="K401" s="20" t="n">
        <v>-0.0208341289462697</v>
      </c>
      <c r="L401" s="20" t="n">
        <v>0.0151595194675664</v>
      </c>
      <c r="M401" s="20" t="n">
        <v>0.0062621074003144</v>
      </c>
      <c r="N401" s="20" t="n">
        <v>0.00133595118506057</v>
      </c>
      <c r="O401" s="20" t="n">
        <v>0.00391087782187815</v>
      </c>
      <c r="P401" s="20" t="n">
        <v>0.0366340739326291</v>
      </c>
      <c r="Q401" s="20" t="n">
        <v>-0.00489001950058765</v>
      </c>
      <c r="R401" s="20" t="n">
        <v>-0.00804752704437294</v>
      </c>
      <c r="S401" s="20" t="n">
        <v>0.0032206269659496</v>
      </c>
      <c r="T401" s="20" t="n">
        <v>0.00757578673862857</v>
      </c>
      <c r="U401" s="20" t="n">
        <v>-0.000305268930091529</v>
      </c>
      <c r="V401" s="20" t="n">
        <v>0.00807542764163926</v>
      </c>
      <c r="W401" s="20" t="n">
        <v>-0.0105422919988007</v>
      </c>
      <c r="X401" s="20" t="n">
        <v>0.0105821352663286</v>
      </c>
    </row>
    <row r="402" customFormat="false" ht="13.5" hidden="false" customHeight="true" outlineLevel="0" collapsed="false">
      <c r="A402" s="47" t="n">
        <v>42951</v>
      </c>
      <c r="B402" s="20" t="n">
        <v>-0.0117106449542383</v>
      </c>
      <c r="C402" s="20" t="n">
        <v>-0.00583549877483635</v>
      </c>
      <c r="D402" s="20" t="n">
        <v>-0.0029200394002995</v>
      </c>
      <c r="E402" s="20" t="n">
        <v>-0.00274346154041671</v>
      </c>
      <c r="F402" s="20" t="n">
        <v>-0.000400569971417574</v>
      </c>
      <c r="G402" s="20" t="n">
        <v>0.00989705721699518</v>
      </c>
      <c r="H402" s="20" t="n">
        <v>0.014458069884836</v>
      </c>
      <c r="I402" s="20" t="n">
        <v>0</v>
      </c>
      <c r="J402" s="20" t="n">
        <v>0.00716848274016346</v>
      </c>
      <c r="K402" s="20" t="n">
        <v>0.0310906190811184</v>
      </c>
      <c r="L402" s="20" t="n">
        <v>0.0374059458113786</v>
      </c>
      <c r="M402" s="20" t="n">
        <v>-0.00985812352794424</v>
      </c>
      <c r="N402" s="20" t="n">
        <v>-0.00580225516760535</v>
      </c>
      <c r="O402" s="20" t="n">
        <v>0.00233918629588236</v>
      </c>
      <c r="P402" s="20" t="n">
        <v>0</v>
      </c>
      <c r="Q402" s="20" t="n">
        <v>0.00489001950058765</v>
      </c>
      <c r="R402" s="20" t="n">
        <v>0.0146415690510171</v>
      </c>
      <c r="S402" s="20" t="n">
        <v>0.00832538349385236</v>
      </c>
      <c r="T402" s="20" t="n">
        <v>0.00125709997419143</v>
      </c>
      <c r="U402" s="20" t="n">
        <v>0.00714779471373372</v>
      </c>
      <c r="V402" s="20" t="n">
        <v>0.00623607320029417</v>
      </c>
      <c r="W402" s="20" t="n">
        <v>-0.00569368085912591</v>
      </c>
      <c r="X402" s="20" t="n">
        <v>-0.00150492562797888</v>
      </c>
    </row>
    <row r="403" customFormat="false" ht="13.5" hidden="false" customHeight="true" outlineLevel="0" collapsed="false">
      <c r="A403" s="47" t="n">
        <v>42954</v>
      </c>
      <c r="B403" s="20" t="n">
        <v>-0.00952455272002605</v>
      </c>
      <c r="C403" s="20" t="n">
        <v>-0.00273486320613391</v>
      </c>
      <c r="D403" s="20" t="n">
        <v>-0.00121919636612766</v>
      </c>
      <c r="E403" s="20" t="n">
        <v>-0.00275100883209145</v>
      </c>
      <c r="F403" s="20" t="n">
        <v>-0.00240671867085273</v>
      </c>
      <c r="G403" s="20" t="n">
        <v>-0.00989705721699518</v>
      </c>
      <c r="H403" s="20" t="n">
        <v>0.0103135062172108</v>
      </c>
      <c r="I403" s="20" t="n">
        <v>-0.000796513673235299</v>
      </c>
      <c r="J403" s="20" t="n">
        <v>-0.00896861858622033</v>
      </c>
      <c r="K403" s="20" t="n">
        <v>0.00508906456768931</v>
      </c>
      <c r="L403" s="20" t="n">
        <v>-0.0145988549776272</v>
      </c>
      <c r="M403" s="20" t="n">
        <v>-0.000901114159951532</v>
      </c>
      <c r="N403" s="20" t="n">
        <v>-0.0212629274089071</v>
      </c>
      <c r="O403" s="20" t="n">
        <v>-0.00416233288733369</v>
      </c>
      <c r="P403" s="20" t="n">
        <v>0.0163103311974643</v>
      </c>
      <c r="Q403" s="20" t="n">
        <v>0.00162465544934087</v>
      </c>
      <c r="R403" s="20" t="n">
        <v>-0.00697577872498289</v>
      </c>
      <c r="S403" s="20" t="n">
        <v>-0.00511509567632417</v>
      </c>
      <c r="T403" s="20" t="n">
        <v>-0.00535350280893842</v>
      </c>
      <c r="U403" s="20" t="n">
        <v>-0.00928682373674671</v>
      </c>
      <c r="V403" s="20" t="n">
        <v>0.0107765483394963</v>
      </c>
      <c r="W403" s="20" t="n">
        <v>0.00323037181524243</v>
      </c>
      <c r="X403" s="20" t="n">
        <v>0.00525728948007309</v>
      </c>
    </row>
    <row r="404" customFormat="false" ht="13.5" hidden="false" customHeight="true" outlineLevel="0" collapsed="false">
      <c r="A404" s="47" t="n">
        <v>42955</v>
      </c>
      <c r="B404" s="20" t="n">
        <v>-0.00239535363258802</v>
      </c>
      <c r="C404" s="20" t="n">
        <v>0.00585135608902831</v>
      </c>
      <c r="D404" s="20" t="n">
        <v>0.00729307317636163</v>
      </c>
      <c r="E404" s="20" t="n">
        <v>0.00275100883209145</v>
      </c>
      <c r="F404" s="20" t="n">
        <v>-0.00644643043773918</v>
      </c>
      <c r="G404" s="20" t="n">
        <v>-0.00790512241927299</v>
      </c>
      <c r="H404" s="20" t="n">
        <v>-0.0143086563648755</v>
      </c>
      <c r="I404" s="20" t="n">
        <v>0.0134548981290172</v>
      </c>
      <c r="J404" s="20" t="n">
        <v>0</v>
      </c>
      <c r="K404" s="20" t="n">
        <v>0.00506329706666153</v>
      </c>
      <c r="L404" s="20" t="n">
        <v>-0.0158105911266446</v>
      </c>
      <c r="M404" s="20" t="n">
        <v>0.00509523010936563</v>
      </c>
      <c r="N404" s="20" t="n">
        <v>-0.00228890664353542</v>
      </c>
      <c r="O404" s="20" t="n">
        <v>0</v>
      </c>
      <c r="P404" s="20" t="n">
        <v>-0.0111847236055844</v>
      </c>
      <c r="Q404" s="20" t="n">
        <v>-0.00651467494992852</v>
      </c>
      <c r="R404" s="20" t="n">
        <v>0.0108861911835083</v>
      </c>
      <c r="S404" s="20" t="n">
        <v>-0.00643091478347779</v>
      </c>
      <c r="T404" s="20" t="n">
        <v>-0.00158000463703089</v>
      </c>
      <c r="U404" s="20" t="n">
        <v>-0.00107123275379805</v>
      </c>
      <c r="V404" s="20" t="n">
        <v>0.00857325997495817</v>
      </c>
      <c r="W404" s="20" t="n">
        <v>0.00151662268036689</v>
      </c>
      <c r="X404" s="20" t="n">
        <v>-0.0135748918725697</v>
      </c>
    </row>
    <row r="405" customFormat="false" ht="13.5" hidden="false" customHeight="true" outlineLevel="0" collapsed="false">
      <c r="A405" s="47" t="n">
        <v>42956</v>
      </c>
      <c r="B405" s="20" t="n">
        <v>0.000493579681252853</v>
      </c>
      <c r="C405" s="20" t="n">
        <v>-0.0160755897421887</v>
      </c>
      <c r="D405" s="20" t="n">
        <v>-0.006317560003394</v>
      </c>
      <c r="E405" s="20" t="n">
        <v>-0.013831443631497</v>
      </c>
      <c r="F405" s="20" t="n">
        <v>-0.0253799510597811</v>
      </c>
      <c r="G405" s="20" t="n">
        <v>-0.0155760184375943</v>
      </c>
      <c r="H405" s="20" t="n">
        <v>-0.0194023680735764</v>
      </c>
      <c r="I405" s="20" t="n">
        <v>0.0240787917385616</v>
      </c>
      <c r="J405" s="20" t="n">
        <v>-0.00904986988655931</v>
      </c>
      <c r="K405" s="20" t="n">
        <v>-0.0204088517691994</v>
      </c>
      <c r="L405" s="20" t="n">
        <v>-0.0191056165521961</v>
      </c>
      <c r="M405" s="20" t="n">
        <v>-0.000897341004534091</v>
      </c>
      <c r="N405" s="20" t="n">
        <v>-0.00643677577104817</v>
      </c>
      <c r="O405" s="20" t="n">
        <v>-0.00444160064839893</v>
      </c>
      <c r="P405" s="20" t="n">
        <v>-0.0227516857868974</v>
      </c>
      <c r="Q405" s="20" t="n">
        <v>-0.0115037742555648</v>
      </c>
      <c r="R405" s="20" t="n">
        <v>-0.00365770624213634</v>
      </c>
      <c r="S405" s="20" t="n">
        <v>-0.0294620200569033</v>
      </c>
      <c r="T405" s="20" t="n">
        <v>-0.0198026538374</v>
      </c>
      <c r="U405" s="20" t="n">
        <v>-0.00830264516645229</v>
      </c>
      <c r="V405" s="20" t="n">
        <v>-0.0142120360579687</v>
      </c>
      <c r="W405" s="20" t="n">
        <v>-0.0160400639470723</v>
      </c>
      <c r="X405" s="20" t="n">
        <v>-0.0277153728825942</v>
      </c>
    </row>
    <row r="406" customFormat="false" ht="13.5" hidden="false" customHeight="true" outlineLevel="0" collapsed="false">
      <c r="A406" s="47" t="n">
        <v>42957</v>
      </c>
      <c r="B406" s="20" t="n">
        <v>0</v>
      </c>
      <c r="C406" s="20" t="n">
        <v>-0.00396037694793127</v>
      </c>
      <c r="D406" s="20" t="n">
        <v>-0.0110295419661881</v>
      </c>
      <c r="E406" s="20" t="n">
        <v>0</v>
      </c>
      <c r="F406" s="20" t="n">
        <v>-0.0108379644027674</v>
      </c>
      <c r="G406" s="20" t="n">
        <v>-0.00339991507338144</v>
      </c>
      <c r="H406" s="20" t="n">
        <v>0.00893944833640514</v>
      </c>
      <c r="I406" s="20" t="n">
        <v>-0.00230501318183184</v>
      </c>
      <c r="J406" s="20" t="n">
        <v>0.0126469925196854</v>
      </c>
      <c r="K406" s="20" t="n">
        <v>-0.0103628388823701</v>
      </c>
      <c r="L406" s="20" t="n">
        <v>-0.0163771113133108</v>
      </c>
      <c r="M406" s="20" t="n">
        <v>-0.00509970127619396</v>
      </c>
      <c r="N406" s="20" t="n">
        <v>-0.000922956119659978</v>
      </c>
      <c r="O406" s="20" t="n">
        <v>-0.00235942319464488</v>
      </c>
      <c r="P406" s="20" t="n">
        <v>0.0135066116423079</v>
      </c>
      <c r="Q406" s="20" t="n">
        <v>0.0115037742555648</v>
      </c>
      <c r="R406" s="20" t="n">
        <v>0.00340592277861873</v>
      </c>
      <c r="S406" s="20" t="n">
        <v>0.0223399662906613</v>
      </c>
      <c r="T406" s="20" t="n">
        <v>0.0150474847721189</v>
      </c>
      <c r="U406" s="20" t="n">
        <v>-0.00712737918261741</v>
      </c>
      <c r="V406" s="20" t="n">
        <v>0.00247086941850405</v>
      </c>
      <c r="W406" s="20" t="n">
        <v>-0.00019255243661842</v>
      </c>
      <c r="X406" s="20" t="n">
        <v>-0.00705056976079854</v>
      </c>
    </row>
    <row r="407" customFormat="false" ht="13.5" hidden="false" customHeight="true" outlineLevel="0" collapsed="false">
      <c r="A407" s="47" t="n">
        <v>42958</v>
      </c>
      <c r="B407" s="20" t="n">
        <v>0.00337845887325194</v>
      </c>
      <c r="C407" s="20" t="n">
        <v>0.00632908067058002</v>
      </c>
      <c r="D407" s="20" t="n">
        <v>0.00418097435370423</v>
      </c>
      <c r="E407" s="20" t="n">
        <v>0.0129152521870348</v>
      </c>
      <c r="F407" s="20" t="n">
        <v>0.0231990295564941</v>
      </c>
      <c r="G407" s="20" t="n">
        <v>0.00382410294666613</v>
      </c>
      <c r="H407" s="20" t="n">
        <v>0.0072552216381978</v>
      </c>
      <c r="I407" s="20" t="n">
        <v>-0.0131631847805189</v>
      </c>
      <c r="J407" s="20" t="n">
        <v>0.0107143777204716</v>
      </c>
      <c r="K407" s="20" t="n">
        <v>0.025708393584908</v>
      </c>
      <c r="L407" s="20" t="n">
        <v>0.00411946655270956</v>
      </c>
      <c r="M407" s="20" t="n">
        <v>0.00180292633131395</v>
      </c>
      <c r="N407" s="20" t="n">
        <v>0.0137553404224894</v>
      </c>
      <c r="O407" s="20" t="n">
        <v>0.0104439992103992</v>
      </c>
      <c r="P407" s="20" t="n">
        <v>-0.0166496929522788</v>
      </c>
      <c r="Q407" s="20" t="n">
        <v>0</v>
      </c>
      <c r="R407" s="20" t="n">
        <v>-0.00138618389908806</v>
      </c>
      <c r="S407" s="20" t="n">
        <v>0.0103426807321915</v>
      </c>
      <c r="T407" s="20" t="n">
        <v>0.0116886765112504</v>
      </c>
      <c r="U407" s="20" t="n">
        <v>0.00820753820462183</v>
      </c>
      <c r="V407" s="20" t="n">
        <v>0.0155665478498399</v>
      </c>
      <c r="W407" s="20" t="n">
        <v>0.0171793027472073</v>
      </c>
      <c r="X407" s="20" t="n">
        <v>0.0186921149627607</v>
      </c>
    </row>
    <row r="408" customFormat="false" ht="13.5" hidden="false" customHeight="true" outlineLevel="0" collapsed="false">
      <c r="A408" s="47" t="n">
        <v>42961</v>
      </c>
      <c r="B408" s="20" t="n">
        <v>-0.00175814938303453</v>
      </c>
      <c r="C408" s="20" t="n">
        <v>-0.00871292049535821</v>
      </c>
      <c r="D408" s="20" t="n">
        <v>0.00269609507452717</v>
      </c>
      <c r="E408" s="20" t="n">
        <v>-0.00643677577104773</v>
      </c>
      <c r="F408" s="20" t="n">
        <v>0.0020453775870739</v>
      </c>
      <c r="G408" s="20" t="n">
        <v>-0.0201334411766871</v>
      </c>
      <c r="H408" s="20" t="n">
        <v>0.00240668037067903</v>
      </c>
      <c r="I408" s="20" t="n">
        <v>-0.0078247960711435</v>
      </c>
      <c r="J408" s="20" t="n">
        <v>-0.00534288176737751</v>
      </c>
      <c r="K408" s="20" t="n">
        <v>0.00455809537255713</v>
      </c>
      <c r="L408" s="20" t="n">
        <v>0.00512560759187996</v>
      </c>
      <c r="M408" s="20" t="n">
        <v>0.00209925679917022</v>
      </c>
      <c r="N408" s="20" t="n">
        <v>-0.0668483258773382</v>
      </c>
      <c r="O408" s="20" t="n">
        <v>-0.00887039871228756</v>
      </c>
      <c r="P408" s="20" t="n">
        <v>-0.00631575425097175</v>
      </c>
      <c r="Q408" s="20" t="n">
        <v>0.0113730181157825</v>
      </c>
      <c r="R408" s="20" t="n">
        <v>-0.00239887037597519</v>
      </c>
      <c r="S408" s="20" t="n">
        <v>0.0172142921578526</v>
      </c>
      <c r="T408" s="20" t="n">
        <v>0.00782109410824816</v>
      </c>
      <c r="U408" s="20" t="n">
        <v>0.00706944262850317</v>
      </c>
      <c r="V408" s="20" t="n">
        <v>0.00432938600944599</v>
      </c>
      <c r="W408" s="20" t="n">
        <v>0.000189200902505959</v>
      </c>
      <c r="X408" s="20" t="n">
        <v>0.00308166359396899</v>
      </c>
    </row>
    <row r="409" customFormat="false" ht="13.5" hidden="false" customHeight="true" outlineLevel="0" collapsed="false">
      <c r="A409" s="47" t="n">
        <v>42962</v>
      </c>
      <c r="B409" s="20" t="n">
        <v>0.00302205427112944</v>
      </c>
      <c r="C409" s="20" t="n">
        <v>-0.00159236312290733</v>
      </c>
      <c r="D409" s="20" t="n">
        <v>-0.0125617000749924</v>
      </c>
      <c r="E409" s="20" t="n">
        <v>-0.00369685829706467</v>
      </c>
      <c r="F409" s="20" t="n">
        <v>-0.0115085026943173</v>
      </c>
      <c r="G409" s="20" t="n">
        <v>-0.000865820722200094</v>
      </c>
      <c r="H409" s="20" t="n">
        <v>0.00877553391452545</v>
      </c>
      <c r="I409" s="20" t="n">
        <v>0.0232929940334942</v>
      </c>
      <c r="J409" s="20" t="n">
        <v>-0.00178726624761593</v>
      </c>
      <c r="K409" s="20" t="n">
        <v>0.00554299088332088</v>
      </c>
      <c r="L409" s="20" t="n">
        <v>0.0321960048733265</v>
      </c>
      <c r="M409" s="20" t="n">
        <v>-0.000599354445891542</v>
      </c>
      <c r="N409" s="20" t="n">
        <v>0.0168962972777602</v>
      </c>
      <c r="O409" s="20" t="n">
        <v>0.00183269315293177</v>
      </c>
      <c r="P409" s="20" t="n">
        <v>-0.0300130446878732</v>
      </c>
      <c r="Q409" s="20" t="n">
        <v>0.00644123992039591</v>
      </c>
      <c r="R409" s="20" t="n">
        <v>0.00176811600885873</v>
      </c>
      <c r="S409" s="20" t="n">
        <v>0.0081838742235516</v>
      </c>
      <c r="T409" s="20" t="n">
        <v>0.00776039899043734</v>
      </c>
      <c r="U409" s="20" t="n">
        <v>0.00229436271178506</v>
      </c>
      <c r="V409" s="20" t="n">
        <v>-0.00641414932529293</v>
      </c>
      <c r="W409" s="20" t="n">
        <v>-0.00303202528676971</v>
      </c>
      <c r="X409" s="20" t="n">
        <v>0</v>
      </c>
    </row>
    <row r="410" customFormat="false" ht="13.5" hidden="false" customHeight="true" outlineLevel="0" collapsed="false">
      <c r="A410" s="47" t="n">
        <v>42963</v>
      </c>
      <c r="B410" s="20" t="n">
        <v>-0.0127120572781835</v>
      </c>
      <c r="C410" s="20" t="n">
        <v>-0.0140423512157767</v>
      </c>
      <c r="D410" s="20" t="n">
        <v>-0.0364732117070056</v>
      </c>
      <c r="E410" s="20" t="n">
        <v>-0.0149256356101354</v>
      </c>
      <c r="F410" s="20" t="n">
        <v>-0.022999179980252</v>
      </c>
      <c r="G410" s="20" t="n">
        <v>-0.0100109449085934</v>
      </c>
      <c r="H410" s="20" t="n">
        <v>-0.021678926841413</v>
      </c>
      <c r="I410" s="20" t="n">
        <v>0.0106871509048311</v>
      </c>
      <c r="J410" s="20" t="n">
        <v>-0.0198742100231015</v>
      </c>
      <c r="K410" s="20" t="n">
        <v>-0.0177444281398225</v>
      </c>
      <c r="L410" s="20" t="n">
        <v>-0.038349815672046</v>
      </c>
      <c r="M410" s="20" t="n">
        <v>-0.01236631168348</v>
      </c>
      <c r="N410" s="20" t="n">
        <v>-0.0750289831925479</v>
      </c>
      <c r="O410" s="20" t="n">
        <v>-0.0166165259204209</v>
      </c>
      <c r="P410" s="20" t="n">
        <v>-0.0142467243372572</v>
      </c>
      <c r="Q410" s="20" t="n">
        <v>-0.00644123992039591</v>
      </c>
      <c r="R410" s="20" t="n">
        <v>-0.00455294338713407</v>
      </c>
      <c r="S410" s="20" t="n">
        <v>-0.0253981663814042</v>
      </c>
      <c r="T410" s="20" t="n">
        <v>-0.0410281340571017</v>
      </c>
      <c r="U410" s="20" t="n">
        <v>-0.0177267670237784</v>
      </c>
      <c r="V410" s="20" t="n">
        <v>-0.0127769225571912</v>
      </c>
      <c r="W410" s="20" t="n">
        <v>-0.0170355236207191</v>
      </c>
      <c r="X410" s="20" t="n">
        <v>-0.0280829415812156</v>
      </c>
    </row>
    <row r="411" customFormat="false" ht="13.5" hidden="false" customHeight="true" outlineLevel="0" collapsed="false">
      <c r="A411" s="47" t="n">
        <v>42964</v>
      </c>
      <c r="B411" s="20" t="n">
        <v>-0.00713269801268712</v>
      </c>
      <c r="C411" s="20" t="n">
        <v>-0.00811358515147953</v>
      </c>
      <c r="D411" s="20" t="n">
        <v>-0.0094273745798441</v>
      </c>
      <c r="E411" s="20" t="n">
        <v>-0.00754719816612903</v>
      </c>
      <c r="F411" s="20" t="n">
        <v>-0.000846320419460866</v>
      </c>
      <c r="G411" s="20" t="n">
        <v>0</v>
      </c>
      <c r="H411" s="20" t="n">
        <v>0.0280130670200575</v>
      </c>
      <c r="I411" s="20" t="n">
        <v>-0.0230425088322325</v>
      </c>
      <c r="J411" s="20" t="n">
        <v>0.00182310939027052</v>
      </c>
      <c r="K411" s="20" t="n">
        <v>-0.00256081836006893</v>
      </c>
      <c r="L411" s="20" t="n">
        <v>0.0313949294063848</v>
      </c>
      <c r="M411" s="20" t="n">
        <v>-0.00853411453697416</v>
      </c>
      <c r="N411" s="20" t="n">
        <v>-0.0114167985796851</v>
      </c>
      <c r="O411" s="20" t="n">
        <v>-0.00613579489872773</v>
      </c>
      <c r="P411" s="20" t="n">
        <v>0.0120681282181278</v>
      </c>
      <c r="Q411" s="20" t="n">
        <v>0.00644123992039591</v>
      </c>
      <c r="R411" s="20" t="n">
        <v>-0.0157140979110659</v>
      </c>
      <c r="S411" s="20" t="n">
        <v>0.00641024171994919</v>
      </c>
      <c r="T411" s="20" t="n">
        <v>-0.0218214181188107</v>
      </c>
      <c r="U411" s="20" t="n">
        <v>-0.00953213588365287</v>
      </c>
      <c r="V411" s="20" t="n">
        <v>-0.00618435212626433</v>
      </c>
      <c r="W411" s="20" t="n">
        <v>-0.00231926915742564</v>
      </c>
      <c r="X411" s="20" t="n">
        <v>0.00158098878295298</v>
      </c>
    </row>
    <row r="412" customFormat="false" ht="13.5" hidden="false" customHeight="true" outlineLevel="0" collapsed="false">
      <c r="A412" s="47" t="n">
        <v>42965</v>
      </c>
      <c r="B412" s="20" t="n">
        <v>0.00449956039341525</v>
      </c>
      <c r="C412" s="20" t="n">
        <v>-0.00244703303004945</v>
      </c>
      <c r="D412" s="20" t="n">
        <v>0.00401421794745893</v>
      </c>
      <c r="E412" s="20" t="n">
        <v>0.000946452995720381</v>
      </c>
      <c r="F412" s="20" t="n">
        <v>-0.0102129261512753</v>
      </c>
      <c r="G412" s="20" t="n">
        <v>-0.0109963717815682</v>
      </c>
      <c r="H412" s="20" t="n">
        <v>-0.0191240702804988</v>
      </c>
      <c r="I412" s="20" t="n">
        <v>0.0108192974012086</v>
      </c>
      <c r="J412" s="20" t="n">
        <v>0.00544964300290429</v>
      </c>
      <c r="K412" s="20" t="n">
        <v>-0.0103094212892962</v>
      </c>
      <c r="L412" s="20" t="n">
        <v>-0.00399600560146451</v>
      </c>
      <c r="M412" s="20" t="n">
        <v>0.00275103818361532</v>
      </c>
      <c r="N412" s="20" t="n">
        <v>0.00208555419132761</v>
      </c>
      <c r="O412" s="20" t="n">
        <v>0.00560382779426404</v>
      </c>
      <c r="P412" s="20" t="n">
        <v>-0.0209374632501266</v>
      </c>
      <c r="Q412" s="20" t="n">
        <v>-0.00805809216823938</v>
      </c>
      <c r="R412" s="20" t="n">
        <v>-0.000257621019684073</v>
      </c>
      <c r="S412" s="20" t="n">
        <v>-0.00191875552612286</v>
      </c>
      <c r="T412" s="20" t="n">
        <v>0.0101556797548258</v>
      </c>
      <c r="U412" s="20" t="n">
        <v>0.0109307892499508</v>
      </c>
      <c r="V412" s="20" t="n">
        <v>0.00389176548963376</v>
      </c>
      <c r="W412" s="20" t="n">
        <v>0.00270530386536282</v>
      </c>
      <c r="X412" s="20" t="n">
        <v>-0.00475056043046695</v>
      </c>
    </row>
    <row r="413" customFormat="false" ht="13.5" hidden="false" customHeight="true" outlineLevel="0" collapsed="false">
      <c r="A413" s="47" t="n">
        <v>42968</v>
      </c>
      <c r="B413" s="20" t="n">
        <v>0.00483396608204067</v>
      </c>
      <c r="C413" s="20" t="n">
        <v>0.00448160924652008</v>
      </c>
      <c r="D413" s="20" t="n">
        <v>0.0113083303012082</v>
      </c>
      <c r="E413" s="20" t="n">
        <v>0.00754008532641492</v>
      </c>
      <c r="F413" s="20" t="n">
        <v>0.0190643677604915</v>
      </c>
      <c r="G413" s="20" t="n">
        <v>0.0144898216972131</v>
      </c>
      <c r="H413" s="20" t="n">
        <v>0.0238484839934547</v>
      </c>
      <c r="I413" s="20" t="n">
        <v>-0.00771611707798136</v>
      </c>
      <c r="J413" s="20" t="n">
        <v>0.0268112743617205</v>
      </c>
      <c r="K413" s="20" t="n">
        <v>0.00516802683077177</v>
      </c>
      <c r="L413" s="20" t="n">
        <v>0.00100052324467858</v>
      </c>
      <c r="M413" s="20" t="n">
        <v>0.011834554911783</v>
      </c>
      <c r="N413" s="20" t="n">
        <v>0.0358093937909487</v>
      </c>
      <c r="O413" s="20" t="n">
        <v>0.0105876506218853</v>
      </c>
      <c r="P413" s="20" t="n">
        <v>0.0121750936375368</v>
      </c>
      <c r="Q413" s="20" t="n">
        <v>-0.00324149091801051</v>
      </c>
      <c r="R413" s="20" t="n">
        <v>0.00154443718477637</v>
      </c>
      <c r="S413" s="20" t="n">
        <v>0.0190240481235934</v>
      </c>
      <c r="T413" s="20" t="n">
        <v>0.0190481996627038</v>
      </c>
      <c r="U413" s="20" t="n">
        <v>-0.0051382260013435</v>
      </c>
      <c r="V413" s="20" t="n">
        <v>0.0180216372672799</v>
      </c>
      <c r="W413" s="20" t="n">
        <v>0.00768941740233009</v>
      </c>
      <c r="X413" s="20" t="n">
        <v>0.00790513421324501</v>
      </c>
    </row>
    <row r="414" customFormat="false" ht="13.5" hidden="false" customHeight="true" outlineLevel="0" collapsed="false">
      <c r="A414" s="47" t="n">
        <v>42969</v>
      </c>
      <c r="B414" s="20" t="n">
        <v>0.00798171221144183</v>
      </c>
      <c r="C414" s="20" t="n">
        <v>-0.0085732430091947</v>
      </c>
      <c r="D414" s="20" t="n">
        <v>-0.00140656768635949</v>
      </c>
      <c r="E414" s="20" t="n">
        <v>0.00561803168478647</v>
      </c>
      <c r="F414" s="20" t="n">
        <v>-0.00294178378154041</v>
      </c>
      <c r="G414" s="20" t="n">
        <v>0.000871396594627871</v>
      </c>
      <c r="H414" s="20" t="n">
        <v>0.0179063165929322</v>
      </c>
      <c r="I414" s="20" t="n">
        <v>0.00848447889972803</v>
      </c>
      <c r="J414" s="20" t="n">
        <v>-0.0195910332243414</v>
      </c>
      <c r="K414" s="20" t="n">
        <v>0.0102564901348486</v>
      </c>
      <c r="L414" s="20" t="n">
        <v>0.0324671827518336</v>
      </c>
      <c r="M414" s="20" t="n">
        <v>0.00271125782123693</v>
      </c>
      <c r="N414" s="20" t="n">
        <v>0.0238342740542005</v>
      </c>
      <c r="O414" s="20" t="n">
        <v>-0.00158106423187076</v>
      </c>
      <c r="P414" s="20" t="n">
        <v>0.0174486265486</v>
      </c>
      <c r="Q414" s="20" t="n">
        <v>0.0208843118729809</v>
      </c>
      <c r="R414" s="20" t="n">
        <v>-0.00193089489389386</v>
      </c>
      <c r="S414" s="20" t="n">
        <v>-0.00188618305373111</v>
      </c>
      <c r="T414" s="20" t="n">
        <v>-0.0112559599221344</v>
      </c>
      <c r="U414" s="20" t="n">
        <v>-0.00547858431160097</v>
      </c>
      <c r="V414" s="20" t="n">
        <v>0.00346202125183481</v>
      </c>
      <c r="W414" s="20" t="n">
        <v>-0.00364513480645634</v>
      </c>
      <c r="X414" s="20" t="n">
        <v>-0.00236497809138303</v>
      </c>
    </row>
    <row r="415" customFormat="false" ht="13.5" hidden="false" customHeight="true" outlineLevel="0" collapsed="false">
      <c r="A415" s="47" t="n">
        <v>42970</v>
      </c>
      <c r="B415" s="20" t="n">
        <v>0.00561249576703737</v>
      </c>
      <c r="C415" s="20" t="n">
        <v>-0.00369685555564736</v>
      </c>
      <c r="D415" s="20" t="n">
        <v>0.0090440597966781</v>
      </c>
      <c r="E415" s="20" t="n">
        <v>0</v>
      </c>
      <c r="F415" s="20" t="n">
        <v>0.0033613444701297</v>
      </c>
      <c r="G415" s="20" t="n">
        <v>-0.0844804730153261</v>
      </c>
      <c r="H415" s="20" t="n">
        <v>0.00921664599106453</v>
      </c>
      <c r="I415" s="20" t="n">
        <v>-0.000768361821746665</v>
      </c>
      <c r="J415" s="20" t="n">
        <v>0.00359066474942793</v>
      </c>
      <c r="K415" s="20" t="n">
        <v>-0.00511509567632417</v>
      </c>
      <c r="L415" s="20" t="n">
        <v>0.0370589048061797</v>
      </c>
      <c r="M415" s="20" t="n">
        <v>-0.000300951891748724</v>
      </c>
      <c r="N415" s="20" t="n">
        <v>-0.0158262307045369</v>
      </c>
      <c r="O415" s="20" t="n">
        <v>-0.00634917129220591</v>
      </c>
      <c r="P415" s="20" t="n">
        <v>0.00431499719517303</v>
      </c>
      <c r="Q415" s="20" t="n">
        <v>-0.00798091894609331</v>
      </c>
      <c r="R415" s="20" t="n">
        <v>-0.0290216606027007</v>
      </c>
      <c r="S415" s="20" t="n">
        <v>-0.00188980759522161</v>
      </c>
      <c r="T415" s="20" t="n">
        <v>0.0102960914582377</v>
      </c>
      <c r="U415" s="20" t="n">
        <v>-0.0017280754038973</v>
      </c>
      <c r="V415" s="20" t="n">
        <v>0.00517062931642531</v>
      </c>
      <c r="W415" s="20" t="n">
        <v>0.00249546285232904</v>
      </c>
      <c r="X415" s="20" t="n">
        <v>0.00236497809138303</v>
      </c>
    </row>
    <row r="416" customFormat="false" ht="13.5" hidden="false" customHeight="true" outlineLevel="0" collapsed="false">
      <c r="A416" s="47" t="n">
        <v>42971</v>
      </c>
      <c r="B416" s="20" t="n">
        <v>0.00558117138449976</v>
      </c>
      <c r="C416" s="20" t="n">
        <v>0.00778848931832198</v>
      </c>
      <c r="D416" s="20" t="n">
        <v>-0.000888039311726984</v>
      </c>
      <c r="E416" s="20" t="n">
        <v>0.010218357192083</v>
      </c>
      <c r="F416" s="20" t="n">
        <v>-0.00294054796750264</v>
      </c>
      <c r="G416" s="20" t="n">
        <v>0.0298808126037655</v>
      </c>
      <c r="H416" s="20" t="n">
        <v>-0.00459770471269926</v>
      </c>
      <c r="I416" s="20" t="n">
        <v>0.00460119416962134</v>
      </c>
      <c r="J416" s="20" t="n">
        <v>0</v>
      </c>
      <c r="K416" s="20" t="n">
        <v>0.0046047375522088</v>
      </c>
      <c r="L416" s="20" t="n">
        <v>-0.00373831844549954</v>
      </c>
      <c r="M416" s="20" t="n">
        <v>0.00480336708520257</v>
      </c>
      <c r="N416" s="20" t="n">
        <v>0.00843887264091458</v>
      </c>
      <c r="O416" s="20" t="n">
        <v>0.00819355357403184</v>
      </c>
      <c r="P416" s="20" t="n">
        <v>-0.0151847111227585</v>
      </c>
      <c r="Q416" s="20" t="n">
        <v>0.001601318046756</v>
      </c>
      <c r="R416" s="20" t="n">
        <v>-0.000530727305733336</v>
      </c>
      <c r="S416" s="20" t="n">
        <v>0.0723499644227252</v>
      </c>
      <c r="T416" s="20" t="n">
        <v>0.00638166690264929</v>
      </c>
      <c r="U416" s="20" t="n">
        <v>0.00751888498034514</v>
      </c>
      <c r="V416" s="20" t="n">
        <v>0.00343231447163194</v>
      </c>
      <c r="W416" s="20" t="n">
        <v>-0.00750507493694874</v>
      </c>
      <c r="X416" s="20" t="n">
        <v>0.00471331740803959</v>
      </c>
    </row>
    <row r="417" customFormat="false" ht="13.5" hidden="false" customHeight="true" outlineLevel="0" collapsed="false">
      <c r="A417" s="47" t="n">
        <v>42972</v>
      </c>
      <c r="B417" s="20" t="n">
        <v>-0.00859401611696419</v>
      </c>
      <c r="C417" s="20" t="n">
        <v>-0.000816956105404553</v>
      </c>
      <c r="D417" s="20" t="n">
        <v>0.000634338957189228</v>
      </c>
      <c r="E417" s="20" t="n">
        <v>-0.00277646947890675</v>
      </c>
      <c r="F417" s="20" t="n">
        <v>-0.00210575544857638</v>
      </c>
      <c r="G417" s="20" t="n">
        <v>-0.000920407712698967</v>
      </c>
      <c r="H417" s="20" t="n">
        <v>-0.0115876592229557</v>
      </c>
      <c r="I417" s="20" t="n">
        <v>0.0316291489660889</v>
      </c>
      <c r="J417" s="20" t="n">
        <v>0</v>
      </c>
      <c r="K417" s="20" t="n">
        <v>-0.0046047375522088</v>
      </c>
      <c r="L417" s="20" t="n">
        <v>0.0130233831069896</v>
      </c>
      <c r="M417" s="20" t="n">
        <v>0.00239311601870406</v>
      </c>
      <c r="N417" s="20" t="n">
        <v>0.024897563213921</v>
      </c>
      <c r="O417" s="20" t="n">
        <v>-0.00131708307086064</v>
      </c>
      <c r="P417" s="20" t="n">
        <v>-0.0132014997391514</v>
      </c>
      <c r="Q417" s="20" t="n">
        <v>-0.00320512788739368</v>
      </c>
      <c r="R417" s="20" t="n">
        <v>0.00145879758159139</v>
      </c>
      <c r="S417" s="20" t="n">
        <v>0.00526471857751431</v>
      </c>
      <c r="T417" s="20" t="n">
        <v>0.00317562601482057</v>
      </c>
      <c r="U417" s="20" t="n">
        <v>-0.00234359178238641</v>
      </c>
      <c r="V417" s="20" t="n">
        <v>0.00359133174026737</v>
      </c>
      <c r="W417" s="20" t="n">
        <v>-0.00270792017663001</v>
      </c>
      <c r="X417" s="20" t="n">
        <v>-0.00313971694928483</v>
      </c>
    </row>
    <row r="418" customFormat="false" ht="13.5" hidden="false" customHeight="true" outlineLevel="0" collapsed="false">
      <c r="A418" s="47" t="n">
        <v>42975</v>
      </c>
      <c r="B418" s="20" t="n">
        <v>0.00441103390712793</v>
      </c>
      <c r="C418" s="20" t="n">
        <v>-0.00122676809403632</v>
      </c>
      <c r="D418" s="20" t="n">
        <v>-0.00368503228184913</v>
      </c>
      <c r="E418" s="20" t="n">
        <v>0.00462323435323108</v>
      </c>
      <c r="F418" s="20" t="n">
        <v>-0.00591965330788024</v>
      </c>
      <c r="G418" s="20" t="n">
        <v>0.00413509227449315</v>
      </c>
      <c r="H418" s="20" t="n">
        <v>0.00465116679159027</v>
      </c>
      <c r="I418" s="20" t="n">
        <v>0.00738558613812001</v>
      </c>
      <c r="J418" s="20" t="n">
        <v>0.00892069975811304</v>
      </c>
      <c r="K418" s="20" t="n">
        <v>-0.00514139445852446</v>
      </c>
      <c r="L418" s="20" t="n">
        <v>0.00276886993141856</v>
      </c>
      <c r="M418" s="20" t="n">
        <v>0.000895887136225681</v>
      </c>
      <c r="N418" s="20" t="n">
        <v>-0.00531790536269527</v>
      </c>
      <c r="O418" s="20" t="n">
        <v>-0.00237498874086306</v>
      </c>
      <c r="P418" s="20" t="n">
        <v>-0.00889882688199117</v>
      </c>
      <c r="Q418" s="20" t="n">
        <v>0</v>
      </c>
      <c r="R418" s="20" t="n">
        <v>0.00831409965622853</v>
      </c>
      <c r="S418" s="20" t="n">
        <v>0.00697682135624955</v>
      </c>
      <c r="T418" s="20" t="n">
        <v>-0.00190420155460202</v>
      </c>
      <c r="U418" s="20" t="n">
        <v>-0.00187880015040864</v>
      </c>
      <c r="V418" s="20" t="n">
        <v>0.00476838051795169</v>
      </c>
      <c r="W418" s="20" t="n">
        <v>-0.00407575335147081</v>
      </c>
      <c r="X418" s="20" t="n">
        <v>-0.0102727187287823</v>
      </c>
    </row>
    <row r="419" customFormat="false" ht="13.5" hidden="false" customHeight="true" outlineLevel="0" collapsed="false">
      <c r="A419" s="47" t="n">
        <v>42976</v>
      </c>
      <c r="B419" s="20" t="n">
        <v>-0.00406022144939921</v>
      </c>
      <c r="C419" s="20" t="n">
        <v>-0.00656819325013557</v>
      </c>
      <c r="D419" s="20" t="n">
        <v>0.0243975230125421</v>
      </c>
      <c r="E419" s="20" t="n">
        <v>0.00918274854977241</v>
      </c>
      <c r="F419" s="20" t="n">
        <v>0.0122235836355497</v>
      </c>
      <c r="G419" s="20" t="n">
        <v>0.0177237675181611</v>
      </c>
      <c r="H419" s="20" t="n">
        <v>-0.00542841323684362</v>
      </c>
      <c r="I419" s="20" t="n">
        <v>-0.0155731761377908</v>
      </c>
      <c r="J419" s="20" t="n">
        <v>0.0123566788996647</v>
      </c>
      <c r="K419" s="20" t="n">
        <v>-0.00516802683077177</v>
      </c>
      <c r="L419" s="20" t="n">
        <v>-0.00369344467639587</v>
      </c>
      <c r="M419" s="20" t="n">
        <v>-0.00149362944842934</v>
      </c>
      <c r="N419" s="20" t="n">
        <v>-0.0107213170572979</v>
      </c>
      <c r="O419" s="20" t="n">
        <v>-0.00476696647343644</v>
      </c>
      <c r="P419" s="20" t="n">
        <v>0.00889882688199117</v>
      </c>
      <c r="Q419" s="20" t="n">
        <v>0.00160380984063768</v>
      </c>
      <c r="R419" s="20" t="n">
        <v>0.00380404377815501</v>
      </c>
      <c r="S419" s="20" t="n">
        <v>0.0285570515354081</v>
      </c>
      <c r="T419" s="20" t="n">
        <v>0.0160709377988439</v>
      </c>
      <c r="U419" s="20" t="n">
        <v>0.00375413658741408</v>
      </c>
      <c r="V419" s="20" t="n">
        <v>0.00879573414853407</v>
      </c>
      <c r="W419" s="20" t="n">
        <v>-0.00116749496246892</v>
      </c>
      <c r="X419" s="20" t="n">
        <v>0.00633414017864453</v>
      </c>
    </row>
    <row r="420" customFormat="false" ht="13.5" hidden="false" customHeight="true" outlineLevel="0" collapsed="false">
      <c r="A420" s="47" t="n">
        <v>42977</v>
      </c>
      <c r="B420" s="20" t="n">
        <v>0.00329144333517916</v>
      </c>
      <c r="C420" s="20" t="n">
        <v>0.0110589504796259</v>
      </c>
      <c r="D420" s="20" t="n">
        <v>0.00989009245564442</v>
      </c>
      <c r="E420" s="20" t="n">
        <v>0.00819305041844353</v>
      </c>
      <c r="F420" s="20" t="n">
        <v>0.000837460280067592</v>
      </c>
      <c r="G420" s="20" t="n">
        <v>-0.0149764501824729</v>
      </c>
      <c r="H420" s="20" t="n">
        <v>-0.00702309771988263</v>
      </c>
      <c r="I420" s="20" t="n">
        <v>0.027277760859365</v>
      </c>
      <c r="J420" s="20" t="n">
        <v>0.00873371343101192</v>
      </c>
      <c r="K420" s="20" t="n">
        <v>0.0356272048203988</v>
      </c>
      <c r="L420" s="20" t="n">
        <v>0.0237670486841516</v>
      </c>
      <c r="M420" s="20" t="n">
        <v>0.0139529475595443</v>
      </c>
      <c r="N420" s="20" t="n">
        <v>-0.0343916549908827</v>
      </c>
      <c r="O420" s="20" t="n">
        <v>-0.00559030052036835</v>
      </c>
      <c r="P420" s="20" t="n">
        <v>0.0326826688243837</v>
      </c>
      <c r="Q420" s="20" t="n">
        <v>0.00320007597304594</v>
      </c>
      <c r="R420" s="20" t="n">
        <v>0.0124903929904398</v>
      </c>
      <c r="S420" s="20" t="n">
        <v>0.00841045710140209</v>
      </c>
      <c r="T420" s="20" t="n">
        <v>0.00685358811277447</v>
      </c>
      <c r="U420" s="20" t="n">
        <v>-0.0102001904785629</v>
      </c>
      <c r="V420" s="20" t="n">
        <v>0.0183552369790254</v>
      </c>
      <c r="W420" s="20" t="n">
        <v>-0.00566243658158205</v>
      </c>
      <c r="X420" s="20" t="n">
        <v>-0.00633414017864453</v>
      </c>
    </row>
    <row r="421" customFormat="false" ht="13.5" hidden="false" customHeight="true" outlineLevel="0" collapsed="false">
      <c r="A421" s="47" t="n">
        <v>42978</v>
      </c>
      <c r="B421" s="20" t="n">
        <v>0.0073143236440849</v>
      </c>
      <c r="C421" s="20" t="n">
        <v>0.0237482994901636</v>
      </c>
      <c r="D421" s="20" t="n">
        <v>-0.0149968611486821</v>
      </c>
      <c r="E421" s="20" t="n">
        <v>0.0285989684809888</v>
      </c>
      <c r="F421" s="20" t="n">
        <v>0.0083368871715499</v>
      </c>
      <c r="G421" s="20" t="n">
        <v>0.0248375479845526</v>
      </c>
      <c r="H421" s="20" t="n">
        <v>0.0232208357359664</v>
      </c>
      <c r="I421" s="20" t="n">
        <v>0</v>
      </c>
      <c r="J421" s="20" t="n">
        <v>-0.0104895966146998</v>
      </c>
      <c r="K421" s="20" t="n">
        <v>0.00995032141084806</v>
      </c>
      <c r="L421" s="20" t="n">
        <v>0.0205640234447623</v>
      </c>
      <c r="M421" s="20" t="n">
        <v>0.00117857754201899</v>
      </c>
      <c r="N421" s="20" t="n">
        <v>0.0160970075469233</v>
      </c>
      <c r="O421" s="20" t="n">
        <v>0.000533772580865843</v>
      </c>
      <c r="P421" s="20" t="n">
        <v>0.00960009000543582</v>
      </c>
      <c r="Q421" s="20" t="n">
        <v>-0.00320007597304594</v>
      </c>
      <c r="R421" s="20" t="n">
        <v>0.00747139700674814</v>
      </c>
      <c r="S421" s="20" t="n">
        <v>-0.00335567795641589</v>
      </c>
      <c r="T421" s="20" t="n">
        <v>0.0027902716887862</v>
      </c>
      <c r="U421" s="20" t="n">
        <v>0.00220575773937614</v>
      </c>
      <c r="V421" s="20" t="n">
        <v>-0.00963619370725865</v>
      </c>
      <c r="W421" s="20" t="n">
        <v>-0.00195998638252214</v>
      </c>
      <c r="X421" s="20" t="n">
        <v>0.00869911827002756</v>
      </c>
    </row>
    <row r="422" customFormat="false" ht="13.5" hidden="false" customHeight="true" outlineLevel="0" collapsed="false">
      <c r="A422" s="47" t="n">
        <v>42979</v>
      </c>
      <c r="B422" s="20" t="n">
        <v>-0.00724444908808585</v>
      </c>
      <c r="C422" s="20" t="n">
        <v>-0.0156347143386841</v>
      </c>
      <c r="D422" s="20" t="n">
        <v>-0.00325206207499562</v>
      </c>
      <c r="E422" s="20" t="n">
        <v>0.000880605533852829</v>
      </c>
      <c r="F422" s="20" t="n">
        <v>-0.0329143928242849</v>
      </c>
      <c r="G422" s="20" t="n">
        <v>0.000445941090858603</v>
      </c>
      <c r="H422" s="20" t="n">
        <v>0.00229275504013459</v>
      </c>
      <c r="I422" s="20" t="n">
        <v>0.0230060253238959</v>
      </c>
      <c r="J422" s="20" t="n">
        <v>-0.0177309437309702</v>
      </c>
      <c r="K422" s="20" t="n">
        <v>0.00493827698919335</v>
      </c>
      <c r="L422" s="20" t="n">
        <v>0.00705469615701837</v>
      </c>
      <c r="M422" s="20" t="n">
        <v>-0.00472255456735526</v>
      </c>
      <c r="N422" s="20" t="n">
        <v>-0.0262907174657063</v>
      </c>
      <c r="O422" s="20" t="n">
        <v>-0.0104600495411868</v>
      </c>
      <c r="P422" s="20" t="n">
        <v>-0.00960009000543582</v>
      </c>
      <c r="Q422" s="20" t="n">
        <v>0.00798091894609331</v>
      </c>
      <c r="R422" s="20" t="n">
        <v>0.00983347773739673</v>
      </c>
      <c r="S422" s="20" t="n">
        <v>-0.000560393891504862</v>
      </c>
      <c r="T422" s="20" t="n">
        <v>-0.0212773482856478</v>
      </c>
      <c r="U422" s="20" t="n">
        <v>-0.0106005578443451</v>
      </c>
      <c r="V422" s="20" t="n">
        <v>-0.00150363657781671</v>
      </c>
      <c r="W422" s="20" t="n">
        <v>-0.0172162706672396</v>
      </c>
      <c r="X422" s="20" t="n">
        <v>-0.0255197019455861</v>
      </c>
    </row>
    <row r="423" customFormat="false" ht="13.5" hidden="false" customHeight="true" outlineLevel="0" collapsed="false">
      <c r="A423" s="47" t="n">
        <v>42983</v>
      </c>
      <c r="B423" s="20" t="n">
        <v>0.00543830411242218</v>
      </c>
      <c r="C423" s="20" t="n">
        <v>0.00684521111177804</v>
      </c>
      <c r="D423" s="20" t="n">
        <v>0.00860733104832967</v>
      </c>
      <c r="E423" s="20" t="n">
        <v>0.0122486522982727</v>
      </c>
      <c r="F423" s="20" t="n">
        <v>0.00428084484818391</v>
      </c>
      <c r="G423" s="20" t="n">
        <v>0.0053356699776379</v>
      </c>
      <c r="H423" s="20" t="n">
        <v>0.0352492623089775</v>
      </c>
      <c r="I423" s="20" t="n">
        <v>-0.0172047092763638</v>
      </c>
      <c r="J423" s="20" t="n">
        <v>0.00178726624761593</v>
      </c>
      <c r="K423" s="20" t="n">
        <v>0.00980399092998063</v>
      </c>
      <c r="L423" s="20" t="n">
        <v>0.0104895966146996</v>
      </c>
      <c r="M423" s="20" t="n">
        <v>0.00560563317241813</v>
      </c>
      <c r="N423" s="20" t="n">
        <v>-0.0270006252695136</v>
      </c>
      <c r="O423" s="20" t="n">
        <v>-0.0141191717991757</v>
      </c>
      <c r="P423" s="20" t="n">
        <v>0.0191088939428083</v>
      </c>
      <c r="Q423" s="20" t="n">
        <v>0.0251190365887366</v>
      </c>
      <c r="R423" s="20" t="n">
        <v>0.0150093605912484</v>
      </c>
      <c r="S423" s="20" t="n">
        <v>-0.0129761785375088</v>
      </c>
      <c r="T423" s="20" t="n">
        <v>0.00787529643971973</v>
      </c>
      <c r="U423" s="20" t="n">
        <v>0.00634220498817317</v>
      </c>
      <c r="V423" s="20" t="n">
        <v>0.00100263307932735</v>
      </c>
      <c r="W423" s="20" t="n">
        <v>-0.0044008354086209</v>
      </c>
      <c r="X423" s="20" t="n">
        <v>0.0104460662742638</v>
      </c>
    </row>
    <row r="424" customFormat="false" ht="13.5" hidden="false" customHeight="true" outlineLevel="0" collapsed="false">
      <c r="A424" s="47" t="n">
        <v>42984</v>
      </c>
      <c r="B424" s="20" t="n">
        <v>-0.00641752637660975</v>
      </c>
      <c r="C424" s="20" t="n">
        <v>-0.0367838965544455</v>
      </c>
      <c r="D424" s="20" t="n">
        <v>0.0127122817734433</v>
      </c>
      <c r="E424" s="20" t="n">
        <v>-0.00873371343101192</v>
      </c>
      <c r="F424" s="20" t="n">
        <v>-0.0189742881768917</v>
      </c>
      <c r="G424" s="20" t="n">
        <v>0.00970886806400273</v>
      </c>
      <c r="H424" s="20" t="n">
        <v>-0.00295202870336153</v>
      </c>
      <c r="I424" s="20" t="n">
        <v>0.0242869189266645</v>
      </c>
      <c r="J424" s="20" t="n">
        <v>-0.00896861858622033</v>
      </c>
      <c r="K424" s="20" t="n">
        <v>0.00970880513745375</v>
      </c>
      <c r="L424" s="20" t="n">
        <v>0.012100436429169</v>
      </c>
      <c r="M424" s="20" t="n">
        <v>0</v>
      </c>
      <c r="N424" s="20" t="n">
        <v>-0.0180567919245144</v>
      </c>
      <c r="O424" s="20" t="n">
        <v>-0.0268826288200969</v>
      </c>
      <c r="P424" s="20" t="n">
        <v>0.00837700418170372</v>
      </c>
      <c r="Q424" s="20" t="n">
        <v>0.00154922246323052</v>
      </c>
      <c r="R424" s="20" t="n">
        <v>0.00661311793925367</v>
      </c>
      <c r="S424" s="20" t="n">
        <v>-0.00798187232578762</v>
      </c>
      <c r="T424" s="20" t="n">
        <v>-0.0034575111767241</v>
      </c>
      <c r="U424" s="20" t="n">
        <v>-0.00857149558258729</v>
      </c>
      <c r="V424" s="20" t="n">
        <v>0.0484162887189318</v>
      </c>
      <c r="W424" s="20" t="n">
        <v>-0.00401769845748001</v>
      </c>
      <c r="X424" s="20" t="n">
        <v>-0.0267330554374964</v>
      </c>
    </row>
    <row r="425" customFormat="false" ht="13.5" hidden="false" customHeight="true" outlineLevel="0" collapsed="false">
      <c r="A425" s="47" t="n">
        <v>42985</v>
      </c>
      <c r="B425" s="20" t="n">
        <v>-0.00315400270346888</v>
      </c>
      <c r="C425" s="20" t="n">
        <v>-0.00836120169105214</v>
      </c>
      <c r="D425" s="20" t="n">
        <v>0.0167825568663344</v>
      </c>
      <c r="E425" s="20" t="n">
        <v>-0.00351493886726084</v>
      </c>
      <c r="F425" s="20" t="n">
        <v>-0.00348887950793841</v>
      </c>
      <c r="G425" s="20" t="n">
        <v>-0.0780684188324865</v>
      </c>
      <c r="H425" s="20" t="n">
        <v>-0.000739423728490784</v>
      </c>
      <c r="I425" s="20" t="n">
        <v>0.00141040251387725</v>
      </c>
      <c r="J425" s="20" t="n">
        <v>-0.0126928576844971</v>
      </c>
      <c r="K425" s="20" t="n">
        <v>0.0238674596749334</v>
      </c>
      <c r="L425" s="20" t="n">
        <v>-0.0466018990489733</v>
      </c>
      <c r="M425" s="20" t="n">
        <v>0.00323092645307054</v>
      </c>
      <c r="N425" s="20" t="n">
        <v>-0.0064515777230234</v>
      </c>
      <c r="O425" s="20" t="n">
        <v>-0.000280891186734244</v>
      </c>
      <c r="P425" s="20" t="n">
        <v>-0.0393458382760809</v>
      </c>
      <c r="Q425" s="20" t="n">
        <v>-0.00465481214703511</v>
      </c>
      <c r="R425" s="20" t="n">
        <v>-0.00861808144604037</v>
      </c>
      <c r="S425" s="20" t="n">
        <v>-0.0126729413643307</v>
      </c>
      <c r="T425" s="20" t="n">
        <v>-0.00885523457775239</v>
      </c>
      <c r="U425" s="20" t="n">
        <v>-0.00800260358615823</v>
      </c>
      <c r="V425" s="20" t="n">
        <v>-0.00350711697445227</v>
      </c>
      <c r="W425" s="20" t="n">
        <v>-0.0020148802296922</v>
      </c>
      <c r="X425" s="20" t="n">
        <v>0.0114286459973786</v>
      </c>
    </row>
    <row r="426" customFormat="false" ht="13.5" hidden="false" customHeight="true" outlineLevel="0" collapsed="false">
      <c r="A426" s="47" t="n">
        <v>42986</v>
      </c>
      <c r="B426" s="20" t="n">
        <v>0.0167767234600129</v>
      </c>
      <c r="C426" s="20" t="n">
        <v>-0.00420704758551604</v>
      </c>
      <c r="D426" s="20" t="n">
        <v>-0.00350348801182853</v>
      </c>
      <c r="E426" s="20" t="n">
        <v>0.00439176742988101</v>
      </c>
      <c r="F426" s="20" t="n">
        <v>0.0203250767881648</v>
      </c>
      <c r="G426" s="20" t="n">
        <v>0.0132077716769622</v>
      </c>
      <c r="H426" s="20" t="n">
        <v>0.0146845378015281</v>
      </c>
      <c r="I426" s="20" t="n">
        <v>-0.0256973214405418</v>
      </c>
      <c r="J426" s="20" t="n">
        <v>0.00908274903378236</v>
      </c>
      <c r="K426" s="20" t="n">
        <v>0.0460911740693242</v>
      </c>
      <c r="L426" s="20" t="n">
        <v>0.0125225559010293</v>
      </c>
      <c r="M426" s="20" t="n">
        <v>0.00643092618540519</v>
      </c>
      <c r="N426" s="20" t="n">
        <v>-0.0108461343706331</v>
      </c>
      <c r="O426" s="20" t="n">
        <v>0.00420585288505526</v>
      </c>
      <c r="P426" s="20" t="n">
        <v>0.0278092014492101</v>
      </c>
      <c r="Q426" s="20" t="n">
        <v>0.00774600175504303</v>
      </c>
      <c r="R426" s="20" t="n">
        <v>0</v>
      </c>
      <c r="S426" s="20" t="n">
        <v>0.00693248509074972</v>
      </c>
      <c r="T426" s="20" t="n">
        <v>0.0223033936408878</v>
      </c>
      <c r="U426" s="20" t="n">
        <v>0.00416937957562701</v>
      </c>
      <c r="V426" s="20" t="n">
        <v>0.00159569666372849</v>
      </c>
      <c r="W426" s="20" t="n">
        <v>0.021549078023169</v>
      </c>
      <c r="X426" s="20" t="n">
        <v>0.0176995988281394</v>
      </c>
    </row>
    <row r="427" customFormat="false" ht="13.5" hidden="false" customHeight="true" outlineLevel="0" collapsed="false">
      <c r="A427" s="47" t="n">
        <v>42989</v>
      </c>
      <c r="B427" s="20" t="n">
        <v>0.00619363284471674</v>
      </c>
      <c r="C427" s="20" t="n">
        <v>0.00797825865038559</v>
      </c>
      <c r="D427" s="20" t="n">
        <v>-0.00558252781420787</v>
      </c>
      <c r="E427" s="20" t="n">
        <v>0.0156525200163257</v>
      </c>
      <c r="F427" s="20" t="n">
        <v>0.024943171624344</v>
      </c>
      <c r="G427" s="20" t="n">
        <v>0.011183703270658</v>
      </c>
      <c r="H427" s="20" t="n">
        <v>-0.00804974549639503</v>
      </c>
      <c r="I427" s="20" t="n">
        <v>0</v>
      </c>
      <c r="J427" s="20" t="n">
        <v>0.0107914609893191</v>
      </c>
      <c r="K427" s="20" t="n">
        <v>0.0134230074446499</v>
      </c>
      <c r="L427" s="20" t="n">
        <v>0.00354924613231277</v>
      </c>
      <c r="M427" s="20" t="n">
        <v>0.030135707291357</v>
      </c>
      <c r="N427" s="20" t="n">
        <v>0.0411273150427691</v>
      </c>
      <c r="O427" s="20" t="n">
        <v>0.0144446023424036</v>
      </c>
      <c r="P427" s="20" t="n">
        <v>0.015698969714204</v>
      </c>
      <c r="Q427" s="20" t="n">
        <v>0.0303974485431204</v>
      </c>
      <c r="R427" s="20" t="n">
        <v>0.0334289413704018</v>
      </c>
      <c r="S427" s="20" t="n">
        <v>0.0131542951504033</v>
      </c>
      <c r="T427" s="20" t="n">
        <v>0.00681120979672877</v>
      </c>
      <c r="U427" s="20" t="n">
        <v>0.000159985941599494</v>
      </c>
      <c r="V427" s="20" t="n">
        <v>0.00477174808801894</v>
      </c>
      <c r="W427" s="20" t="n">
        <v>0.0178034605836376</v>
      </c>
      <c r="X427" s="20" t="n">
        <v>0.0197400804454375</v>
      </c>
    </row>
    <row r="428" customFormat="false" ht="13.5" hidden="false" customHeight="true" outlineLevel="0" collapsed="false">
      <c r="A428" s="47" t="n">
        <v>42990</v>
      </c>
      <c r="B428" s="20" t="n">
        <v>0.00157676801359052</v>
      </c>
      <c r="C428" s="20" t="n">
        <v>0.00832985993345625</v>
      </c>
      <c r="D428" s="20" t="n">
        <v>0.00315920236801936</v>
      </c>
      <c r="E428" s="20" t="n">
        <v>0.00258507105801086</v>
      </c>
      <c r="F428" s="20" t="n">
        <v>0.0157417979472005</v>
      </c>
      <c r="G428" s="20" t="n">
        <v>0.00692681690777341</v>
      </c>
      <c r="H428" s="20" t="n">
        <v>0.00366698146303701</v>
      </c>
      <c r="I428" s="20" t="n">
        <v>-0.0293491069015279</v>
      </c>
      <c r="J428" s="20" t="n">
        <v>-0.0308834849356605</v>
      </c>
      <c r="K428" s="20" t="n">
        <v>-0.0371251405568892</v>
      </c>
      <c r="L428" s="20" t="n">
        <v>-0.0223923373891343</v>
      </c>
      <c r="M428" s="20" t="n">
        <v>-0.00880305435622474</v>
      </c>
      <c r="N428" s="20" t="n">
        <v>-0.0190180377746185</v>
      </c>
      <c r="O428" s="20" t="n">
        <v>0.00796600628498955</v>
      </c>
      <c r="P428" s="20" t="n">
        <v>0.0565235683615426</v>
      </c>
      <c r="Q428" s="20" t="n">
        <v>0.00149592084252692</v>
      </c>
      <c r="R428" s="20" t="n">
        <v>0.0078545690201901</v>
      </c>
      <c r="S428" s="20" t="n">
        <v>0.0124224811986763</v>
      </c>
      <c r="T428" s="20" t="n">
        <v>-0.00712186139777015</v>
      </c>
      <c r="U428" s="20" t="n">
        <v>0.000159960350192278</v>
      </c>
      <c r="V428" s="20" t="n">
        <v>-0.00860564538804542</v>
      </c>
      <c r="W428" s="20" t="n">
        <v>-0.00213531308261805</v>
      </c>
      <c r="X428" s="20" t="n">
        <v>0.00856366918814055</v>
      </c>
    </row>
    <row r="429" customFormat="false" ht="13.5" hidden="false" customHeight="true" outlineLevel="0" collapsed="false">
      <c r="A429" s="47" t="n">
        <v>42991</v>
      </c>
      <c r="B429" s="20" t="n">
        <v>-0.0030872470506722</v>
      </c>
      <c r="C429" s="20" t="n">
        <v>0.00620225554631437</v>
      </c>
      <c r="D429" s="20" t="n">
        <v>0.00773417014988364</v>
      </c>
      <c r="E429" s="20" t="n">
        <v>-0.00517684203189583</v>
      </c>
      <c r="F429" s="20" t="n">
        <v>-0.00370600190084013</v>
      </c>
      <c r="G429" s="20" t="n">
        <v>-0.021866389522716</v>
      </c>
      <c r="H429" s="20" t="n">
        <v>0.00583942716390906</v>
      </c>
      <c r="I429" s="20" t="n">
        <v>0</v>
      </c>
      <c r="J429" s="20" t="n">
        <v>0.00368324185838941</v>
      </c>
      <c r="K429" s="20" t="n">
        <v>-0.0129991976050382</v>
      </c>
      <c r="L429" s="20" t="n">
        <v>-0.0275499696240473</v>
      </c>
      <c r="M429" s="20" t="n">
        <v>0.0189297405607469</v>
      </c>
      <c r="N429" s="20" t="n">
        <v>-0.00267018775697858</v>
      </c>
      <c r="O429" s="20" t="n">
        <v>-0.00631261999125509</v>
      </c>
      <c r="P429" s="20" t="n">
        <v>0.0242377362059524</v>
      </c>
      <c r="Q429" s="20" t="n">
        <v>0.00744600827221586</v>
      </c>
      <c r="R429" s="20" t="n">
        <v>-0.00531020362185241</v>
      </c>
      <c r="S429" s="20" t="n">
        <v>0.0254861986714693</v>
      </c>
      <c r="T429" s="20" t="n">
        <v>0.000310651601041378</v>
      </c>
      <c r="U429" s="20" t="n">
        <v>-0.00368618972699419</v>
      </c>
      <c r="V429" s="20" t="n">
        <v>0.00335542517494769</v>
      </c>
      <c r="W429" s="20" t="n">
        <v>-0.00330896981135619</v>
      </c>
      <c r="X429" s="20" t="n">
        <v>-0.00778209596959689</v>
      </c>
    </row>
    <row r="430" customFormat="false" ht="13.5" hidden="false" customHeight="true" outlineLevel="0" collapsed="false">
      <c r="A430" s="47" t="n">
        <v>42992</v>
      </c>
      <c r="B430" s="20" t="n">
        <v>-0.00495927425289455</v>
      </c>
      <c r="C430" s="20" t="n">
        <v>-0.0136960333042832</v>
      </c>
      <c r="D430" s="20" t="n">
        <v>-0.00761283654066335</v>
      </c>
      <c r="E430" s="20" t="n">
        <v>0.00517684203189583</v>
      </c>
      <c r="F430" s="20" t="n">
        <v>0.00575893787130388</v>
      </c>
      <c r="G430" s="20" t="n">
        <v>0.0144760625732609</v>
      </c>
      <c r="H430" s="20" t="n">
        <v>0.0166009222471799</v>
      </c>
      <c r="I430" s="20" t="n">
        <v>-0.0134934808263533</v>
      </c>
      <c r="J430" s="20" t="n">
        <v>0.0127855933178575</v>
      </c>
      <c r="K430" s="20" t="n">
        <v>0.0317340964633514</v>
      </c>
      <c r="L430" s="20" t="n">
        <v>0.0101900473754077</v>
      </c>
      <c r="M430" s="20" t="n">
        <v>-0.0104094041930564</v>
      </c>
      <c r="N430" s="20" t="n">
        <v>0.0148622044041277</v>
      </c>
      <c r="O430" s="20" t="n">
        <v>0.0212483831539014</v>
      </c>
      <c r="P430" s="20" t="n">
        <v>0</v>
      </c>
      <c r="Q430" s="20" t="n">
        <v>0.0103322207935183</v>
      </c>
      <c r="R430" s="20" t="n">
        <v>0.00639286643907244</v>
      </c>
      <c r="S430" s="20" t="n">
        <v>0.00327687155960143</v>
      </c>
      <c r="T430" s="20" t="n">
        <v>0.00773638426527201</v>
      </c>
      <c r="U430" s="20" t="n">
        <v>0.00176466897429783</v>
      </c>
      <c r="V430" s="20" t="n">
        <v>-0.00335542517494769</v>
      </c>
      <c r="W430" s="20" t="n">
        <v>0.0071879654628062</v>
      </c>
      <c r="X430" s="20" t="n">
        <v>-0.00312988997264085</v>
      </c>
    </row>
    <row r="431" customFormat="false" ht="13.5" hidden="false" customHeight="true" outlineLevel="0" collapsed="false">
      <c r="A431" s="47" t="n">
        <v>42993</v>
      </c>
      <c r="B431" s="20" t="n">
        <v>-0.00186615296082859</v>
      </c>
      <c r="C431" s="20" t="n">
        <v>0.021906210038451</v>
      </c>
      <c r="D431" s="20" t="n">
        <v>0.000969861886209955</v>
      </c>
      <c r="E431" s="20" t="n">
        <v>0.000860234795571734</v>
      </c>
      <c r="F431" s="20" t="n">
        <v>0.0130401848920702</v>
      </c>
      <c r="G431" s="20" t="n">
        <v>-0.00604508514090174</v>
      </c>
      <c r="H431" s="20" t="n">
        <v>0.000715511678164748</v>
      </c>
      <c r="I431" s="20" t="n">
        <v>-0.02135853351569</v>
      </c>
      <c r="J431" s="20" t="n">
        <v>-0.00545956026368799</v>
      </c>
      <c r="K431" s="20" t="n">
        <v>0.00180911326955424</v>
      </c>
      <c r="L431" s="20" t="n">
        <v>0.0055146707139535</v>
      </c>
      <c r="M431" s="20" t="n">
        <v>0.00535887975770821</v>
      </c>
      <c r="N431" s="20" t="n">
        <v>-0.0353924264756515</v>
      </c>
      <c r="O431" s="20" t="n">
        <v>0.00858834342885073</v>
      </c>
      <c r="P431" s="20" t="n">
        <v>0.0217915302026634</v>
      </c>
      <c r="Q431" s="20" t="n">
        <v>-0.0162846138299741</v>
      </c>
      <c r="R431" s="20" t="n">
        <v>0.00168187681694842</v>
      </c>
      <c r="S431" s="20" t="n">
        <v>0.004895313092105</v>
      </c>
      <c r="T431" s="20" t="n">
        <v>0.00246311184203396</v>
      </c>
      <c r="U431" s="20" t="n">
        <v>0.00272112184878636</v>
      </c>
      <c r="V431" s="20" t="n">
        <v>0.00351496160210107</v>
      </c>
      <c r="W431" s="20" t="n">
        <v>0.0201213887839761</v>
      </c>
      <c r="X431" s="20" t="n">
        <v>0.0255332957245455</v>
      </c>
    </row>
    <row r="432" customFormat="false" ht="13.5" hidden="false" customHeight="true" outlineLevel="0" collapsed="false">
      <c r="A432" s="47" t="n">
        <v>42996</v>
      </c>
      <c r="B432" s="20" t="n">
        <v>-0.00110752181845708</v>
      </c>
      <c r="C432" s="20" t="n">
        <v>-0.0106864974985212</v>
      </c>
      <c r="D432" s="20" t="n">
        <v>-0.00961947492131454</v>
      </c>
      <c r="E432" s="20" t="n">
        <v>0.0077088305621733</v>
      </c>
      <c r="F432" s="20" t="n">
        <v>0.00645683611194813</v>
      </c>
      <c r="G432" s="20" t="n">
        <v>-0.0145645692016644</v>
      </c>
      <c r="H432" s="20" t="n">
        <v>-0.00645852257796786</v>
      </c>
      <c r="I432" s="20" t="n">
        <v>-0.00929517788895273</v>
      </c>
      <c r="J432" s="20" t="n">
        <v>-0.00182652636278657</v>
      </c>
      <c r="K432" s="20" t="n">
        <v>0.0254307353035873</v>
      </c>
      <c r="L432" s="20" t="n">
        <v>-0.0119872451488323</v>
      </c>
      <c r="M432" s="20" t="n">
        <v>-0.00281686028852368</v>
      </c>
      <c r="N432" s="20" t="n">
        <v>0.0113977347652332</v>
      </c>
      <c r="O432" s="20" t="n">
        <v>0.0208919655849681</v>
      </c>
      <c r="P432" s="20" t="n">
        <v>0.00187261331976928</v>
      </c>
      <c r="Q432" s="20" t="n">
        <v>0.0103935861777997</v>
      </c>
      <c r="R432" s="20" t="n">
        <v>-0.00252387718229485</v>
      </c>
      <c r="S432" s="20" t="n">
        <v>-0.0153092485471302</v>
      </c>
      <c r="T432" s="20" t="n">
        <v>-0.000922897413948131</v>
      </c>
      <c r="U432" s="20" t="n">
        <v>-0.0052889269635088</v>
      </c>
      <c r="V432" s="20" t="n">
        <v>0.00366154258132223</v>
      </c>
      <c r="W432" s="20" t="n">
        <v>0.012256239547765</v>
      </c>
      <c r="X432" s="20" t="n">
        <v>0.0121489608535938</v>
      </c>
    </row>
    <row r="433" customFormat="false" ht="13.5" hidden="false" customHeight="true" outlineLevel="0" collapsed="false">
      <c r="A433" s="47" t="n">
        <v>42997</v>
      </c>
      <c r="B433" s="20" t="n">
        <v>0.0102664316558875</v>
      </c>
      <c r="C433" s="20" t="n">
        <v>0.00494644294451518</v>
      </c>
      <c r="D433" s="20" t="n">
        <v>0.00354190643418661</v>
      </c>
      <c r="E433" s="20" t="n">
        <v>-0.000853626065627555</v>
      </c>
      <c r="F433" s="20" t="n">
        <v>0.00801281752264815</v>
      </c>
      <c r="G433" s="20" t="n">
        <v>-0.0157408418828501</v>
      </c>
      <c r="H433" s="20" t="n">
        <v>-0.00432900684493686</v>
      </c>
      <c r="I433" s="20" t="n">
        <v>-0.00624513513633839</v>
      </c>
      <c r="J433" s="20" t="n">
        <v>0.00546951416072438</v>
      </c>
      <c r="K433" s="20" t="n">
        <v>0.00877197781718708</v>
      </c>
      <c r="L433" s="20" t="n">
        <v>-0.0177823666880971</v>
      </c>
      <c r="M433" s="20" t="n">
        <v>0.0151178942282701</v>
      </c>
      <c r="N433" s="20" t="n">
        <v>0.00752688428692671</v>
      </c>
      <c r="O433" s="20" t="n">
        <v>0.00574117501943849</v>
      </c>
      <c r="P433" s="20" t="n">
        <v>0.0385368869656459</v>
      </c>
      <c r="Q433" s="20" t="n">
        <v>0.00735841291883065</v>
      </c>
      <c r="R433" s="20" t="n">
        <v>-0.0293061460396213</v>
      </c>
      <c r="S433" s="20" t="n">
        <v>-0.00663346439451872</v>
      </c>
      <c r="T433" s="20" t="n">
        <v>0.00337984022452397</v>
      </c>
      <c r="U433" s="20" t="n">
        <v>-0.0163632377682496</v>
      </c>
      <c r="V433" s="20" t="n">
        <v>0.00885943723077886</v>
      </c>
      <c r="W433" s="20" t="n">
        <v>0.00728225396203141</v>
      </c>
      <c r="X433" s="20" t="n">
        <v>0.00826758997845722</v>
      </c>
    </row>
    <row r="434" customFormat="false" ht="13.5" hidden="false" customHeight="true" outlineLevel="0" collapsed="false">
      <c r="A434" s="47" t="n">
        <v>42998</v>
      </c>
      <c r="B434" s="20" t="n">
        <v>-0.00425919704997213</v>
      </c>
      <c r="C434" s="20" t="n">
        <v>0.0175264384089177</v>
      </c>
      <c r="D434" s="20" t="n">
        <v>0.0158455713319698</v>
      </c>
      <c r="E434" s="20" t="n">
        <v>0.000853626065627555</v>
      </c>
      <c r="F434" s="20" t="n">
        <v>0.00398249761077407</v>
      </c>
      <c r="G434" s="20" t="n">
        <v>-0.0282807703938945</v>
      </c>
      <c r="H434" s="20" t="n">
        <v>-0.00362192843106168</v>
      </c>
      <c r="I434" s="20" t="n">
        <v>-0.00235207371283996</v>
      </c>
      <c r="J434" s="20" t="n">
        <v>-0.00181987840766728</v>
      </c>
      <c r="K434" s="20" t="n">
        <v>-0.0265502068829212</v>
      </c>
      <c r="L434" s="20" t="n">
        <v>-0.0258264435398722</v>
      </c>
      <c r="M434" s="20" t="n">
        <v>-0.000555877083737943</v>
      </c>
      <c r="N434" s="20" t="n">
        <v>-0.00968792861972645</v>
      </c>
      <c r="O434" s="20" t="n">
        <v>-0.00547944176685089</v>
      </c>
      <c r="P434" s="20" t="n">
        <v>0.0169571698480863</v>
      </c>
      <c r="Q434" s="20" t="n">
        <v>-0.0117996060601746</v>
      </c>
      <c r="R434" s="20" t="n">
        <v>-0.0142271141604028</v>
      </c>
      <c r="S434" s="20" t="n">
        <v>0</v>
      </c>
      <c r="T434" s="20" t="n">
        <v>0.00306285966812991</v>
      </c>
      <c r="U434" s="20" t="n">
        <v>0.00456322135559261</v>
      </c>
      <c r="V434" s="20" t="n">
        <v>-0.00252326017781889</v>
      </c>
      <c r="W434" s="20" t="n">
        <v>0.0057508992436186</v>
      </c>
      <c r="X434" s="20" t="n">
        <v>0.002989536078287</v>
      </c>
    </row>
    <row r="435" customFormat="false" ht="13.5" hidden="false" customHeight="true" outlineLevel="0" collapsed="false">
      <c r="A435" s="47" t="n">
        <v>42999</v>
      </c>
      <c r="B435" s="20" t="n">
        <v>-0.000895276235262976</v>
      </c>
      <c r="C435" s="20" t="n">
        <v>0.0048367872663686</v>
      </c>
      <c r="D435" s="20" t="n">
        <v>0.00693618915762783</v>
      </c>
      <c r="E435" s="20" t="n">
        <v>0.0101868354104559</v>
      </c>
      <c r="F435" s="20" t="n">
        <v>-0.0055799024328631</v>
      </c>
      <c r="G435" s="20" t="n">
        <v>-0.00346791017240377</v>
      </c>
      <c r="H435" s="20" t="n">
        <v>0.00723068276190419</v>
      </c>
      <c r="I435" s="20" t="n">
        <v>0.0101523805375571</v>
      </c>
      <c r="J435" s="20" t="n">
        <v>0.00906628004269927</v>
      </c>
      <c r="K435" s="20" t="n">
        <v>0.0133632150392364</v>
      </c>
      <c r="L435" s="20" t="n">
        <v>-0.0156253033502773</v>
      </c>
      <c r="M435" s="20" t="n">
        <v>-0.000278107500417235</v>
      </c>
      <c r="N435" s="20" t="n">
        <v>0.00270057649855148</v>
      </c>
      <c r="O435" s="20" t="n">
        <v>0.00963420875262199</v>
      </c>
      <c r="P435" s="20" t="n">
        <v>-0.00443461394705702</v>
      </c>
      <c r="Q435" s="20" t="n">
        <v>0.0161887473863953</v>
      </c>
      <c r="R435" s="20" t="n">
        <v>0.000879448478134925</v>
      </c>
      <c r="S435" s="20" t="n">
        <v>-0.00891369916413298</v>
      </c>
      <c r="T435" s="20" t="n">
        <v>0.0202821595203448</v>
      </c>
      <c r="U435" s="20" t="n">
        <v>0.015969395988284</v>
      </c>
      <c r="V435" s="20" t="n">
        <v>0.000473577697993832</v>
      </c>
      <c r="W435" s="20" t="n">
        <v>0.00350842616917823</v>
      </c>
      <c r="X435" s="20" t="n">
        <v>-0.000746493145658888</v>
      </c>
    </row>
    <row r="436" customFormat="false" ht="13.5" hidden="false" customHeight="true" outlineLevel="0" collapsed="false">
      <c r="A436" s="47" t="n">
        <v>43000</v>
      </c>
      <c r="B436" s="20" t="n">
        <v>0.00508585449771903</v>
      </c>
      <c r="C436" s="20" t="n">
        <v>0.00960387275809271</v>
      </c>
      <c r="D436" s="20" t="n">
        <v>0.00866212137356292</v>
      </c>
      <c r="E436" s="20" t="n">
        <v>0.00841043047732803</v>
      </c>
      <c r="F436" s="20" t="n">
        <v>-0.0104460662742638</v>
      </c>
      <c r="G436" s="20" t="n">
        <v>-0.0104764781442692</v>
      </c>
      <c r="H436" s="20" t="n">
        <v>-0.0218508124569796</v>
      </c>
      <c r="I436" s="20" t="n">
        <v>0.014655143262233</v>
      </c>
      <c r="J436" s="20" t="n">
        <v>-0.00724640163503198</v>
      </c>
      <c r="K436" s="20" t="n">
        <v>0.0175442931386567</v>
      </c>
      <c r="L436" s="20" t="n">
        <v>-0.0309869332199546</v>
      </c>
      <c r="M436" s="20" t="n">
        <v>-0.0125928844562603</v>
      </c>
      <c r="N436" s="20" t="n">
        <v>0.0422448883960022</v>
      </c>
      <c r="O436" s="20" t="n">
        <v>0.0136406383594511</v>
      </c>
      <c r="P436" s="20" t="n">
        <v>0.0158733758558331</v>
      </c>
      <c r="Q436" s="20" t="n">
        <v>-0.0147061334674425</v>
      </c>
      <c r="R436" s="20" t="n">
        <v>0.0216158166852471</v>
      </c>
      <c r="S436" s="20" t="n">
        <v>-0.014656418967105</v>
      </c>
      <c r="T436" s="20" t="n">
        <v>0.0104339085797802</v>
      </c>
      <c r="U436" s="20" t="n">
        <v>0.0205898818053151</v>
      </c>
      <c r="V436" s="20" t="n">
        <v>-0.00268671808660769</v>
      </c>
      <c r="W436" s="20" t="n">
        <v>-0.00406356715765632</v>
      </c>
      <c r="X436" s="20" t="n">
        <v>-0.000747122090101193</v>
      </c>
    </row>
    <row r="437" customFormat="false" ht="13.5" hidden="false" customHeight="true" outlineLevel="0" collapsed="false">
      <c r="A437" s="47" t="n">
        <v>43003</v>
      </c>
      <c r="B437" s="20" t="n">
        <v>0.00471910364335848</v>
      </c>
      <c r="C437" s="20" t="n">
        <v>-0.00719426365597364</v>
      </c>
      <c r="D437" s="20" t="n">
        <v>-0.00497452367084072</v>
      </c>
      <c r="E437" s="20" t="n">
        <v>-0.000837811130318666</v>
      </c>
      <c r="F437" s="20" t="n">
        <v>0.00201731911739644</v>
      </c>
      <c r="G437" s="20" t="n">
        <v>0.0124596674594137</v>
      </c>
      <c r="H437" s="20" t="n">
        <v>0.00147166921725583</v>
      </c>
      <c r="I437" s="20" t="n">
        <v>-0.0138784264168281</v>
      </c>
      <c r="J437" s="20" t="n">
        <v>-0.0109690208521073</v>
      </c>
      <c r="K437" s="20" t="n">
        <v>-0.00873367178505046</v>
      </c>
      <c r="L437" s="20" t="n">
        <v>0.00506322469636</v>
      </c>
      <c r="M437" s="20" t="n">
        <v>-0.00593135736132</v>
      </c>
      <c r="N437" s="20" t="n">
        <v>0.00103361545994928</v>
      </c>
      <c r="O437" s="20" t="n">
        <v>-0.0102775239282575</v>
      </c>
      <c r="P437" s="20" t="n">
        <v>0.0121740103228504</v>
      </c>
      <c r="Q437" s="20" t="n">
        <v>-0.0164305615036872</v>
      </c>
      <c r="R437" s="20" t="n">
        <v>0.00343514964171998</v>
      </c>
      <c r="S437" s="20" t="n">
        <v>0.00226880459880263</v>
      </c>
      <c r="T437" s="20" t="n">
        <v>0.00118545067532238</v>
      </c>
      <c r="U437" s="20" t="n">
        <v>0.0113787486215857</v>
      </c>
      <c r="V437" s="20" t="n">
        <v>-0.0041230366643461</v>
      </c>
      <c r="W437" s="20" t="n">
        <v>-0.00426597227620462</v>
      </c>
      <c r="X437" s="20" t="n">
        <v>0.00521802861360187</v>
      </c>
    </row>
    <row r="438" customFormat="false" ht="13.5" hidden="false" customHeight="true" outlineLevel="0" collapsed="false">
      <c r="A438" s="47" t="n">
        <v>43004</v>
      </c>
      <c r="B438" s="20" t="n">
        <v>-0.00615972033649558</v>
      </c>
      <c r="C438" s="20" t="n">
        <v>-0.0227190367222398</v>
      </c>
      <c r="D438" s="20" t="n">
        <v>0.00509268937688389</v>
      </c>
      <c r="E438" s="20" t="n">
        <v>0.00167500072608373</v>
      </c>
      <c r="F438" s="20" t="n">
        <v>0.0238960151492317</v>
      </c>
      <c r="G438" s="20" t="n">
        <v>0.0019791697753555</v>
      </c>
      <c r="H438" s="20" t="n">
        <v>-0.00589971652563781</v>
      </c>
      <c r="I438" s="20" t="n">
        <v>-0.0125001506565651</v>
      </c>
      <c r="J438" s="20" t="n">
        <v>0.0164087820879519</v>
      </c>
      <c r="K438" s="20" t="n">
        <v>-0.0154699601996967</v>
      </c>
      <c r="L438" s="20" t="n">
        <v>0.00904985114111944</v>
      </c>
      <c r="M438" s="20" t="n">
        <v>0.00424033217346542</v>
      </c>
      <c r="N438" s="20" t="n">
        <v>-0.00258604459148026</v>
      </c>
      <c r="O438" s="20" t="n">
        <v>0.00129046955520051</v>
      </c>
      <c r="P438" s="20" t="n">
        <v>0.0196840328064773</v>
      </c>
      <c r="Q438" s="20" t="n">
        <v>-0.00755857171187579</v>
      </c>
      <c r="R438" s="20" t="n">
        <v>-0.00220696879850113</v>
      </c>
      <c r="S438" s="20" t="n">
        <v>0.0151816500379693</v>
      </c>
      <c r="T438" s="20" t="n">
        <v>-0.00832838806161229</v>
      </c>
      <c r="U438" s="20" t="n">
        <v>-0.00170624381263628</v>
      </c>
      <c r="V438" s="20" t="n">
        <v>0.000317770221834656</v>
      </c>
      <c r="W438" s="20" t="n">
        <v>0.00759192339700609</v>
      </c>
      <c r="X438" s="20" t="n">
        <v>0.0220597322457631</v>
      </c>
    </row>
    <row r="439" customFormat="false" ht="13.5" hidden="false" customHeight="true" outlineLevel="0" collapsed="false">
      <c r="A439" s="47" t="n">
        <v>43005</v>
      </c>
      <c r="B439" s="20" t="n">
        <v>0</v>
      </c>
      <c r="C439" s="20" t="n">
        <v>-0.00534870660389907</v>
      </c>
      <c r="D439" s="20" t="n">
        <v>0.00412612988543248</v>
      </c>
      <c r="E439" s="20" t="n">
        <v>0.000836489295588549</v>
      </c>
      <c r="F439" s="20" t="n">
        <v>0.00157298164746633</v>
      </c>
      <c r="G439" s="20" t="n">
        <v>0.00148188156607309</v>
      </c>
      <c r="H439" s="20" t="n">
        <v>-0.00148038375967329</v>
      </c>
      <c r="I439" s="20" t="n">
        <v>0.00313971694928483</v>
      </c>
      <c r="J439" s="20" t="n">
        <v>-0.0164087820879519</v>
      </c>
      <c r="K439" s="20" t="n">
        <v>-0.00222960009388317</v>
      </c>
      <c r="L439" s="20" t="n">
        <v>-0.00501759129584522</v>
      </c>
      <c r="M439" s="20" t="n">
        <v>0.00422232049651594</v>
      </c>
      <c r="N439" s="20" t="n">
        <v>-0.00519213966180309</v>
      </c>
      <c r="O439" s="20" t="n">
        <v>0.00694002150589945</v>
      </c>
      <c r="P439" s="20" t="n">
        <v>-0.00339558570236864</v>
      </c>
      <c r="Q439" s="20" t="n">
        <v>-0.00456277743550881</v>
      </c>
      <c r="R439" s="20" t="n">
        <v>-0.00258095245760614</v>
      </c>
      <c r="S439" s="20" t="n">
        <v>0.0027862507805505</v>
      </c>
      <c r="T439" s="20" t="n">
        <v>-0.00389050534038304</v>
      </c>
      <c r="U439" s="20" t="n">
        <v>-0.00342148405727638</v>
      </c>
      <c r="V439" s="20" t="n">
        <v>0.000952644705736638</v>
      </c>
      <c r="W439" s="20" t="n">
        <v>0.000737616036854849</v>
      </c>
      <c r="X439" s="20" t="n">
        <v>0.00868940196319245</v>
      </c>
    </row>
    <row r="440" customFormat="false" ht="13.5" hidden="false" customHeight="true" outlineLevel="0" collapsed="false">
      <c r="A440" s="47" t="n">
        <v>43006</v>
      </c>
      <c r="B440" s="20" t="n">
        <v>-0.0039898368955562</v>
      </c>
      <c r="C440" s="20" t="n">
        <v>-0.0024782845400666</v>
      </c>
      <c r="D440" s="20" t="n">
        <v>0.00633285701136099</v>
      </c>
      <c r="E440" s="20" t="n">
        <v>0.000835790166020977</v>
      </c>
      <c r="F440" s="20" t="n">
        <v>-0.00433159205989142</v>
      </c>
      <c r="G440" s="20" t="n">
        <v>-0.00992075420698768</v>
      </c>
      <c r="H440" s="20" t="n">
        <v>0.0147061334674423</v>
      </c>
      <c r="I440" s="20" t="n">
        <v>0.0155523980134759</v>
      </c>
      <c r="J440" s="20" t="n">
        <v>0.0145987854473443</v>
      </c>
      <c r="K440" s="20" t="n">
        <v>-0.00447427609926287</v>
      </c>
      <c r="L440" s="20" t="n">
        <v>0.0129936979715084</v>
      </c>
      <c r="M440" s="20" t="n">
        <v>0.00280511516022974</v>
      </c>
      <c r="N440" s="20" t="n">
        <v>-0.0162690272395575</v>
      </c>
      <c r="O440" s="20" t="n">
        <v>0.00332431593548543</v>
      </c>
      <c r="P440" s="20" t="n">
        <v>0.00169919362223858</v>
      </c>
      <c r="Q440" s="20" t="n">
        <v>0.00456277743550881</v>
      </c>
      <c r="R440" s="20" t="n">
        <v>0.000738068158956828</v>
      </c>
      <c r="S440" s="20" t="n">
        <v>-0.0039029710492584</v>
      </c>
      <c r="T440" s="20" t="n">
        <v>0.00836083090482242</v>
      </c>
      <c r="U440" s="20" t="n">
        <v>-0.0120682331194252</v>
      </c>
      <c r="V440" s="20" t="n">
        <v>0.0115189180063497</v>
      </c>
      <c r="W440" s="20" t="n">
        <v>0.0164537809467377</v>
      </c>
      <c r="X440" s="20" t="n">
        <v>0.00646787399104464</v>
      </c>
    </row>
    <row r="441" customFormat="false" ht="13.5" hidden="false" customHeight="true" outlineLevel="0" collapsed="false">
      <c r="A441" s="47" t="n">
        <v>43007</v>
      </c>
      <c r="B441" s="20" t="n">
        <v>0.0108316806000141</v>
      </c>
      <c r="C441" s="20" t="n">
        <v>0.0160003413464409</v>
      </c>
      <c r="D441" s="20" t="n">
        <v>0.00942467342014818</v>
      </c>
      <c r="E441" s="20" t="n">
        <v>0.00997513536964866</v>
      </c>
      <c r="F441" s="20" t="n">
        <v>0.0109891483109363</v>
      </c>
      <c r="G441" s="20" t="n">
        <v>-0.00499753089556387</v>
      </c>
      <c r="H441" s="20" t="n">
        <v>0.0050965270722858</v>
      </c>
      <c r="I441" s="20" t="n">
        <v>0.0130320031631248</v>
      </c>
      <c r="J441" s="20" t="n">
        <v>-0.003629764595237</v>
      </c>
      <c r="K441" s="20" t="n">
        <v>0.0212963220745727</v>
      </c>
      <c r="L441" s="20" t="n">
        <v>-0.000993470042036648</v>
      </c>
      <c r="M441" s="20" t="n">
        <v>0.0103107762983474</v>
      </c>
      <c r="N441" s="20" t="n">
        <v>0.0219789111065109</v>
      </c>
      <c r="O441" s="20" t="n">
        <v>-0.00153289655793908</v>
      </c>
      <c r="P441" s="20" t="n">
        <v>-0.0119556837570868</v>
      </c>
      <c r="Q441" s="20" t="n">
        <v>-0.0122138802898981</v>
      </c>
      <c r="R441" s="20" t="n">
        <v>-0.00678641711480398</v>
      </c>
      <c r="S441" s="20" t="n">
        <v>0.0275499523473379</v>
      </c>
      <c r="T441" s="20" t="n">
        <v>0.0035618598055751</v>
      </c>
      <c r="U441" s="20" t="n">
        <v>-0.00823305227311888</v>
      </c>
      <c r="V441" s="20" t="n">
        <v>0.0127826508233992</v>
      </c>
      <c r="W441" s="20" t="n">
        <v>0.00578558270638218</v>
      </c>
      <c r="X441" s="20" t="n">
        <v>0.00571429581382654</v>
      </c>
    </row>
    <row r="442" customFormat="false" ht="13.5" hidden="false" customHeight="true" outlineLevel="0" collapsed="false">
      <c r="A442" s="47" t="n">
        <v>43010</v>
      </c>
      <c r="B442" s="20" t="n">
        <v>0.000817851164651273</v>
      </c>
      <c r="C442" s="20" t="n">
        <v>0.00931744202689843</v>
      </c>
      <c r="D442" s="20" t="n">
        <v>0.00115738990663061</v>
      </c>
      <c r="E442" s="20" t="n">
        <v>0.0204673535948471</v>
      </c>
      <c r="F442" s="20" t="n">
        <v>0.0093240677203088</v>
      </c>
      <c r="G442" s="20" t="n">
        <v>0.0296171895961854</v>
      </c>
      <c r="H442" s="20" t="n">
        <v>0.0314535988094131</v>
      </c>
      <c r="I442" s="20" t="n">
        <v>0.00455923788528522</v>
      </c>
      <c r="J442" s="20" t="n">
        <v>0.0180184884727796</v>
      </c>
      <c r="K442" s="20" t="n">
        <v>0.00525388480834843</v>
      </c>
      <c r="L442" s="20" t="n">
        <v>0.0245471323458446</v>
      </c>
      <c r="M442" s="20" t="n">
        <v>0.00193878182075613</v>
      </c>
      <c r="N442" s="20" t="n">
        <v>0.0435512170596239</v>
      </c>
      <c r="O442" s="20" t="n">
        <v>0.00941599859701058</v>
      </c>
      <c r="P442" s="20" t="n">
        <v>-0.00171973022322413</v>
      </c>
      <c r="Q442" s="20" t="n">
        <v>0.0376834325341546</v>
      </c>
      <c r="R442" s="20" t="n">
        <v>0.00173190318869931</v>
      </c>
      <c r="S442" s="20" t="n">
        <v>0.00162914435748495</v>
      </c>
      <c r="T442" s="20" t="n">
        <v>0.00295853696208059</v>
      </c>
      <c r="U442" s="20" t="n">
        <v>0.00744435851500568</v>
      </c>
      <c r="V442" s="20" t="n">
        <v>-0.00419087375142801</v>
      </c>
      <c r="W442" s="20" t="n">
        <v>0.00198110118515693</v>
      </c>
      <c r="X442" s="20" t="n">
        <v>-0.0100215831878633</v>
      </c>
    </row>
    <row r="443" customFormat="false" ht="13.5" hidden="false" customHeight="true" outlineLevel="0" collapsed="false">
      <c r="A443" s="47" t="n">
        <v>43011</v>
      </c>
      <c r="B443" s="20" t="n">
        <v>-0.00204598760165009</v>
      </c>
      <c r="C443" s="20" t="n">
        <v>-0.0129871646826953</v>
      </c>
      <c r="D443" s="20" t="n">
        <v>0.00588205545635389</v>
      </c>
      <c r="E443" s="20" t="n">
        <v>-0.00324675295727772</v>
      </c>
      <c r="F443" s="20" t="n">
        <v>-0.00581741127783841</v>
      </c>
      <c r="G443" s="20" t="n">
        <v>-0.00146015013459965</v>
      </c>
      <c r="H443" s="20" t="n">
        <v>-0.000704027198425549</v>
      </c>
      <c r="I443" s="20" t="n">
        <v>0.00529306710281218</v>
      </c>
      <c r="J443" s="20" t="n">
        <v>0.0229489533441493</v>
      </c>
      <c r="K443" s="20" t="n">
        <v>0.0215990917817465</v>
      </c>
      <c r="L443" s="20" t="n">
        <v>0.00580267247682897</v>
      </c>
      <c r="M443" s="20" t="n">
        <v>-0.00499308413173427</v>
      </c>
      <c r="N443" s="20" t="n">
        <v>-0.00446984362608882</v>
      </c>
      <c r="O443" s="20" t="n">
        <v>0.000506468936619874</v>
      </c>
      <c r="P443" s="20" t="n">
        <v>-0.0129927871532418</v>
      </c>
      <c r="Q443" s="20" t="n">
        <v>-0.011904962062389</v>
      </c>
      <c r="R443" s="20" t="n">
        <v>-0.0104362228080843</v>
      </c>
      <c r="S443" s="20" t="n">
        <v>0.00433135071033907</v>
      </c>
      <c r="T443" s="20" t="n">
        <v>-0.0121862071314344</v>
      </c>
      <c r="U443" s="20" t="n">
        <v>0.00189189313886295</v>
      </c>
      <c r="V443" s="20" t="n">
        <v>0.00697510310684279</v>
      </c>
      <c r="W443" s="20" t="n">
        <v>-0.0112178260028183</v>
      </c>
      <c r="X443" s="20" t="n">
        <v>-0.0101229635537287</v>
      </c>
    </row>
    <row r="444" customFormat="false" ht="13.5" hidden="false" customHeight="true" outlineLevel="0" collapsed="false">
      <c r="A444" s="47" t="n">
        <v>43012</v>
      </c>
      <c r="B444" s="20" t="n">
        <v>0.00163714562938821</v>
      </c>
      <c r="C444" s="20" t="n">
        <v>0.00244795053377266</v>
      </c>
      <c r="D444" s="20" t="n">
        <v>0.00790339649120586</v>
      </c>
      <c r="E444" s="20" t="n">
        <v>-0.00407334089453481</v>
      </c>
      <c r="F444" s="20" t="n">
        <v>0.0162040617468797</v>
      </c>
      <c r="G444" s="20" t="n">
        <v>0.00824647265150213</v>
      </c>
      <c r="H444" s="20" t="n">
        <v>0.0098109614693338</v>
      </c>
      <c r="I444" s="20" t="n">
        <v>0</v>
      </c>
      <c r="J444" s="20" t="n">
        <v>0.00174363640123575</v>
      </c>
      <c r="K444" s="20" t="n">
        <v>0.0548765998391643</v>
      </c>
      <c r="L444" s="20" t="n">
        <v>-0.0175102051502986</v>
      </c>
      <c r="M444" s="20" t="n">
        <v>0.00111175431229426</v>
      </c>
      <c r="N444" s="20" t="n">
        <v>-0.00349038966966652</v>
      </c>
      <c r="O444" s="20" t="n">
        <v>0.000253090034147085</v>
      </c>
      <c r="P444" s="20" t="n">
        <v>-0.000872239806607666</v>
      </c>
      <c r="Q444" s="20" t="n">
        <v>0</v>
      </c>
      <c r="R444" s="20" t="n">
        <v>0.0103125946525626</v>
      </c>
      <c r="S444" s="20" t="n">
        <v>-0.00759219403868272</v>
      </c>
      <c r="T444" s="20" t="n">
        <v>0.0044756610176746</v>
      </c>
      <c r="U444" s="20" t="n">
        <v>0.00502749978275041</v>
      </c>
      <c r="V444" s="20" t="n">
        <v>-0.01462603710858</v>
      </c>
      <c r="W444" s="20" t="n">
        <v>0.00779342976982011</v>
      </c>
      <c r="X444" s="20" t="n">
        <v>0.0144302509277656</v>
      </c>
    </row>
    <row r="445" customFormat="false" ht="13.5" hidden="false" customHeight="true" outlineLevel="0" collapsed="false">
      <c r="A445" s="47" t="n">
        <v>43013</v>
      </c>
      <c r="B445" s="20" t="n">
        <v>-0.00163714562938821</v>
      </c>
      <c r="C445" s="20" t="n">
        <v>-0.00613118967090242</v>
      </c>
      <c r="D445" s="20" t="n">
        <v>-0.00652437138239925</v>
      </c>
      <c r="E445" s="20" t="n">
        <v>0.00488603729309078</v>
      </c>
      <c r="F445" s="20" t="n">
        <v>0.00305693498995385</v>
      </c>
      <c r="G445" s="20" t="n">
        <v>-0.00338745072538371</v>
      </c>
      <c r="H445" s="20" t="n">
        <v>-0.014045261760899</v>
      </c>
      <c r="I445" s="20" t="n">
        <v>0.00301204754988537</v>
      </c>
      <c r="J445" s="20" t="n">
        <v>-0.00174363640123575</v>
      </c>
      <c r="K445" s="20" t="n">
        <v>-0.0212599208339742</v>
      </c>
      <c r="L445" s="20" t="n">
        <v>-0.0059054764975488</v>
      </c>
      <c r="M445" s="20" t="n">
        <v>0.00138790411147882</v>
      </c>
      <c r="N445" s="20" t="n">
        <v>-0.000999523198401686</v>
      </c>
      <c r="O445" s="20" t="n">
        <v>-0.0235605824376174</v>
      </c>
      <c r="P445" s="20" t="n">
        <v>-0.0202739866275196</v>
      </c>
      <c r="Q445" s="20" t="n">
        <v>-0.0105342877882974</v>
      </c>
      <c r="R445" s="20" t="n">
        <v>-0.050447946009827</v>
      </c>
      <c r="S445" s="20" t="n">
        <v>-0.00929730890953139</v>
      </c>
      <c r="T445" s="20" t="n">
        <v>0.00475200915167928</v>
      </c>
      <c r="U445" s="20" t="n">
        <v>-0.0199437146861729</v>
      </c>
      <c r="V445" s="20" t="n">
        <v>0.0157066963769691</v>
      </c>
      <c r="W445" s="20" t="n">
        <v>0.00342439623299828</v>
      </c>
      <c r="X445" s="20" t="n">
        <v>-0.00430728737403685</v>
      </c>
    </row>
    <row r="446" customFormat="false" ht="13.5" hidden="false" customHeight="true" outlineLevel="0" collapsed="false">
      <c r="A446" s="47" t="n">
        <v>43014</v>
      </c>
      <c r="B446" s="20" t="n">
        <v>0.00619325950888427</v>
      </c>
      <c r="C446" s="20" t="n">
        <v>-0.0401559461704543</v>
      </c>
      <c r="D446" s="20" t="n">
        <v>-0.00034455612189177</v>
      </c>
      <c r="E446" s="20" t="n">
        <v>0.00243405655872175</v>
      </c>
      <c r="F446" s="20" t="n">
        <v>-0.0138303666933672</v>
      </c>
      <c r="G446" s="20" t="n">
        <v>-0.0166180874430983</v>
      </c>
      <c r="H446" s="20" t="n">
        <v>-0.0214446905424265</v>
      </c>
      <c r="I446" s="20" t="n">
        <v>0.00599701368453997</v>
      </c>
      <c r="J446" s="20" t="n">
        <v>-0.00174676534342976</v>
      </c>
      <c r="K446" s="20" t="n">
        <v>0.0365151776491751</v>
      </c>
      <c r="L446" s="20" t="n">
        <v>-0.032099013206166</v>
      </c>
      <c r="M446" s="20" t="n">
        <v>0.00249342570796118</v>
      </c>
      <c r="N446" s="20" t="n">
        <v>0.00498756048963233</v>
      </c>
      <c r="O446" s="20" t="n">
        <v>-0.00754330323709595</v>
      </c>
      <c r="P446" s="20" t="n">
        <v>0.00798231782826519</v>
      </c>
      <c r="Q446" s="20" t="n">
        <v>-0.00606981543786333</v>
      </c>
      <c r="R446" s="20" t="n">
        <v>-0.0346549041187467</v>
      </c>
      <c r="S446" s="20" t="n">
        <v>0.013642775835768</v>
      </c>
      <c r="T446" s="20" t="n">
        <v>0.000296202691597802</v>
      </c>
      <c r="U446" s="20" t="n">
        <v>0.0161754314320452</v>
      </c>
      <c r="V446" s="20" t="n">
        <v>-0.0102357599216604</v>
      </c>
      <c r="W446" s="20" t="n">
        <v>-0.00794806273232051</v>
      </c>
      <c r="X446" s="20" t="n">
        <v>-0.00360355251649302</v>
      </c>
    </row>
    <row r="447" customFormat="false" ht="13.5" hidden="false" customHeight="true" outlineLevel="0" collapsed="false">
      <c r="A447" s="47" t="n">
        <v>43017</v>
      </c>
      <c r="B447" s="20" t="n">
        <v>0.00750282753515296</v>
      </c>
      <c r="C447" s="20" t="n">
        <v>-0.00299212714169616</v>
      </c>
      <c r="D447" s="20" t="n">
        <v>-0.0102766259200022</v>
      </c>
      <c r="E447" s="20" t="n">
        <v>0.00404369250816749</v>
      </c>
      <c r="F447" s="20" t="n">
        <v>0.00308999560830169</v>
      </c>
      <c r="G447" s="20" t="n">
        <v>0.0117590655169799</v>
      </c>
      <c r="H447" s="20" t="n">
        <v>0.0207372780344732</v>
      </c>
      <c r="I447" s="20" t="n">
        <v>-0.00599701368453997</v>
      </c>
      <c r="J447" s="20" t="n">
        <v>-0.0123132066743836</v>
      </c>
      <c r="K447" s="20" t="n">
        <v>-0.0531822135763918</v>
      </c>
      <c r="L447" s="20" t="n">
        <v>0.00101877493775681</v>
      </c>
      <c r="M447" s="20" t="n">
        <v>0.00716854828689417</v>
      </c>
      <c r="N447" s="20" t="n">
        <v>0.0108857736481646</v>
      </c>
      <c r="O447" s="20" t="n">
        <v>0.00520836502722898</v>
      </c>
      <c r="P447" s="20" t="n">
        <v>0.00440725188123503</v>
      </c>
      <c r="Q447" s="20" t="n">
        <v>0.0255460323409035</v>
      </c>
      <c r="R447" s="20" t="n">
        <v>0.00550294693612585</v>
      </c>
      <c r="S447" s="20" t="n">
        <v>0.00324672711244611</v>
      </c>
      <c r="T447" s="20" t="n">
        <v>-0.00623977933281727</v>
      </c>
      <c r="U447" s="20" t="n">
        <v>0.0223994809287138</v>
      </c>
      <c r="V447" s="20" t="n">
        <v>0.0151611155397883</v>
      </c>
      <c r="W447" s="20" t="n">
        <v>0.00848765764851933</v>
      </c>
      <c r="X447" s="20" t="n">
        <v>0.00934244388519367</v>
      </c>
    </row>
    <row r="448" customFormat="false" ht="13.5" hidden="false" customHeight="true" outlineLevel="0" collapsed="false">
      <c r="A448" s="47" t="n">
        <v>43018</v>
      </c>
      <c r="B448" s="20" t="n">
        <v>-0.00594358697775199</v>
      </c>
      <c r="C448" s="20" t="n">
        <v>-0.0124921123129797</v>
      </c>
      <c r="D448" s="20" t="n">
        <v>-0.00116137630992252</v>
      </c>
      <c r="E448" s="20" t="n">
        <v>-0.000807446850250137</v>
      </c>
      <c r="F448" s="20" t="n">
        <v>-0.0038640071657352</v>
      </c>
      <c r="G448" s="20" t="n">
        <v>0.0121037542378577</v>
      </c>
      <c r="H448" s="20" t="n">
        <v>0.0035322705750751</v>
      </c>
      <c r="I448" s="20" t="n">
        <v>0.00450109284201305</v>
      </c>
      <c r="J448" s="20" t="n">
        <v>0.0123132066743836</v>
      </c>
      <c r="K448" s="20" t="n">
        <v>0.012526247349155</v>
      </c>
      <c r="L448" s="20" t="n">
        <v>-0.00305963864351621</v>
      </c>
      <c r="M448" s="20" t="n">
        <v>0.00137266282334636</v>
      </c>
      <c r="N448" s="20" t="n">
        <v>-0.00246362464457039</v>
      </c>
      <c r="O448" s="20" t="n">
        <v>-0.0080845760157544</v>
      </c>
      <c r="P448" s="20" t="n">
        <v>0.0148409600770431</v>
      </c>
      <c r="Q448" s="20" t="n">
        <v>0.00739104498700804</v>
      </c>
      <c r="R448" s="20" t="n">
        <v>-0.0109010911312514</v>
      </c>
      <c r="S448" s="20" t="n">
        <v>0</v>
      </c>
      <c r="T448" s="20" t="n">
        <v>0.00119156748954019</v>
      </c>
      <c r="U448" s="20" t="n">
        <v>-0.00215582751165488</v>
      </c>
      <c r="V448" s="20" t="n">
        <v>-0.000307073764611587</v>
      </c>
      <c r="W448" s="20" t="n">
        <v>0.000898701181271555</v>
      </c>
      <c r="X448" s="20" t="n">
        <v>-0.00934244388519367</v>
      </c>
    </row>
    <row r="449" customFormat="false" ht="13.5" hidden="false" customHeight="true" outlineLevel="0" collapsed="false">
      <c r="A449" s="47" t="n">
        <v>43019</v>
      </c>
      <c r="B449" s="20" t="n">
        <v>-0.00400473197784556</v>
      </c>
      <c r="C449" s="20" t="n">
        <v>-0.000867263052508171</v>
      </c>
      <c r="D449" s="20" t="n">
        <v>0.00429014225364721</v>
      </c>
      <c r="E449" s="20" t="n">
        <v>-0.0212253053016175</v>
      </c>
      <c r="F449" s="20" t="n">
        <v>-0.0148208311795481</v>
      </c>
      <c r="G449" s="20" t="n">
        <v>0.0105314190087661</v>
      </c>
      <c r="H449" s="20" t="n">
        <v>-0.00992211345277294</v>
      </c>
      <c r="I449" s="20" t="n">
        <v>-0.00525327255588603</v>
      </c>
      <c r="J449" s="20" t="n">
        <v>-0.00174973836327496</v>
      </c>
      <c r="K449" s="20" t="n">
        <v>-0.016736876257225</v>
      </c>
      <c r="L449" s="20" t="n">
        <v>0.00712468114889697</v>
      </c>
      <c r="M449" s="20" t="n">
        <v>-0.00274731738367428</v>
      </c>
      <c r="N449" s="20" t="n">
        <v>0.00393894758682744</v>
      </c>
      <c r="O449" s="20" t="n">
        <v>-0.062951180080597</v>
      </c>
      <c r="P449" s="20" t="n">
        <v>-0.00957775326806098</v>
      </c>
      <c r="Q449" s="20" t="n">
        <v>0</v>
      </c>
      <c r="R449" s="20" t="n">
        <v>-0.00162517297869069</v>
      </c>
      <c r="S449" s="20" t="n">
        <v>-0.0119566264917705</v>
      </c>
      <c r="T449" s="20" t="n">
        <v>-0.00987298486710619</v>
      </c>
      <c r="U449" s="20" t="n">
        <v>0.00737210715614722</v>
      </c>
      <c r="V449" s="20" t="n">
        <v>0.00367926009796715</v>
      </c>
      <c r="W449" s="20" t="n">
        <v>-0.00811767364299953</v>
      </c>
      <c r="X449" s="20" t="n">
        <v>-0.00434157113735489</v>
      </c>
    </row>
    <row r="450" customFormat="false" ht="13.5" hidden="false" customHeight="true" outlineLevel="0" collapsed="false">
      <c r="A450" s="47" t="n">
        <v>43020</v>
      </c>
      <c r="B450" s="20" t="n">
        <v>0.000476029812522149</v>
      </c>
      <c r="C450" s="20" t="n">
        <v>-0.00304153020203346</v>
      </c>
      <c r="D450" s="20" t="n">
        <v>0.00138747558682528</v>
      </c>
      <c r="E450" s="20" t="n">
        <v>-0.00579229543356518</v>
      </c>
      <c r="F450" s="20" t="n">
        <v>0.0148208311795481</v>
      </c>
      <c r="G450" s="20" t="n">
        <v>0.0141845991732019</v>
      </c>
      <c r="H450" s="20" t="n">
        <v>0.00638984287769783</v>
      </c>
      <c r="I450" s="20" t="n">
        <v>0.00824280863417303</v>
      </c>
      <c r="J450" s="20" t="n">
        <v>0</v>
      </c>
      <c r="K450" s="20" t="n">
        <v>-0.0140218970075572</v>
      </c>
      <c r="L450" s="20" t="n">
        <v>0.0581158263638883</v>
      </c>
      <c r="M450" s="20" t="n">
        <v>-0.000275094835194611</v>
      </c>
      <c r="N450" s="20" t="n">
        <v>-0.00492613708149658</v>
      </c>
      <c r="O450" s="20" t="n">
        <v>-0.00447177504094087</v>
      </c>
      <c r="P450" s="20" t="n">
        <v>-0.0017513540054499</v>
      </c>
      <c r="Q450" s="20" t="n">
        <v>0.0275979835543784</v>
      </c>
      <c r="R450" s="20" t="n">
        <v>-0.0161227748102179</v>
      </c>
      <c r="S450" s="20" t="n">
        <v>-0.000546908870274975</v>
      </c>
      <c r="T450" s="20" t="n">
        <v>0.00629412839504173</v>
      </c>
      <c r="U450" s="20" t="n">
        <v>-0.00460116484835282</v>
      </c>
      <c r="V450" s="20" t="n">
        <v>-0.000918517499881588</v>
      </c>
      <c r="W450" s="20" t="n">
        <v>-0.0279173408569914</v>
      </c>
      <c r="X450" s="20" t="n">
        <v>-0.00654787012710622</v>
      </c>
    </row>
    <row r="451" customFormat="false" ht="13.5" hidden="false" customHeight="true" outlineLevel="0" collapsed="false">
      <c r="A451" s="47" t="n">
        <v>43021</v>
      </c>
      <c r="B451" s="20" t="n">
        <v>-0.00183720165425693</v>
      </c>
      <c r="C451" s="20" t="n">
        <v>0.0164009055675213</v>
      </c>
      <c r="D451" s="20" t="n">
        <v>-0.0069566205596141</v>
      </c>
      <c r="E451" s="20" t="n">
        <v>0.00579229543356518</v>
      </c>
      <c r="F451" s="20" t="n">
        <v>0.0157483511992033</v>
      </c>
      <c r="G451" s="20" t="n">
        <v>-0.0412132454330582</v>
      </c>
      <c r="H451" s="20" t="n">
        <v>-0.00995739839443699</v>
      </c>
      <c r="I451" s="20" t="n">
        <v>-0.0257005225107751</v>
      </c>
      <c r="J451" s="20" t="n">
        <v>-0.00175288897040237</v>
      </c>
      <c r="K451" s="20" t="n">
        <v>-0.0116205100892337</v>
      </c>
      <c r="L451" s="20" t="n">
        <v>0.00477329700479778</v>
      </c>
      <c r="M451" s="20" t="n">
        <v>-0.0099558513672604</v>
      </c>
      <c r="N451" s="20" t="n">
        <v>-0.0244950896497377</v>
      </c>
      <c r="O451" s="20" t="n">
        <v>0.0130792851839847</v>
      </c>
      <c r="P451" s="20" t="n">
        <v>-0.0079191046847673</v>
      </c>
      <c r="Q451" s="20" t="n">
        <v>-0.0202611655642424</v>
      </c>
      <c r="R451" s="20" t="n">
        <v>-0.00220623409546227</v>
      </c>
      <c r="S451" s="20" t="n">
        <v>-0.000547208143269806</v>
      </c>
      <c r="T451" s="20" t="n">
        <v>0.00208923199684862</v>
      </c>
      <c r="U451" s="20" t="n">
        <v>0.0049072277680322</v>
      </c>
      <c r="V451" s="20" t="n">
        <v>-0.0254395502446413</v>
      </c>
      <c r="W451" s="20" t="n">
        <v>0.00204671413038282</v>
      </c>
      <c r="X451" s="20" t="n">
        <v>0.0159308414753338</v>
      </c>
    </row>
    <row r="452" customFormat="false" ht="13.5" hidden="false" customHeight="true" outlineLevel="0" collapsed="false">
      <c r="A452" s="47" t="n">
        <v>43024</v>
      </c>
      <c r="B452" s="20" t="n">
        <v>-0.00197708452954081</v>
      </c>
      <c r="C452" s="20" t="n">
        <v>-0.007304013320371</v>
      </c>
      <c r="D452" s="20" t="n">
        <v>0.0012790027191416</v>
      </c>
      <c r="E452" s="20" t="n">
        <v>0.0123003248315236</v>
      </c>
      <c r="F452" s="20" t="n">
        <v>-0.00152551546638024</v>
      </c>
      <c r="G452" s="20" t="n">
        <v>0.00195498635599822</v>
      </c>
      <c r="H452" s="20" t="n">
        <v>-0.000715102339662987</v>
      </c>
      <c r="I452" s="20" t="n">
        <v>0.00610688320632712</v>
      </c>
      <c r="J452" s="20" t="n">
        <v>0.00175288897040237</v>
      </c>
      <c r="K452" s="20" t="n">
        <v>-0.0469736102030787</v>
      </c>
      <c r="L452" s="20" t="n">
        <v>-0.0231223951126833</v>
      </c>
      <c r="M452" s="20" t="n">
        <v>0.0060959241077394</v>
      </c>
      <c r="N452" s="20" t="n">
        <v>-0.0381686227180759</v>
      </c>
      <c r="O452" s="20" t="n">
        <v>0.00165749693162053</v>
      </c>
      <c r="P452" s="20" t="n">
        <v>0.00879516509254951</v>
      </c>
      <c r="Q452" s="20" t="n">
        <v>-0.00146309153034795</v>
      </c>
      <c r="R452" s="20" t="n">
        <v>0.00261935508432209</v>
      </c>
      <c r="S452" s="20" t="n">
        <v>0.00491402299049514</v>
      </c>
      <c r="T452" s="20" t="n">
        <v>0.001787237864451</v>
      </c>
      <c r="U452" s="20" t="n">
        <v>-0.0076781700758266</v>
      </c>
      <c r="V452" s="20" t="n">
        <v>0.00829229146033405</v>
      </c>
      <c r="W452" s="20" t="n">
        <v>-0.0114030700510761</v>
      </c>
      <c r="X452" s="20" t="n">
        <v>-0.00793366258097094</v>
      </c>
    </row>
    <row r="453" customFormat="false" ht="13.5" hidden="false" customHeight="true" outlineLevel="0" collapsed="false">
      <c r="A453" s="47" t="n">
        <v>43025</v>
      </c>
      <c r="B453" s="20" t="n">
        <v>0.0849336017451527</v>
      </c>
      <c r="C453" s="20" t="n">
        <v>-0.00302305470453001</v>
      </c>
      <c r="D453" s="20" t="n">
        <v>-0.00384183719409048</v>
      </c>
      <c r="E453" s="20" t="n">
        <v>-0.00654138696021933</v>
      </c>
      <c r="F453" s="20" t="n">
        <v>0.0106302738947823</v>
      </c>
      <c r="G453" s="20" t="n">
        <v>0.00923459956515904</v>
      </c>
      <c r="H453" s="20" t="n">
        <v>-0.00214817528498167</v>
      </c>
      <c r="I453" s="20" t="n">
        <v>0.000760690430141153</v>
      </c>
      <c r="J453" s="20" t="n">
        <v>0.00698082446060954</v>
      </c>
      <c r="K453" s="20" t="n">
        <v>0.0281834642971042</v>
      </c>
      <c r="L453" s="20" t="n">
        <v>-0.0107791941462229</v>
      </c>
      <c r="M453" s="20" t="n">
        <v>-0.010273557486585</v>
      </c>
      <c r="N453" s="20" t="n">
        <v>-0.0196449555490509</v>
      </c>
      <c r="O453" s="20" t="n">
        <v>-0.0144567563035371</v>
      </c>
      <c r="P453" s="20" t="n">
        <v>0.0318855004051483</v>
      </c>
      <c r="Q453" s="20" t="n">
        <v>-0.00146516538662155</v>
      </c>
      <c r="R453" s="20" t="n">
        <v>0.0200374899078887</v>
      </c>
      <c r="S453" s="20" t="n">
        <v>0.00488999340237406</v>
      </c>
      <c r="T453" s="20" t="n">
        <v>-0.00148918087877536</v>
      </c>
      <c r="U453" s="20" t="n">
        <v>-0.000925434795336244</v>
      </c>
      <c r="V453" s="20" t="n">
        <v>-0.00750706588152017</v>
      </c>
      <c r="W453" s="20" t="n">
        <v>0.00412760855913108</v>
      </c>
      <c r="X453" s="20" t="n">
        <v>0.010086496788435</v>
      </c>
    </row>
    <row r="454" customFormat="false" ht="13.5" hidden="false" customHeight="true" outlineLevel="0" collapsed="false">
      <c r="A454" s="47" t="n">
        <v>43026</v>
      </c>
      <c r="B454" s="20" t="n">
        <v>0.00855103140370694</v>
      </c>
      <c r="C454" s="20" t="n">
        <v>0.0197007987639703</v>
      </c>
      <c r="D454" s="20" t="n">
        <v>0.0073217508664225</v>
      </c>
      <c r="E454" s="20" t="n">
        <v>0.00327600319935506</v>
      </c>
      <c r="F454" s="20" t="n">
        <v>0.0037693366330882</v>
      </c>
      <c r="G454" s="20" t="n">
        <v>0.0105871689663463</v>
      </c>
      <c r="H454" s="20" t="n">
        <v>-0.00719426860021155</v>
      </c>
      <c r="I454" s="20" t="n">
        <v>0.00833027240412143</v>
      </c>
      <c r="J454" s="20" t="n">
        <v>-0.00174068435266905</v>
      </c>
      <c r="K454" s="20" t="n">
        <v>-0.0299999718182797</v>
      </c>
      <c r="L454" s="20" t="n">
        <v>0.0175786078413082</v>
      </c>
      <c r="M454" s="20" t="n">
        <v>0.0113779450692708</v>
      </c>
      <c r="N454" s="20" t="n">
        <v>-0.00861609261533269</v>
      </c>
      <c r="O454" s="20" t="n">
        <v>-0.000560236944759928</v>
      </c>
      <c r="P454" s="20" t="n">
        <v>-0.0231670163095687</v>
      </c>
      <c r="Q454" s="20" t="n">
        <v>0</v>
      </c>
      <c r="R454" s="20" t="n">
        <v>0.00712702263075826</v>
      </c>
      <c r="S454" s="20" t="n">
        <v>-0.00217042488159613</v>
      </c>
      <c r="T454" s="20" t="n">
        <v>0.00594357664121947</v>
      </c>
      <c r="U454" s="20" t="n">
        <v>-0.00681214603622493</v>
      </c>
      <c r="V454" s="20" t="n">
        <v>0.0151128125894928</v>
      </c>
      <c r="W454" s="20" t="n">
        <v>0.00634567551300913</v>
      </c>
      <c r="X454" s="20" t="n">
        <v>0.00214820946685678</v>
      </c>
    </row>
    <row r="455" customFormat="false" ht="13.5" hidden="false" customHeight="true" outlineLevel="0" collapsed="false">
      <c r="A455" s="47" t="n">
        <v>43027</v>
      </c>
      <c r="B455" s="20" t="n">
        <v>0.00724536979698609</v>
      </c>
      <c r="C455" s="20" t="n">
        <v>0.0105464153467553</v>
      </c>
      <c r="D455" s="20" t="n">
        <v>0.0100237342146991</v>
      </c>
      <c r="E455" s="20" t="n">
        <v>-0.0106864281403891</v>
      </c>
      <c r="F455" s="20" t="n">
        <v>0.0219543758315303</v>
      </c>
      <c r="G455" s="20" t="n">
        <v>0.00620384087526426</v>
      </c>
      <c r="H455" s="20" t="n">
        <v>-0.00651944569109907</v>
      </c>
      <c r="I455" s="20" t="n">
        <v>-0.0129034104401526</v>
      </c>
      <c r="J455" s="20" t="n">
        <v>0.00347834398763891</v>
      </c>
      <c r="K455" s="20" t="n">
        <v>0.0130957134385011</v>
      </c>
      <c r="L455" s="20" t="n">
        <v>-0.00485204169442576</v>
      </c>
      <c r="M455" s="20" t="n">
        <v>0.00495449653329815</v>
      </c>
      <c r="N455" s="20" t="n">
        <v>0.0293120444272867</v>
      </c>
      <c r="O455" s="20" t="n">
        <v>-0.00421165053677263</v>
      </c>
      <c r="P455" s="20" t="n">
        <v>-0.0122272562496696</v>
      </c>
      <c r="Q455" s="20" t="n">
        <v>-0.0162605403569771</v>
      </c>
      <c r="R455" s="20" t="n">
        <v>0.0246174510649002</v>
      </c>
      <c r="S455" s="20" t="n">
        <v>0</v>
      </c>
      <c r="T455" s="20" t="n">
        <v>0.0147061473896954</v>
      </c>
      <c r="U455" s="20" t="n">
        <v>0.00973954116244701</v>
      </c>
      <c r="V455" s="20" t="n">
        <v>-0.00387327166532891</v>
      </c>
      <c r="W455" s="20" t="n">
        <v>0.0215338805515989</v>
      </c>
      <c r="X455" s="20" t="n">
        <v>0.014909757539173</v>
      </c>
    </row>
    <row r="456" customFormat="false" ht="13.5" hidden="false" customHeight="true" outlineLevel="0" collapsed="false">
      <c r="A456" s="47" t="n">
        <v>43028</v>
      </c>
      <c r="B456" s="20" t="n">
        <v>-0.0156710140101932</v>
      </c>
      <c r="C456" s="20" t="n">
        <v>-0.0654621668371002</v>
      </c>
      <c r="D456" s="20" t="n">
        <v>-0.000573396618060328</v>
      </c>
      <c r="E456" s="20" t="n">
        <v>-0.00497104741679699</v>
      </c>
      <c r="F456" s="20" t="n">
        <v>-0.000368129173893727</v>
      </c>
      <c r="G456" s="20" t="n">
        <v>0.0155773703157331</v>
      </c>
      <c r="H456" s="20" t="n">
        <v>-0.024274852237351</v>
      </c>
      <c r="I456" s="20" t="n">
        <v>-0.00459422093526873</v>
      </c>
      <c r="J456" s="20" t="n">
        <v>-0.0104713730659817</v>
      </c>
      <c r="K456" s="20" t="n">
        <v>0.0221836740355999</v>
      </c>
      <c r="L456" s="20" t="n">
        <v>-0.022627580567776</v>
      </c>
      <c r="M456" s="20" t="n">
        <v>-0.000549207460940337</v>
      </c>
      <c r="N456" s="20" t="n">
        <v>-0.0126852481936206</v>
      </c>
      <c r="O456" s="20" t="n">
        <v>-0.00819331922870425</v>
      </c>
      <c r="P456" s="20" t="n">
        <v>-0.020417975060909</v>
      </c>
      <c r="Q456" s="20" t="n">
        <v>-0.028724583655503</v>
      </c>
      <c r="R456" s="20" t="n">
        <v>-0.0076115091340867</v>
      </c>
      <c r="S456" s="20" t="n">
        <v>0.00325377007821758</v>
      </c>
      <c r="T456" s="20" t="n">
        <v>0.00291540953861213</v>
      </c>
      <c r="U456" s="20" t="n">
        <v>-0.00772204609391025</v>
      </c>
      <c r="V456" s="20" t="n">
        <v>-0.0104549314408171</v>
      </c>
      <c r="W456" s="20" t="n">
        <v>-0.00018206904746254</v>
      </c>
      <c r="X456" s="20" t="n">
        <v>-0.00565372006780684</v>
      </c>
    </row>
    <row r="457" customFormat="false" ht="13.5" hidden="false" customHeight="true" outlineLevel="0" collapsed="false">
      <c r="A457" s="47" t="n">
        <v>43031</v>
      </c>
      <c r="B457" s="20" t="n">
        <v>-0.0232708600568498</v>
      </c>
      <c r="C457" s="20" t="n">
        <v>-0.0194532330832966</v>
      </c>
      <c r="D457" s="20" t="n">
        <v>-0.0233257126566046</v>
      </c>
      <c r="E457" s="20" t="n">
        <v>0.012381472357831</v>
      </c>
      <c r="F457" s="20" t="n">
        <v>0.018964844702221</v>
      </c>
      <c r="G457" s="20" t="n">
        <v>0.00560482236699533</v>
      </c>
      <c r="H457" s="20" t="n">
        <v>0.00371614465127034</v>
      </c>
      <c r="I457" s="20" t="n">
        <v>-0.00693111399848955</v>
      </c>
      <c r="J457" s="20" t="n">
        <v>0.00350262733367734</v>
      </c>
      <c r="K457" s="20" t="n">
        <v>-0.00837196044839061</v>
      </c>
      <c r="L457" s="20" t="n">
        <v>0.0323082352792014</v>
      </c>
      <c r="M457" s="20" t="n">
        <v>-0.00357785064663307</v>
      </c>
      <c r="N457" s="20" t="n">
        <v>-0.00319656465728623</v>
      </c>
      <c r="O457" s="20" t="n">
        <v>-0.0111254716577522</v>
      </c>
      <c r="P457" s="20" t="n">
        <v>-0.0328196879589528</v>
      </c>
      <c r="Q457" s="20" t="n">
        <v>0.00153260240507457</v>
      </c>
      <c r="R457" s="20" t="n">
        <v>0.00131646241109084</v>
      </c>
      <c r="S457" s="20" t="n">
        <v>0.00593797224456338</v>
      </c>
      <c r="T457" s="20" t="n">
        <v>0.00667355895956012</v>
      </c>
      <c r="U457" s="20" t="n">
        <v>-0.00575299346930524</v>
      </c>
      <c r="V457" s="20" t="n">
        <v>-0.00156983506216068</v>
      </c>
      <c r="W457" s="20" t="n">
        <v>0.00924502788332226</v>
      </c>
      <c r="X457" s="20" t="n">
        <v>0.00706220326067796</v>
      </c>
    </row>
    <row r="458" customFormat="false" ht="13.5" hidden="false" customHeight="true" outlineLevel="0" collapsed="false">
      <c r="A458" s="47" t="n">
        <v>43032</v>
      </c>
      <c r="B458" s="20" t="n">
        <v>-0.0153859447674324</v>
      </c>
      <c r="C458" s="20" t="n">
        <v>-0.0179769766540438</v>
      </c>
      <c r="D458" s="20" t="n">
        <v>-0.00376426395718354</v>
      </c>
      <c r="E458" s="20" t="n">
        <v>-0.012381472357831</v>
      </c>
      <c r="F458" s="20" t="n">
        <v>-0.0018080332132726</v>
      </c>
      <c r="G458" s="20" t="n">
        <v>-0.0159627879987227</v>
      </c>
      <c r="H458" s="20" t="n">
        <v>0.0132647360731192</v>
      </c>
      <c r="I458" s="20" t="n">
        <v>-0.0046475270835069</v>
      </c>
      <c r="J458" s="20" t="n">
        <v>-0.028370670740883</v>
      </c>
      <c r="K458" s="20" t="n">
        <v>0.00441501402649768</v>
      </c>
      <c r="L458" s="20" t="n">
        <v>-0.00482861301699966</v>
      </c>
      <c r="M458" s="20" t="n">
        <v>-0.0030374346116333</v>
      </c>
      <c r="N458" s="20" t="n">
        <v>-0.0112691872435801</v>
      </c>
      <c r="O458" s="20" t="n">
        <v>-0.0400931206759662</v>
      </c>
      <c r="P458" s="20" t="n">
        <v>-0.017765738628912</v>
      </c>
      <c r="Q458" s="20" t="n">
        <v>-0.00768646211063228</v>
      </c>
      <c r="R458" s="20" t="n">
        <v>-0.00633502651902073</v>
      </c>
      <c r="S458" s="20" t="n">
        <v>-0.010278723852541</v>
      </c>
      <c r="T458" s="20" t="n">
        <v>-0.00813020127764518</v>
      </c>
      <c r="U458" s="20" t="n">
        <v>-0.0053157777263495</v>
      </c>
      <c r="V458" s="20" t="n">
        <v>0.0054837343832963</v>
      </c>
      <c r="W458" s="20" t="n">
        <v>-0.00307216599736825</v>
      </c>
      <c r="X458" s="20" t="n">
        <v>-0.0234969814698442</v>
      </c>
    </row>
    <row r="459" customFormat="false" ht="13.5" hidden="false" customHeight="true" outlineLevel="0" collapsed="false">
      <c r="A459" s="47" t="n">
        <v>43033</v>
      </c>
      <c r="B459" s="20" t="n">
        <v>0.00065129342274961</v>
      </c>
      <c r="C459" s="20" t="n">
        <v>-0.00840732164175062</v>
      </c>
      <c r="D459" s="20" t="n">
        <v>-0.00816518119392739</v>
      </c>
      <c r="E459" s="20" t="n">
        <v>0.0189228593180503</v>
      </c>
      <c r="F459" s="20" t="n">
        <v>0.0039732980743854</v>
      </c>
      <c r="G459" s="20" t="n">
        <v>-0.0147797433813359</v>
      </c>
      <c r="H459" s="20" t="n">
        <v>-0.0282126831251181</v>
      </c>
      <c r="I459" s="20" t="n">
        <v>0.0031007746981877</v>
      </c>
      <c r="J459" s="20" t="n">
        <v>0.00359066474942793</v>
      </c>
      <c r="K459" s="20" t="n">
        <v>-0.0133039529664712</v>
      </c>
      <c r="L459" s="20" t="n">
        <v>-0.0445397524030144</v>
      </c>
      <c r="M459" s="20" t="n">
        <v>-0.01168297460964</v>
      </c>
      <c r="N459" s="20" t="n">
        <v>-0.00107993840243736</v>
      </c>
      <c r="O459" s="20" t="n">
        <v>0.00565726151060541</v>
      </c>
      <c r="P459" s="20" t="n">
        <v>0.00938968653644156</v>
      </c>
      <c r="Q459" s="20" t="n">
        <v>-0.0250012779872466</v>
      </c>
      <c r="R459" s="20" t="n">
        <v>-0.0298329202305298</v>
      </c>
      <c r="S459" s="20" t="n">
        <v>0.000543638455978268</v>
      </c>
      <c r="T459" s="20" t="n">
        <v>-0.000874982684681224</v>
      </c>
      <c r="U459" s="20" t="n">
        <v>0.0308714124077384</v>
      </c>
      <c r="V459" s="20" t="n">
        <v>-0.0488292149149263</v>
      </c>
      <c r="W459" s="20" t="n">
        <v>0.00667448920415836</v>
      </c>
      <c r="X459" s="20" t="n">
        <v>0.00215903164201591</v>
      </c>
    </row>
    <row r="460" customFormat="false" ht="13.5" hidden="false" customHeight="true" outlineLevel="0" collapsed="false">
      <c r="A460" s="47" t="n">
        <v>43034</v>
      </c>
      <c r="B460" s="20" t="n">
        <v>0.000520610351405714</v>
      </c>
      <c r="C460" s="20" t="n">
        <v>-0.025173475409268</v>
      </c>
      <c r="D460" s="20" t="n">
        <v>-0.0035710434822187</v>
      </c>
      <c r="E460" s="20" t="n">
        <v>-0.0172630699372455</v>
      </c>
      <c r="F460" s="20" t="n">
        <v>0.00216058661700735</v>
      </c>
      <c r="G460" s="20" t="n">
        <v>-0.0120803597001026</v>
      </c>
      <c r="H460" s="20" t="n">
        <v>0.01271989656713</v>
      </c>
      <c r="I460" s="20" t="n">
        <v>0.013835755067372</v>
      </c>
      <c r="J460" s="20" t="n">
        <v>-0.00719426884701213</v>
      </c>
      <c r="K460" s="20" t="n">
        <v>-0.00896866135274432</v>
      </c>
      <c r="L460" s="20" t="n">
        <v>0.0130720928495819</v>
      </c>
      <c r="M460" s="20" t="n">
        <v>-0.00392496169832101</v>
      </c>
      <c r="N460" s="20" t="n">
        <v>-0.0572537949111771</v>
      </c>
      <c r="O460" s="20" t="n">
        <v>0.0085736196720676</v>
      </c>
      <c r="P460" s="20" t="n">
        <v>0.04923510046022</v>
      </c>
      <c r="Q460" s="20" t="n">
        <v>0.0110150121747942</v>
      </c>
      <c r="R460" s="20" t="n">
        <v>-0.0607354563393283</v>
      </c>
      <c r="S460" s="20" t="n">
        <v>0.00217160320746812</v>
      </c>
      <c r="T460" s="20" t="n">
        <v>0.00465793697001126</v>
      </c>
      <c r="U460" s="20" t="n">
        <v>-0.0133121505722062</v>
      </c>
      <c r="V460" s="20" t="n">
        <v>-0.0167098294673229</v>
      </c>
      <c r="W460" s="20" t="n">
        <v>0.00448471475116907</v>
      </c>
      <c r="X460" s="20" t="n">
        <v>0.00215438026505188</v>
      </c>
    </row>
    <row r="461" customFormat="false" ht="13.5" hidden="false" customHeight="true" outlineLevel="0" collapsed="false">
      <c r="A461" s="47" t="n">
        <v>43035</v>
      </c>
      <c r="B461" s="20" t="n">
        <v>0.00441506982209016</v>
      </c>
      <c r="C461" s="20" t="n">
        <v>-0.0184471470666225</v>
      </c>
      <c r="D461" s="20" t="n">
        <v>-0.0145339062918692</v>
      </c>
      <c r="E461" s="20" t="n">
        <v>0.00331125803599219</v>
      </c>
      <c r="F461" s="20" t="n">
        <v>-0.00722020670825429</v>
      </c>
      <c r="G461" s="20" t="n">
        <v>0.00339722221316307</v>
      </c>
      <c r="H461" s="20" t="n">
        <v>-0.0240793957001623</v>
      </c>
      <c r="I461" s="20" t="n">
        <v>0.0211488039262834</v>
      </c>
      <c r="J461" s="20" t="n">
        <v>-0.0054298291692818</v>
      </c>
      <c r="K461" s="20" t="n">
        <v>0.0483610260617473</v>
      </c>
      <c r="L461" s="20" t="n">
        <v>-0.0191635249030364</v>
      </c>
      <c r="M461" s="20" t="n">
        <v>-0.0127209333290485</v>
      </c>
      <c r="N461" s="20" t="n">
        <v>0.051293299843353</v>
      </c>
      <c r="O461" s="20" t="n">
        <v>-0.0127390344155884</v>
      </c>
      <c r="P461" s="20" t="n">
        <v>0.00355239829475362</v>
      </c>
      <c r="Q461" s="20" t="n">
        <v>-0.00627944960906323</v>
      </c>
      <c r="R461" s="20" t="n">
        <v>-0.00785802844296235</v>
      </c>
      <c r="S461" s="20" t="n">
        <v>-0.0114536835102452</v>
      </c>
      <c r="T461" s="20" t="n">
        <v>-0.0113919556132855</v>
      </c>
      <c r="U461" s="20" t="n">
        <v>-0.0134916384523702</v>
      </c>
      <c r="V461" s="20" t="n">
        <v>0.0149034309216888</v>
      </c>
      <c r="W461" s="20" t="n">
        <v>-0.000358046158999592</v>
      </c>
      <c r="X461" s="20" t="n">
        <v>-0.0122700292466366</v>
      </c>
    </row>
    <row r="462" customFormat="false" ht="13.5" hidden="false" customHeight="true" outlineLevel="0" collapsed="false">
      <c r="A462" s="47" t="n">
        <v>43038</v>
      </c>
      <c r="B462" s="20" t="n">
        <v>-0.00194541954579019</v>
      </c>
      <c r="C462" s="20" t="n">
        <v>-0.012324556325117</v>
      </c>
      <c r="D462" s="20" t="n">
        <v>-0.00862754081519501</v>
      </c>
      <c r="E462" s="20" t="n">
        <v>0.0139518119012533</v>
      </c>
      <c r="F462" s="20" t="n">
        <v>-0.00763782555322212</v>
      </c>
      <c r="G462" s="20" t="n">
        <v>0.00290282608623648</v>
      </c>
      <c r="H462" s="20" t="n">
        <v>-0.0246735492722924</v>
      </c>
      <c r="I462" s="20" t="n">
        <v>-0.024206907275015</v>
      </c>
      <c r="J462" s="20" t="n">
        <v>-0.0127855933178575</v>
      </c>
      <c r="K462" s="20" t="n">
        <v>0.0123695518469117</v>
      </c>
      <c r="L462" s="20" t="n">
        <v>-0.00305963864351621</v>
      </c>
      <c r="M462" s="20" t="n">
        <v>-0.00256374300434236</v>
      </c>
      <c r="N462" s="20" t="n">
        <v>0.031561868888549</v>
      </c>
      <c r="O462" s="20" t="n">
        <v>0.00327431774467612</v>
      </c>
      <c r="P462" s="20" t="n">
        <v>0.0365576031044394</v>
      </c>
      <c r="Q462" s="20" t="n">
        <v>-0.00315457378277828</v>
      </c>
      <c r="R462" s="20" t="n">
        <v>0.00116808063434525</v>
      </c>
      <c r="S462" s="20" t="n">
        <v>0.0130791934547764</v>
      </c>
      <c r="T462" s="20" t="n">
        <v>0.00322630009765845</v>
      </c>
      <c r="U462" s="20" t="n">
        <v>0.00265063168027968</v>
      </c>
      <c r="V462" s="20" t="n">
        <v>0.0133879500842271</v>
      </c>
      <c r="W462" s="20" t="n">
        <v>0.00517906186759109</v>
      </c>
      <c r="X462" s="20" t="n">
        <v>0.00217626000041359</v>
      </c>
    </row>
    <row r="463" customFormat="false" ht="13.5" hidden="false" customHeight="true" outlineLevel="0" collapsed="false">
      <c r="A463" s="47" t="n">
        <v>43039</v>
      </c>
      <c r="B463" s="20" t="n">
        <v>-0.000194740366440626</v>
      </c>
      <c r="C463" s="20" t="n">
        <v>-0.00696864660956153</v>
      </c>
      <c r="D463" s="20" t="n">
        <v>0.0115271183262697</v>
      </c>
      <c r="E463" s="20" t="n">
        <v>0.00649879793185048</v>
      </c>
      <c r="F463" s="20" t="n">
        <v>0.00509838310498489</v>
      </c>
      <c r="G463" s="20" t="n">
        <v>0.00961540359032397</v>
      </c>
      <c r="H463" s="20" t="n">
        <v>-0.0125688887293278</v>
      </c>
      <c r="I463" s="20" t="n">
        <v>0.00838736556999952</v>
      </c>
      <c r="J463" s="20" t="n">
        <v>0</v>
      </c>
      <c r="K463" s="20" t="n">
        <v>0.0126370561149222</v>
      </c>
      <c r="L463" s="20" t="n">
        <v>0.0252156578181894</v>
      </c>
      <c r="M463" s="20" t="n">
        <v>0.00568821070432212</v>
      </c>
      <c r="N463" s="20" t="n">
        <v>-0.0619089831749373</v>
      </c>
      <c r="O463" s="20" t="n">
        <v>-0.00297626075900048</v>
      </c>
      <c r="P463" s="20" t="n">
        <v>0.0360929068889088</v>
      </c>
      <c r="Q463" s="20" t="n">
        <v>-0.00633915945568119</v>
      </c>
      <c r="R463" s="20" t="n">
        <v>0.00683491681220971</v>
      </c>
      <c r="S463" s="20" t="n">
        <v>-0.00979324457594588</v>
      </c>
      <c r="T463" s="20" t="n">
        <v>0.0136688881970497</v>
      </c>
      <c r="U463" s="20" t="n">
        <v>0.00744644666952254</v>
      </c>
      <c r="V463" s="20" t="n">
        <v>0.00807628362129353</v>
      </c>
      <c r="W463" s="20" t="n">
        <v>0.00124610066457808</v>
      </c>
      <c r="X463" s="20" t="n">
        <v>0.000724391821663505</v>
      </c>
    </row>
    <row r="464" customFormat="false" ht="13.5" hidden="false" customHeight="true" outlineLevel="0" collapsed="false">
      <c r="A464" s="47" t="n">
        <v>43040</v>
      </c>
      <c r="B464" s="20" t="n">
        <v>-0.00442445034979588</v>
      </c>
      <c r="C464" s="20" t="n">
        <v>-0.00400402465808547</v>
      </c>
      <c r="D464" s="20" t="n">
        <v>0.00289119426335293</v>
      </c>
      <c r="E464" s="20" t="n">
        <v>0.00565198868594007</v>
      </c>
      <c r="F464" s="20" t="n">
        <v>0.0122745275100513</v>
      </c>
      <c r="G464" s="20" t="n">
        <v>0.0133082138633122</v>
      </c>
      <c r="H464" s="20" t="n">
        <v>0.0023686751532046</v>
      </c>
      <c r="I464" s="20" t="n">
        <v>-0.00838736556999952</v>
      </c>
      <c r="J464" s="20" t="n">
        <v>-0.0185533898397034</v>
      </c>
      <c r="K464" s="20" t="n">
        <v>0.00459393429506882</v>
      </c>
      <c r="L464" s="20" t="n">
        <v>0.0216757515867103</v>
      </c>
      <c r="M464" s="20" t="n">
        <v>0.00565614546031945</v>
      </c>
      <c r="N464" s="20" t="n">
        <v>-0.0220910316207474</v>
      </c>
      <c r="O464" s="20" t="n">
        <v>-0.0113910429204908</v>
      </c>
      <c r="P464" s="20" t="n">
        <v>-0.00661705662521106</v>
      </c>
      <c r="Q464" s="20" t="n">
        <v>-0.00159105075856791</v>
      </c>
      <c r="R464" s="20" t="n">
        <v>0.00549209735682509</v>
      </c>
      <c r="S464" s="20" t="n">
        <v>-0.000546908870274975</v>
      </c>
      <c r="T464" s="20" t="n">
        <v>-0.0119135466679813</v>
      </c>
      <c r="U464" s="20" t="n">
        <v>-0.0124417690763785</v>
      </c>
      <c r="V464" s="20" t="n">
        <v>0.0011254876204978</v>
      </c>
      <c r="W464" s="20" t="n">
        <v>0.00479192435374642</v>
      </c>
      <c r="X464" s="20" t="n">
        <v>0.00433522826958343</v>
      </c>
    </row>
    <row r="465" customFormat="false" ht="13.5" hidden="false" customHeight="true" outlineLevel="0" collapsed="false">
      <c r="A465" s="47" t="n">
        <v>43041</v>
      </c>
      <c r="B465" s="20" t="n">
        <v>-0.0116093798977967</v>
      </c>
      <c r="C465" s="20" t="n">
        <v>0.00998016079050678</v>
      </c>
      <c r="D465" s="20" t="n">
        <v>0.00456079624227712</v>
      </c>
      <c r="E465" s="20" t="n">
        <v>-0.00484265839554032</v>
      </c>
      <c r="F465" s="20" t="n">
        <v>-0.00179569608064289</v>
      </c>
      <c r="G465" s="20" t="n">
        <v>0.0149955805516794</v>
      </c>
      <c r="H465" s="20" t="n">
        <v>-0.0023686751532046</v>
      </c>
      <c r="I465" s="20" t="n">
        <v>0.00305810334873157</v>
      </c>
      <c r="J465" s="20" t="n">
        <v>-0.00751882500082889</v>
      </c>
      <c r="K465" s="20" t="n">
        <v>0.0287493851326455</v>
      </c>
      <c r="L465" s="20" t="n">
        <v>-0.0167080125625918</v>
      </c>
      <c r="M465" s="20" t="n">
        <v>0.00253485996075708</v>
      </c>
      <c r="N465" s="20" t="n">
        <v>-0.064462055326163</v>
      </c>
      <c r="O465" s="20" t="n">
        <v>0.00391157631847471</v>
      </c>
      <c r="P465" s="20" t="n">
        <v>0.0229706352233018</v>
      </c>
      <c r="Q465" s="20" t="n">
        <v>-0.0176711636064761</v>
      </c>
      <c r="R465" s="20" t="n">
        <v>-0.00187545688663703</v>
      </c>
      <c r="S465" s="20" t="n">
        <v>0.0125035353620455</v>
      </c>
      <c r="T465" s="20" t="n">
        <v>0.00757144371473428</v>
      </c>
      <c r="U465" s="20" t="n">
        <v>0.000156456011989547</v>
      </c>
      <c r="V465" s="20" t="n">
        <v>-0.000160680136494839</v>
      </c>
      <c r="W465" s="20" t="n">
        <v>-0.00230437167291786</v>
      </c>
      <c r="X465" s="20" t="n">
        <v>-0.0065099798682584</v>
      </c>
    </row>
    <row r="466" customFormat="false" ht="13.5" hidden="false" customHeight="true" outlineLevel="0" collapsed="false">
      <c r="A466" s="47" t="n">
        <v>43042</v>
      </c>
      <c r="B466" s="20" t="n">
        <v>-0.00489390235162279</v>
      </c>
      <c r="C466" s="20" t="n">
        <v>-0.000496624887054597</v>
      </c>
      <c r="D466" s="20" t="n">
        <v>-0.00684892649162538</v>
      </c>
      <c r="E466" s="20" t="n">
        <v>-0.00243011326403719</v>
      </c>
      <c r="F466" s="20" t="n">
        <v>-0.00251933533319892</v>
      </c>
      <c r="G466" s="20" t="n">
        <v>-0.00793840622719521</v>
      </c>
      <c r="H466" s="20" t="n">
        <v>0.0203449703267382</v>
      </c>
      <c r="I466" s="20" t="n">
        <v>0.0159034046065116</v>
      </c>
      <c r="J466" s="20" t="n">
        <v>0.00938968653644134</v>
      </c>
      <c r="K466" s="20" t="n">
        <v>0.107382749455505</v>
      </c>
      <c r="L466" s="20" t="n">
        <v>0.0426834512988199</v>
      </c>
      <c r="M466" s="20" t="n">
        <v>-0.0064907676927759</v>
      </c>
      <c r="N466" s="20" t="n">
        <v>0.0181602586898335</v>
      </c>
      <c r="O466" s="20" t="n">
        <v>-0.0133012428918792</v>
      </c>
      <c r="P466" s="20" t="n">
        <v>0.0459668820506093</v>
      </c>
      <c r="Q466" s="20" t="n">
        <v>0.0112812954189507</v>
      </c>
      <c r="R466" s="20" t="n">
        <v>-0.0360200188398511</v>
      </c>
      <c r="S466" s="20" t="n">
        <v>0.0873715032257251</v>
      </c>
      <c r="T466" s="20" t="n">
        <v>-0.00174220056728335</v>
      </c>
      <c r="U466" s="20" t="n">
        <v>-0.00722363508998835</v>
      </c>
      <c r="V466" s="20" t="n">
        <v>-0.00871677688583361</v>
      </c>
      <c r="W466" s="20" t="n">
        <v>-0.0030213862989834</v>
      </c>
      <c r="X466" s="20" t="n">
        <v>0</v>
      </c>
    </row>
    <row r="467" customFormat="false" ht="13.5" hidden="false" customHeight="true" outlineLevel="0" collapsed="false">
      <c r="A467" s="47" t="n">
        <v>43045</v>
      </c>
      <c r="B467" s="20" t="n">
        <v>0.00337542768283594</v>
      </c>
      <c r="C467" s="20" t="n">
        <v>0.00396620853249629</v>
      </c>
      <c r="D467" s="20" t="n">
        <v>0.00409092539484756</v>
      </c>
      <c r="E467" s="20" t="n">
        <v>-0.0138834469989106</v>
      </c>
      <c r="F467" s="20" t="n">
        <v>-0.0207544202414924</v>
      </c>
      <c r="G467" s="20" t="n">
        <v>-0.000938107857257897</v>
      </c>
      <c r="H467" s="20" t="n">
        <v>-0.0266891567806046</v>
      </c>
      <c r="I467" s="20" t="n">
        <v>-0.00829884879072917</v>
      </c>
      <c r="J467" s="20" t="n">
        <v>-0.00187086153561244</v>
      </c>
      <c r="K467" s="20" t="n">
        <v>0.0668086891348513</v>
      </c>
      <c r="L467" s="20" t="n">
        <v>-0.0201445703049025</v>
      </c>
      <c r="M467" s="20" t="n">
        <v>0.00113188793506768</v>
      </c>
      <c r="N467" s="20" t="n">
        <v>-0.0273656949854199</v>
      </c>
      <c r="O467" s="20" t="n">
        <v>0.00637038658210142</v>
      </c>
      <c r="P467" s="20" t="n">
        <v>-0.0124709214347595</v>
      </c>
      <c r="Q467" s="20" t="n">
        <v>-0.0194180678768161</v>
      </c>
      <c r="R467" s="20" t="n">
        <v>0.0316784337512663</v>
      </c>
      <c r="S467" s="20" t="n">
        <v>-0.00347144421541978</v>
      </c>
      <c r="T467" s="20" t="n">
        <v>-0.000290606638686963</v>
      </c>
      <c r="U467" s="20" t="n">
        <v>0.013462895999023</v>
      </c>
      <c r="V467" s="20" t="n">
        <v>0.00372198086366726</v>
      </c>
      <c r="W467" s="20" t="n">
        <v>-0.020318977798543</v>
      </c>
      <c r="X467" s="20" t="n">
        <v>-0.027963567718539</v>
      </c>
    </row>
    <row r="468" customFormat="false" ht="13.5" hidden="false" customHeight="true" outlineLevel="0" collapsed="false">
      <c r="A468" s="47" t="n">
        <v>43046</v>
      </c>
      <c r="B468" s="20" t="n">
        <v>0.00145253697102898</v>
      </c>
      <c r="C468" s="20" t="n">
        <v>-0.0044631787689644</v>
      </c>
      <c r="D468" s="20" t="n">
        <v>0.0087274551561487</v>
      </c>
      <c r="E468" s="20" t="n">
        <v>-0.00825763789654798</v>
      </c>
      <c r="F468" s="20" t="n">
        <v>-0.0144527022202147</v>
      </c>
      <c r="G468" s="20" t="n">
        <v>0.025024517951004</v>
      </c>
      <c r="H468" s="20" t="n">
        <v>0.0374750755865647</v>
      </c>
      <c r="I468" s="20" t="n">
        <v>0.00528906769753323</v>
      </c>
      <c r="J468" s="20" t="n">
        <v>0.00373831844549954</v>
      </c>
      <c r="K468" s="20" t="n">
        <v>0.0465199714013899</v>
      </c>
      <c r="L468" s="20" t="n">
        <v>0.0067601076725916</v>
      </c>
      <c r="M468" s="20" t="n">
        <v>-0.000565783821255383</v>
      </c>
      <c r="N468" s="20" t="n">
        <v>0.00246311184203396</v>
      </c>
      <c r="O468" s="20" t="n">
        <v>0.0111262293836595</v>
      </c>
      <c r="P468" s="20" t="n">
        <v>-0.0118344273716277</v>
      </c>
      <c r="Q468" s="20" t="n">
        <v>0.00975616586793903</v>
      </c>
      <c r="R468" s="20" t="n">
        <v>0.000579975614804162</v>
      </c>
      <c r="S468" s="20" t="n">
        <v>0.000993071500173137</v>
      </c>
      <c r="T468" s="20" t="n">
        <v>0.00290271530101771</v>
      </c>
      <c r="U468" s="20" t="n">
        <v>0.00434444116292187</v>
      </c>
      <c r="V468" s="20" t="n">
        <v>0.0107640524336902</v>
      </c>
      <c r="W468" s="20" t="n">
        <v>-0.0144545730126544</v>
      </c>
      <c r="X468" s="20" t="n">
        <v>-0.00824280863417303</v>
      </c>
    </row>
    <row r="469" customFormat="false" ht="13.5" hidden="false" customHeight="true" outlineLevel="0" collapsed="false">
      <c r="A469" s="47" t="n">
        <v>43047</v>
      </c>
      <c r="B469" s="20" t="n">
        <v>-0.00841429570254348</v>
      </c>
      <c r="C469" s="20" t="n">
        <v>-0.00648219691650941</v>
      </c>
      <c r="D469" s="20" t="n">
        <v>-0.000238146101851022</v>
      </c>
      <c r="E469" s="20" t="n">
        <v>-0.00165978938080479</v>
      </c>
      <c r="F469" s="20" t="n">
        <v>-0.0112614230870691</v>
      </c>
      <c r="G469" s="20" t="n">
        <v>0.00456623527907362</v>
      </c>
      <c r="H469" s="20" t="n">
        <v>-0.0224727786213811</v>
      </c>
      <c r="I469" s="20" t="n">
        <v>0.0082551804129678</v>
      </c>
      <c r="J469" s="20" t="n">
        <v>-0.00937217551424751</v>
      </c>
      <c r="K469" s="20" t="n">
        <v>0.0350913625194797</v>
      </c>
      <c r="L469" s="20" t="n">
        <v>-0.0253425085968914</v>
      </c>
      <c r="M469" s="20" t="n">
        <v>-0.00396936693079341</v>
      </c>
      <c r="N469" s="20" t="n">
        <v>-0.049159279605754</v>
      </c>
      <c r="O469" s="20" t="n">
        <v>0.0166077774669766</v>
      </c>
      <c r="P469" s="20" t="n">
        <v>0.00711740442676678</v>
      </c>
      <c r="Q469" s="20" t="n">
        <v>-0.00161939341007366</v>
      </c>
      <c r="R469" s="20" t="n">
        <v>0.000434733439075074</v>
      </c>
      <c r="S469" s="20" t="n">
        <v>-0.000993071500173137</v>
      </c>
      <c r="T469" s="20" t="n">
        <v>-0.0131293138482382</v>
      </c>
      <c r="U469" s="20" t="n">
        <v>-0.0012392596877353</v>
      </c>
      <c r="V469" s="20" t="n">
        <v>-0.00947265870991831</v>
      </c>
      <c r="W469" s="20" t="n">
        <v>-0.00480322973273272</v>
      </c>
      <c r="X469" s="20" t="n">
        <v>-0.006037748432834</v>
      </c>
    </row>
    <row r="470" customFormat="false" ht="13.5" hidden="false" customHeight="true" outlineLevel="0" collapsed="false">
      <c r="A470" s="47" t="n">
        <v>43048</v>
      </c>
      <c r="B470" s="20" t="n">
        <v>-0.0076137372012015</v>
      </c>
      <c r="C470" s="20" t="n">
        <v>0.0247048591652334</v>
      </c>
      <c r="D470" s="20" t="n">
        <v>-0.00836921376389909</v>
      </c>
      <c r="E470" s="20" t="n">
        <v>-0.00249478156282467</v>
      </c>
      <c r="F470" s="20" t="n">
        <v>0.000754734291059211</v>
      </c>
      <c r="G470" s="20" t="n">
        <v>0.0059050436743111</v>
      </c>
      <c r="H470" s="20" t="n">
        <v>-0.00550104698837872</v>
      </c>
      <c r="I470" s="20" t="n">
        <v>-0.00976351082098414</v>
      </c>
      <c r="J470" s="20" t="n">
        <v>0.00563385706874797</v>
      </c>
      <c r="K470" s="20" t="n">
        <v>0.142076280034313</v>
      </c>
      <c r="L470" s="20" t="n">
        <v>-0.00594065313278946</v>
      </c>
      <c r="M470" s="20" t="n">
        <v>-0.000568356294360139</v>
      </c>
      <c r="N470" s="20" t="n">
        <v>0</v>
      </c>
      <c r="O470" s="20" t="n">
        <v>0.00644977952009817</v>
      </c>
      <c r="P470" s="20" t="n">
        <v>-0.00315706364175483</v>
      </c>
      <c r="Q470" s="20" t="n">
        <v>-0.00813677245786537</v>
      </c>
      <c r="R470" s="20" t="n">
        <v>0.0281427229265602</v>
      </c>
      <c r="S470" s="20" t="n">
        <v>0</v>
      </c>
      <c r="T470" s="20" t="n">
        <v>-0.0017635970998584</v>
      </c>
      <c r="U470" s="20" t="n">
        <v>0.00787457958764292</v>
      </c>
      <c r="V470" s="20" t="n">
        <v>-0.0183969542926352</v>
      </c>
      <c r="W470" s="20" t="n">
        <v>-0.00352469754183504</v>
      </c>
      <c r="X470" s="20" t="n">
        <v>-0.00531308223744098</v>
      </c>
    </row>
    <row r="471" customFormat="false" ht="13.5" hidden="false" customHeight="true" outlineLevel="0" collapsed="false">
      <c r="A471" s="47" t="n">
        <v>43049</v>
      </c>
      <c r="B471" s="20" t="n">
        <v>-0.00510829025770309</v>
      </c>
      <c r="C471" s="20" t="n">
        <v>-0.0744459120049563</v>
      </c>
      <c r="D471" s="20" t="n">
        <v>-0.00517606092397926</v>
      </c>
      <c r="E471" s="20" t="n">
        <v>0.0124122088401774</v>
      </c>
      <c r="F471" s="20" t="n">
        <v>-0.00415803323206676</v>
      </c>
      <c r="G471" s="20" t="n">
        <v>0.00271368175911668</v>
      </c>
      <c r="H471" s="20" t="n">
        <v>0</v>
      </c>
      <c r="I471" s="20" t="n">
        <v>0.000754449586558791</v>
      </c>
      <c r="J471" s="20" t="n">
        <v>0.0295224106918108</v>
      </c>
      <c r="K471" s="20" t="n">
        <v>0.241200858481259</v>
      </c>
      <c r="L471" s="20" t="n">
        <v>0.00297478519146254</v>
      </c>
      <c r="M471" s="20" t="n">
        <v>0.00340519434212804</v>
      </c>
      <c r="N471" s="20" t="n">
        <v>-0.00973715068333502</v>
      </c>
      <c r="O471" s="20" t="n">
        <v>-0.00146229159567745</v>
      </c>
      <c r="P471" s="20" t="n">
        <v>-0.0313152358407622</v>
      </c>
      <c r="Q471" s="20" t="n">
        <v>0</v>
      </c>
      <c r="R471" s="20" t="n">
        <v>0.00687874529518062</v>
      </c>
      <c r="S471" s="20" t="n">
        <v>0</v>
      </c>
      <c r="T471" s="20" t="n">
        <v>-0.0011775366120692</v>
      </c>
      <c r="U471" s="20" t="n">
        <v>0.0125326375009562</v>
      </c>
      <c r="V471" s="20" t="n">
        <v>0.00213378933112018</v>
      </c>
      <c r="W471" s="20" t="n">
        <v>-0.00167395464396413</v>
      </c>
      <c r="X471" s="20" t="n">
        <v>0.016604103226161</v>
      </c>
    </row>
    <row r="472" customFormat="false" ht="13.5" hidden="false" customHeight="true" outlineLevel="0" collapsed="false">
      <c r="A472" s="47" t="n">
        <v>43052</v>
      </c>
      <c r="B472" s="20" t="n">
        <v>0.00329648456364584</v>
      </c>
      <c r="C472" s="20" t="n">
        <v>-0.0606903608174946</v>
      </c>
      <c r="D472" s="20" t="n">
        <v>-0.00447539603951607</v>
      </c>
      <c r="E472" s="20" t="n">
        <v>-0.0115798967991134</v>
      </c>
      <c r="F472" s="20" t="n">
        <v>-0.0060790403494022</v>
      </c>
      <c r="G472" s="20" t="n">
        <v>-0.00543474762959483</v>
      </c>
      <c r="H472" s="20" t="n">
        <v>-0.0255400705346171</v>
      </c>
      <c r="I472" s="20" t="n">
        <v>-0.0015094687970758</v>
      </c>
      <c r="J472" s="20" t="n">
        <v>-0.0276515491561983</v>
      </c>
      <c r="K472" s="20" t="n">
        <v>0.0741080012646602</v>
      </c>
      <c r="L472" s="20" t="n">
        <v>-0.0332189487077934</v>
      </c>
      <c r="M472" s="20" t="n">
        <v>0.00226377659520649</v>
      </c>
      <c r="N472" s="20" t="n">
        <v>-0.0625835078159475</v>
      </c>
      <c r="O472" s="20" t="n">
        <v>-0.013256843205768</v>
      </c>
      <c r="P472" s="20" t="n">
        <v>-0.0306442095994508</v>
      </c>
      <c r="Q472" s="20" t="n">
        <v>-0.00985228718583508</v>
      </c>
      <c r="R472" s="20" t="n">
        <v>-0.014656418967105</v>
      </c>
      <c r="S472" s="20" t="n">
        <v>-0.000496811018079412</v>
      </c>
      <c r="T472" s="20" t="n">
        <v>0.00264745412365741</v>
      </c>
      <c r="U472" s="20" t="n">
        <v>-0.00167200740042439</v>
      </c>
      <c r="V472" s="20" t="n">
        <v>0.00425390559611127</v>
      </c>
      <c r="W472" s="20" t="n">
        <v>0.00593913565518322</v>
      </c>
      <c r="X472" s="20" t="n">
        <v>0.018539649026914</v>
      </c>
    </row>
    <row r="473" customFormat="false" ht="13.5" hidden="false" customHeight="true" outlineLevel="0" collapsed="false">
      <c r="A473" s="47" t="n">
        <v>43053</v>
      </c>
      <c r="B473" s="20" t="n">
        <v>-0.0120951050684343</v>
      </c>
      <c r="C473" s="20" t="n">
        <v>0.0199121290625678</v>
      </c>
      <c r="D473" s="20" t="n">
        <v>-0.00364337811097037</v>
      </c>
      <c r="E473" s="20" t="n">
        <v>-0.0016653174025607</v>
      </c>
      <c r="F473" s="20" t="n">
        <v>0.0207437623774788</v>
      </c>
      <c r="G473" s="20" t="n">
        <v>-0.0187949533203393</v>
      </c>
      <c r="H473" s="20" t="n">
        <v>0.0128515699516804</v>
      </c>
      <c r="I473" s="20" t="n">
        <v>0</v>
      </c>
      <c r="J473" s="20" t="n">
        <v>0.00559185236301207</v>
      </c>
      <c r="K473" s="20" t="n">
        <v>-0.03226083119837</v>
      </c>
      <c r="L473" s="20" t="n">
        <v>0.00916962088609185</v>
      </c>
      <c r="M473" s="20" t="n">
        <v>-0.000565463890925599</v>
      </c>
      <c r="N473" s="20" t="n">
        <v>0.0260467173621523</v>
      </c>
      <c r="O473" s="20" t="n">
        <v>0.00266548800287402</v>
      </c>
      <c r="P473" s="20" t="n">
        <v>-0.0126959446735535</v>
      </c>
      <c r="Q473" s="20" t="n">
        <v>-0.00165148706972972</v>
      </c>
      <c r="R473" s="20" t="n">
        <v>-0.00912726479759396</v>
      </c>
      <c r="S473" s="20" t="n">
        <v>-0.00248823934026232</v>
      </c>
      <c r="T473" s="20" t="n">
        <v>0.0020542837233739</v>
      </c>
      <c r="U473" s="20" t="n">
        <v>-0.00717616944772192</v>
      </c>
      <c r="V473" s="20" t="n">
        <v>-0.00294310718694035</v>
      </c>
      <c r="W473" s="20" t="n">
        <v>-0.00538086302588647</v>
      </c>
      <c r="X473" s="20" t="n">
        <v>-0.00737462252383425</v>
      </c>
    </row>
    <row r="474" customFormat="false" ht="13.5" hidden="false" customHeight="true" outlineLevel="0" collapsed="false">
      <c r="A474" s="47" t="n">
        <v>43054</v>
      </c>
      <c r="B474" s="20" t="n">
        <v>0.0136386490934192</v>
      </c>
      <c r="C474" s="20" t="n">
        <v>-0.000547770078274556</v>
      </c>
      <c r="D474" s="20" t="n">
        <v>0.0150941700871118</v>
      </c>
      <c r="E474" s="20" t="n">
        <v>0.00332778692432134</v>
      </c>
      <c r="F474" s="20" t="n">
        <v>-0.00112047391757563</v>
      </c>
      <c r="G474" s="20" t="n">
        <v>0.0305332471152661</v>
      </c>
      <c r="H474" s="20" t="n">
        <v>0.0197557170250597</v>
      </c>
      <c r="I474" s="20" t="n">
        <v>0</v>
      </c>
      <c r="J474" s="20" t="n">
        <v>0.00371057578562505</v>
      </c>
      <c r="K474" s="20" t="n">
        <v>-0.139403450511744</v>
      </c>
      <c r="L474" s="20" t="n">
        <v>0.0110944769621856</v>
      </c>
      <c r="M474" s="20" t="n">
        <v>0.00564019423416928</v>
      </c>
      <c r="N474" s="20" t="n">
        <v>-0.00203181466732482</v>
      </c>
      <c r="O474" s="20" t="n">
        <v>0.0207822221383637</v>
      </c>
      <c r="P474" s="20" t="n">
        <v>-0.00426805531543106</v>
      </c>
      <c r="Q474" s="20" t="n">
        <v>0.0196405467134301</v>
      </c>
      <c r="R474" s="20" t="n">
        <v>0.00656862375254263</v>
      </c>
      <c r="S474" s="20" t="n">
        <v>0.00942236251508799</v>
      </c>
      <c r="T474" s="20" t="n">
        <v>0.050589452635513</v>
      </c>
      <c r="U474" s="20" t="n">
        <v>0.00945553971943713</v>
      </c>
      <c r="V474" s="20" t="n">
        <v>0.0130146500411374</v>
      </c>
      <c r="W474" s="20" t="n">
        <v>0.0156901877965869</v>
      </c>
      <c r="X474" s="20" t="n">
        <v>-0.00817549042479282</v>
      </c>
    </row>
    <row r="475" customFormat="false" ht="13.5" hidden="false" customHeight="true" outlineLevel="0" collapsed="false">
      <c r="A475" s="47" t="n">
        <v>43055</v>
      </c>
      <c r="B475" s="20" t="n">
        <v>-0.00100636660730835</v>
      </c>
      <c r="C475" s="20" t="n">
        <v>-0.00219419470506121</v>
      </c>
      <c r="D475" s="20" t="n">
        <v>-0.00661341971189699</v>
      </c>
      <c r="E475" s="20" t="n">
        <v>-0.00249478156282467</v>
      </c>
      <c r="F475" s="20" t="n">
        <v>-0.00524539931977186</v>
      </c>
      <c r="G475" s="20" t="n">
        <v>0.0494738291067533</v>
      </c>
      <c r="H475" s="20" t="n">
        <v>0.0201400874628738</v>
      </c>
      <c r="I475" s="20" t="n">
        <v>0.0127581526932085</v>
      </c>
      <c r="J475" s="20" t="n">
        <v>0.0110498255125746</v>
      </c>
      <c r="K475" s="20" t="n">
        <v>0.0221325904664939</v>
      </c>
      <c r="L475" s="20" t="n">
        <v>0.0139443883166729</v>
      </c>
      <c r="M475" s="20" t="n">
        <v>-0.00535747624563498</v>
      </c>
      <c r="N475" s="20" t="n">
        <v>0.00338411087173096</v>
      </c>
      <c r="O475" s="20" t="n">
        <v>-0.00028979100325488</v>
      </c>
      <c r="P475" s="20" t="n">
        <v>0.0135941601840561</v>
      </c>
      <c r="Q475" s="20" t="n">
        <v>0.0112812954189507</v>
      </c>
      <c r="R475" s="20" t="n">
        <v>0.00595997452687946</v>
      </c>
      <c r="S475" s="20" t="n">
        <v>0.00147968884205429</v>
      </c>
      <c r="T475" s="20" t="n">
        <v>0.000557271038130302</v>
      </c>
      <c r="U475" s="20" t="n">
        <v>0.00816332476202053</v>
      </c>
      <c r="V475" s="20" t="n">
        <v>-0.00892934325219396</v>
      </c>
      <c r="W475" s="20" t="n">
        <v>-0.00827585317861734</v>
      </c>
      <c r="X475" s="20" t="n">
        <v>0.0103935861777997</v>
      </c>
    </row>
    <row r="476" customFormat="false" ht="13.5" hidden="false" customHeight="true" outlineLevel="0" collapsed="false">
      <c r="A476" s="47" t="n">
        <v>43056</v>
      </c>
      <c r="B476" s="20" t="n">
        <v>0.0102845390814767</v>
      </c>
      <c r="C476" s="20" t="n">
        <v>-0.0127108310714696</v>
      </c>
      <c r="D476" s="20" t="n">
        <v>0.00349251774358361</v>
      </c>
      <c r="E476" s="20" t="n">
        <v>0.00994207724099727</v>
      </c>
      <c r="F476" s="20" t="n">
        <v>0.00449771862087811</v>
      </c>
      <c r="G476" s="20" t="n">
        <v>-0.00901096342716956</v>
      </c>
      <c r="H476" s="20" t="n">
        <v>0.00991989520149339</v>
      </c>
      <c r="I476" s="20" t="n">
        <v>-0.00974156197422626</v>
      </c>
      <c r="J476" s="20" t="n">
        <v>-0.00550969441110837</v>
      </c>
      <c r="K476" s="20" t="n">
        <v>0.05360624957106</v>
      </c>
      <c r="L476" s="20" t="n">
        <v>0.000988653477278056</v>
      </c>
      <c r="M476" s="20" t="n">
        <v>-0.000565623841360718</v>
      </c>
      <c r="N476" s="20" t="n">
        <v>0</v>
      </c>
      <c r="O476" s="20" t="n">
        <v>0.00375997760158819</v>
      </c>
      <c r="P476" s="20" t="n">
        <v>-0.0187399234019567</v>
      </c>
      <c r="Q476" s="20" t="n">
        <v>0.00479620590125184</v>
      </c>
      <c r="R476" s="20" t="n">
        <v>-0.00425355890080414</v>
      </c>
      <c r="S476" s="20" t="n">
        <v>0.0621020526344229</v>
      </c>
      <c r="T476" s="20" t="n">
        <v>0.0165749225906228</v>
      </c>
      <c r="U476" s="20" t="n">
        <v>-0.00892249908609699</v>
      </c>
      <c r="V476" s="20" t="n">
        <v>-0.00851627260306475</v>
      </c>
      <c r="W476" s="20" t="n">
        <v>-0.00184847165596302</v>
      </c>
      <c r="X476" s="20" t="n">
        <v>0.00221318669099845</v>
      </c>
    </row>
    <row r="477" customFormat="false" ht="13.5" hidden="false" customHeight="true" outlineLevel="0" collapsed="false">
      <c r="A477" s="47" t="n">
        <v>43059</v>
      </c>
      <c r="B477" s="20" t="n">
        <v>0.00952200861157503</v>
      </c>
      <c r="C477" s="20" t="n">
        <v>-0.00837765700254067</v>
      </c>
      <c r="D477" s="20" t="n">
        <v>0.00395947276204644</v>
      </c>
      <c r="E477" s="20" t="n">
        <v>-0.000824761191645873</v>
      </c>
      <c r="F477" s="20" t="n">
        <v>-0.000374050088904009</v>
      </c>
      <c r="G477" s="20" t="n">
        <v>-0.0182693233960775</v>
      </c>
      <c r="H477" s="20" t="n">
        <v>0.00530108389472028</v>
      </c>
      <c r="I477" s="20" t="n">
        <v>-0.00377218041426141</v>
      </c>
      <c r="J477" s="20" t="n">
        <v>0.00550969441110837</v>
      </c>
      <c r="K477" s="20" t="n">
        <v>0.0324445736944181</v>
      </c>
      <c r="L477" s="20" t="n">
        <v>0.0330448097327868</v>
      </c>
      <c r="M477" s="20" t="n">
        <v>0.00536049930929216</v>
      </c>
      <c r="N477" s="20" t="n">
        <v>-0.0184117344531253</v>
      </c>
      <c r="O477" s="20" t="n">
        <v>-0.00898940526791802</v>
      </c>
      <c r="P477" s="20" t="n">
        <v>0.000859495427652401</v>
      </c>
      <c r="Q477" s="20" t="n">
        <v>0.0126784462833009</v>
      </c>
      <c r="R477" s="20" t="n">
        <v>0.0157883568315595</v>
      </c>
      <c r="S477" s="20" t="n">
        <v>0.0753644007640765</v>
      </c>
      <c r="T477" s="20" t="n">
        <v>0.0041012093780175</v>
      </c>
      <c r="U477" s="20" t="n">
        <v>-0.0027380653032436</v>
      </c>
      <c r="V477" s="20" t="n">
        <v>0.00721082177372167</v>
      </c>
      <c r="W477" s="20" t="n">
        <v>0.00865808525480549</v>
      </c>
      <c r="X477" s="20" t="n">
        <v>-0.00147488995569</v>
      </c>
    </row>
    <row r="478" customFormat="false" ht="13.5" hidden="false" customHeight="true" outlineLevel="0" collapsed="false">
      <c r="A478" s="47" t="n">
        <v>43060</v>
      </c>
      <c r="B478" s="20" t="n">
        <v>-0.00118525415599535</v>
      </c>
      <c r="C478" s="20" t="n">
        <v>0.017788196997484</v>
      </c>
      <c r="D478" s="20" t="n">
        <v>0.00203359321787832</v>
      </c>
      <c r="E478" s="20" t="n">
        <v>-0.00413396137323474</v>
      </c>
      <c r="F478" s="20" t="n">
        <v>-0.00262220399827706</v>
      </c>
      <c r="G478" s="20" t="n">
        <v>0.0156797072275507</v>
      </c>
      <c r="H478" s="20" t="n">
        <v>0.00150943278218429</v>
      </c>
      <c r="I478" s="20" t="n">
        <v>0.00977819888425335</v>
      </c>
      <c r="J478" s="20" t="n">
        <v>-0.00366972535712073</v>
      </c>
      <c r="K478" s="20" t="n">
        <v>0.0694156449250598</v>
      </c>
      <c r="L478" s="20" t="n">
        <v>0.0292060713881716</v>
      </c>
      <c r="M478" s="20" t="n">
        <v>-0.003099920996116</v>
      </c>
      <c r="N478" s="20" t="n">
        <v>-0.0131626133922426</v>
      </c>
      <c r="O478" s="20" t="n">
        <v>0.0156071692497401</v>
      </c>
      <c r="P478" s="20" t="n">
        <v>0.00940576879179477</v>
      </c>
      <c r="Q478" s="20" t="n">
        <v>0.00784320738068022</v>
      </c>
      <c r="R478" s="20" t="n">
        <v>-0.00027971244547853</v>
      </c>
      <c r="S478" s="20" t="n">
        <v>0.0233506355507397</v>
      </c>
      <c r="T478" s="20" t="n">
        <v>-0.00547199058067304</v>
      </c>
      <c r="U478" s="20" t="n">
        <v>-0.00244019738066203</v>
      </c>
      <c r="V478" s="20" t="n">
        <v>-0.00163429171765994</v>
      </c>
      <c r="W478" s="20" t="n">
        <v>-0.00847304897319345</v>
      </c>
      <c r="X478" s="20" t="n">
        <v>-0.000738296735308452</v>
      </c>
    </row>
    <row r="479" customFormat="false" ht="13.5" hidden="false" customHeight="true" outlineLevel="0" collapsed="false">
      <c r="A479" s="47" t="n">
        <v>43061</v>
      </c>
      <c r="B479" s="20" t="n">
        <v>0.000461065620558365</v>
      </c>
      <c r="C479" s="20" t="n">
        <v>0.00220144017075574</v>
      </c>
      <c r="D479" s="20" t="n">
        <v>0.00417385944958415</v>
      </c>
      <c r="E479" s="20" t="n">
        <v>0.00248247430350501</v>
      </c>
      <c r="F479" s="20" t="n">
        <v>-0.00262909803361344</v>
      </c>
      <c r="G479" s="20" t="n">
        <v>-0.00693844288853906</v>
      </c>
      <c r="H479" s="20" t="n">
        <v>-0.00226505849235492</v>
      </c>
      <c r="I479" s="20" t="n">
        <v>-0.0150832281083417</v>
      </c>
      <c r="J479" s="20" t="n">
        <v>0</v>
      </c>
      <c r="K479" s="20" t="n">
        <v>0.110083013794748</v>
      </c>
      <c r="L479" s="20" t="n">
        <v>0.0193108607188166</v>
      </c>
      <c r="M479" s="20" t="n">
        <v>0.001692086461615</v>
      </c>
      <c r="N479" s="20" t="n">
        <v>-0.0354898845975317</v>
      </c>
      <c r="O479" s="20" t="n">
        <v>-0.00172208878181168</v>
      </c>
      <c r="P479" s="20" t="n">
        <v>0.00763040175318208</v>
      </c>
      <c r="Q479" s="20" t="n">
        <v>-0.00312988997264085</v>
      </c>
      <c r="R479" s="20" t="n">
        <v>-0.0130960156989949</v>
      </c>
      <c r="S479" s="20" t="n">
        <v>-0.00125973928790967</v>
      </c>
      <c r="T479" s="20" t="n">
        <v>0.00109681706055875</v>
      </c>
      <c r="U479" s="20" t="n">
        <v>-0.000152622841294913</v>
      </c>
      <c r="V479" s="20" t="n">
        <v>0.00473201366386177</v>
      </c>
      <c r="W479" s="20" t="n">
        <v>0.000554762452944945</v>
      </c>
      <c r="X479" s="20" t="n">
        <v>-0.0059259376160945</v>
      </c>
    </row>
    <row r="480" customFormat="false" ht="13.5" hidden="false" customHeight="true" outlineLevel="0" collapsed="false">
      <c r="A480" s="47" t="n">
        <v>43063</v>
      </c>
      <c r="B480" s="20" t="n">
        <v>0.000921594386238844</v>
      </c>
      <c r="C480" s="20" t="n">
        <v>-0.00385573392280536</v>
      </c>
      <c r="D480" s="20" t="n">
        <v>0.00923956817370008</v>
      </c>
      <c r="E480" s="20" t="n">
        <v>0.000826045085530413</v>
      </c>
      <c r="F480" s="20" t="n">
        <v>0</v>
      </c>
      <c r="G480" s="20" t="n">
        <v>0.00866559857656446</v>
      </c>
      <c r="H480" s="20" t="n">
        <v>-0.00682590434190721</v>
      </c>
      <c r="I480" s="20" t="n">
        <v>0.00454894032004427</v>
      </c>
      <c r="J480" s="20" t="n">
        <v>0</v>
      </c>
      <c r="K480" s="20" t="n">
        <v>0.135296648051522</v>
      </c>
      <c r="L480" s="20" t="n">
        <v>-0.00639560853178178</v>
      </c>
      <c r="M480" s="20" t="n">
        <v>0</v>
      </c>
      <c r="N480" s="20" t="n">
        <v>-0.0160236688957104</v>
      </c>
      <c r="O480" s="20" t="n">
        <v>-0.00374158056229179</v>
      </c>
      <c r="P480" s="20" t="n">
        <v>-0.0378703204051578</v>
      </c>
      <c r="Q480" s="20" t="n">
        <v>-0.00313971694928505</v>
      </c>
      <c r="R480" s="20" t="n">
        <v>-0.00212843671707485</v>
      </c>
      <c r="S480" s="20" t="n">
        <v>-0.0178046284725819</v>
      </c>
      <c r="T480" s="20" t="n">
        <v>0.0103598868299386</v>
      </c>
      <c r="U480" s="20" t="n">
        <v>-0.00628119495254964</v>
      </c>
      <c r="V480" s="20" t="n">
        <v>0.00292588478947752</v>
      </c>
      <c r="W480" s="20" t="n">
        <v>-0.00259162285858982</v>
      </c>
      <c r="X480" s="20" t="n">
        <v>0.0029673583937031</v>
      </c>
    </row>
    <row r="481" customFormat="false" ht="13.5" hidden="false" customHeight="true" outlineLevel="0" collapsed="false">
      <c r="A481" s="47" t="n">
        <v>43066</v>
      </c>
      <c r="B481" s="20" t="n">
        <v>0.00321895826035767</v>
      </c>
      <c r="C481" s="20" t="n">
        <v>0.0158777280487152</v>
      </c>
      <c r="D481" s="20" t="n">
        <v>0.00282592313696117</v>
      </c>
      <c r="E481" s="20" t="n">
        <v>0.00822376203220454</v>
      </c>
      <c r="F481" s="20" t="n">
        <v>0.0387287658238126</v>
      </c>
      <c r="G481" s="20" t="n">
        <v>0.0162604850383214</v>
      </c>
      <c r="H481" s="20" t="n">
        <v>0.0121030103841475</v>
      </c>
      <c r="I481" s="20" t="n">
        <v>-0.0144764839790223</v>
      </c>
      <c r="J481" s="20" t="n">
        <v>-0.00183996905398764</v>
      </c>
      <c r="K481" s="20" t="n">
        <v>-0.0604317577623623</v>
      </c>
      <c r="L481" s="20" t="n">
        <v>0.0377742824471942</v>
      </c>
      <c r="M481" s="20" t="n">
        <v>0.0100925105302769</v>
      </c>
      <c r="N481" s="20" t="n">
        <v>0.00512631633007831</v>
      </c>
      <c r="O481" s="20" t="n">
        <v>0.0211134199470799</v>
      </c>
      <c r="P481" s="20" t="n">
        <v>0.00262818256807007</v>
      </c>
      <c r="Q481" s="20" t="n">
        <v>0.0109461132077182</v>
      </c>
      <c r="R481" s="20" t="n">
        <v>0.0321480577236483</v>
      </c>
      <c r="S481" s="20" t="n">
        <v>-0.00471592316252866</v>
      </c>
      <c r="T481" s="20" t="n">
        <v>0.0230573385673134</v>
      </c>
      <c r="U481" s="20" t="n">
        <v>0.02023347064556</v>
      </c>
      <c r="V481" s="20" t="n">
        <v>0.0146623079419754</v>
      </c>
      <c r="W481" s="20" t="n">
        <v>0.0295857759543478</v>
      </c>
      <c r="X481" s="20" t="n">
        <v>0.0342225069389323</v>
      </c>
    </row>
    <row r="482" customFormat="false" ht="13.5" hidden="false" customHeight="true" outlineLevel="0" collapsed="false">
      <c r="A482" s="47" t="n">
        <v>43067</v>
      </c>
      <c r="B482" s="20" t="n">
        <v>0.00705840337151464</v>
      </c>
      <c r="C482" s="20" t="n">
        <v>0.00379500485039629</v>
      </c>
      <c r="D482" s="20" t="n">
        <v>-0.00105880800614865</v>
      </c>
      <c r="E482" s="20" t="n">
        <v>0.0282619032021713</v>
      </c>
      <c r="F482" s="20" t="n">
        <v>0.0228908884913381</v>
      </c>
      <c r="G482" s="20" t="n">
        <v>0.0342127535146925</v>
      </c>
      <c r="H482" s="20" t="n">
        <v>-0.0258963189081176</v>
      </c>
      <c r="I482" s="20" t="n">
        <v>-0.0295971856255494</v>
      </c>
      <c r="J482" s="20" t="n">
        <v>0.00916600210815721</v>
      </c>
      <c r="K482" s="20" t="n">
        <v>-0.150060678941727</v>
      </c>
      <c r="L482" s="20" t="n">
        <v>-0.0286500967829863</v>
      </c>
      <c r="M482" s="20" t="n">
        <v>0.0099917740109654</v>
      </c>
      <c r="N482" s="20" t="n">
        <v>0.0602378608327573</v>
      </c>
      <c r="O482" s="20" t="n">
        <v>0.0294875719986005</v>
      </c>
      <c r="P482" s="20" t="n">
        <v>0.00784319049791193</v>
      </c>
      <c r="Q482" s="20" t="n">
        <v>-0.0204248478797177</v>
      </c>
      <c r="R482" s="20" t="n">
        <v>0.00958261384694925</v>
      </c>
      <c r="S482" s="20" t="n">
        <v>-0.0466224003011053</v>
      </c>
      <c r="T482" s="20" t="n">
        <v>-0.00664807668692502</v>
      </c>
      <c r="U482" s="20" t="n">
        <v>0.0145027762786975</v>
      </c>
      <c r="V482" s="20" t="n">
        <v>0.00605967509004923</v>
      </c>
      <c r="W482" s="20" t="n">
        <v>0.0197779384065741</v>
      </c>
      <c r="X482" s="20" t="n">
        <v>0.0358561629607403</v>
      </c>
    </row>
    <row r="483" customFormat="false" ht="13.5" hidden="false" customHeight="true" outlineLevel="0" collapsed="false">
      <c r="A483" s="47" t="n">
        <v>43068</v>
      </c>
      <c r="B483" s="20" t="n">
        <v>0.00273151940850002</v>
      </c>
      <c r="C483" s="20" t="n">
        <v>-0.0103345626119346</v>
      </c>
      <c r="D483" s="20" t="n">
        <v>-0.0037735858188066</v>
      </c>
      <c r="E483" s="20" t="n">
        <v>-0.00318979221447968</v>
      </c>
      <c r="F483" s="20" t="n">
        <v>-0.0038972807120019</v>
      </c>
      <c r="G483" s="20" t="n">
        <v>0.0589343073157619</v>
      </c>
      <c r="H483" s="20" t="n">
        <v>-0.0321470498847675</v>
      </c>
      <c r="I483" s="20" t="n">
        <v>-0.000790769137497981</v>
      </c>
      <c r="J483" s="20" t="n">
        <v>0.00364298779793781</v>
      </c>
      <c r="K483" s="20" t="n">
        <v>0.133531392624522</v>
      </c>
      <c r="L483" s="20" t="n">
        <v>-0.0285602478809572</v>
      </c>
      <c r="M483" s="20" t="n">
        <v>0.00137986054321803</v>
      </c>
      <c r="N483" s="20" t="n">
        <v>0.00343290351129743</v>
      </c>
      <c r="O483" s="20" t="n">
        <v>-0.00274495020785181</v>
      </c>
      <c r="P483" s="20" t="n">
        <v>0.0273989473391758</v>
      </c>
      <c r="Q483" s="20" t="n">
        <v>-0.0176145677323411</v>
      </c>
      <c r="R483" s="20" t="n">
        <v>0.0426731004174447</v>
      </c>
      <c r="S483" s="20" t="n">
        <v>0.00583620378637661</v>
      </c>
      <c r="T483" s="20" t="n">
        <v>-0.00481413896104721</v>
      </c>
      <c r="U483" s="20" t="n">
        <v>0.0068047462115599</v>
      </c>
      <c r="V483" s="20" t="n">
        <v>0.00459985108743588</v>
      </c>
      <c r="W483" s="20" t="n">
        <v>-0.00371187490507995</v>
      </c>
      <c r="X483" s="20" t="n">
        <v>-0.00554017525305505</v>
      </c>
    </row>
    <row r="484" customFormat="false" ht="13.5" hidden="false" customHeight="true" outlineLevel="0" collapsed="false">
      <c r="A484" s="47" t="n">
        <v>43069</v>
      </c>
      <c r="B484" s="20" t="n">
        <v>0.00511770816756751</v>
      </c>
      <c r="C484" s="20" t="n">
        <v>-0.0226716416447203</v>
      </c>
      <c r="D484" s="20" t="n">
        <v>0.0080019291274711</v>
      </c>
      <c r="E484" s="20" t="n">
        <v>0.00478084297304759</v>
      </c>
      <c r="F484" s="20" t="n">
        <v>-0.00248799468148641</v>
      </c>
      <c r="G484" s="20" t="n">
        <v>-0.00737439909070536</v>
      </c>
      <c r="H484" s="20" t="n">
        <v>0.00635426464764821</v>
      </c>
      <c r="I484" s="20" t="n">
        <v>0.0063091630244858</v>
      </c>
      <c r="J484" s="20" t="n">
        <v>0.00724640163503198</v>
      </c>
      <c r="K484" s="20" t="n">
        <v>-0.0134230074446499</v>
      </c>
      <c r="L484" s="20" t="n">
        <v>0.0185190305957023</v>
      </c>
      <c r="M484" s="20" t="n">
        <v>0.00247900296517489</v>
      </c>
      <c r="N484" s="20" t="n">
        <v>-0.020076822389119</v>
      </c>
      <c r="O484" s="20" t="n">
        <v>0.00329305813851332</v>
      </c>
      <c r="P484" s="20" t="n">
        <v>0.0225478868712989</v>
      </c>
      <c r="Q484" s="20" t="n">
        <v>0.00483477707932089</v>
      </c>
      <c r="R484" s="20" t="n">
        <v>-0.0195101853638552</v>
      </c>
      <c r="S484" s="20" t="n">
        <v>-0.00718780479003644</v>
      </c>
      <c r="T484" s="20" t="n">
        <v>0.008010703618333</v>
      </c>
      <c r="U484" s="20" t="n">
        <v>0.0109963717815677</v>
      </c>
      <c r="V484" s="20" t="n">
        <v>0.000790999829854754</v>
      </c>
      <c r="W484" s="20" t="n">
        <v>-0.00479277482650708</v>
      </c>
      <c r="X484" s="20" t="n">
        <v>0.0027739243143503</v>
      </c>
    </row>
    <row r="485" customFormat="false" ht="13.5" hidden="false" customHeight="true" outlineLevel="0" collapsed="false">
      <c r="A485" s="47" t="n">
        <v>43070</v>
      </c>
      <c r="B485" s="20" t="n">
        <v>0.0109249348304274</v>
      </c>
      <c r="C485" s="20" t="n">
        <v>0.00390727701677429</v>
      </c>
      <c r="D485" s="20" t="n">
        <v>0.00304274235818358</v>
      </c>
      <c r="E485" s="20" t="n">
        <v>0.00396670021584544</v>
      </c>
      <c r="F485" s="20" t="n">
        <v>0.0335930498492449</v>
      </c>
      <c r="G485" s="20" t="n">
        <v>0.0460594865783132</v>
      </c>
      <c r="H485" s="20" t="n">
        <v>0.0203768611696744</v>
      </c>
      <c r="I485" s="20" t="n">
        <v>-0.0126583844557819</v>
      </c>
      <c r="J485" s="20" t="n">
        <v>0.0125562494605064</v>
      </c>
      <c r="K485" s="20" t="n">
        <v>-0.0118948168417649</v>
      </c>
      <c r="L485" s="20" t="n">
        <v>0.0378082915781705</v>
      </c>
      <c r="M485" s="20" t="n">
        <v>-0.00800990614344554</v>
      </c>
      <c r="N485" s="20" t="n">
        <v>0.0350431060090787</v>
      </c>
      <c r="O485" s="20" t="n">
        <v>0.0208764651850841</v>
      </c>
      <c r="P485" s="20" t="n">
        <v>-0.0174931611534452</v>
      </c>
      <c r="Q485" s="20" t="n">
        <v>0.0096001408692381</v>
      </c>
      <c r="R485" s="20" t="n">
        <v>-0.0467355695427738</v>
      </c>
      <c r="S485" s="20" t="n">
        <v>0.00539564857226793</v>
      </c>
      <c r="T485" s="20" t="n">
        <v>0.00318648031351909</v>
      </c>
      <c r="U485" s="20" t="n">
        <v>0.0216364990218824</v>
      </c>
      <c r="V485" s="20" t="n">
        <v>-0.012250577836383</v>
      </c>
      <c r="W485" s="20" t="n">
        <v>0.0209532910100351</v>
      </c>
      <c r="X485" s="20" t="n">
        <v>0.0178453764041779</v>
      </c>
    </row>
    <row r="486" customFormat="false" ht="13.5" hidden="false" customHeight="true" outlineLevel="0" collapsed="false">
      <c r="A486" s="47" t="n">
        <v>43073</v>
      </c>
      <c r="B486" s="20" t="n">
        <v>-0.00711975404015152</v>
      </c>
      <c r="C486" s="20" t="n">
        <v>-0.0106413346847884</v>
      </c>
      <c r="D486" s="20" t="n">
        <v>0.00559306665730474</v>
      </c>
      <c r="E486" s="20" t="n">
        <v>-0.0159620153492676</v>
      </c>
      <c r="F486" s="20" t="n">
        <v>-0.00448351022757087</v>
      </c>
      <c r="G486" s="20" t="n">
        <v>-0.0248600322857672</v>
      </c>
      <c r="H486" s="20" t="n">
        <v>-0.00700658351347804</v>
      </c>
      <c r="I486" s="20" t="n">
        <v>-0.0217312739749848</v>
      </c>
      <c r="J486" s="20" t="n">
        <v>0.0229084271226263</v>
      </c>
      <c r="K486" s="20" t="n">
        <v>-0.00514135370321211</v>
      </c>
      <c r="L486" s="20" t="n">
        <v>-0.0223323266633213</v>
      </c>
      <c r="M486" s="20" t="n">
        <v>-0.0119962462629517</v>
      </c>
      <c r="N486" s="20" t="n">
        <v>-0.0287691118553401</v>
      </c>
      <c r="O486" s="20" t="n">
        <v>-0.0195075604515992</v>
      </c>
      <c r="P486" s="20" t="n">
        <v>0.0125263077040793</v>
      </c>
      <c r="Q486" s="20" t="n">
        <v>0.00317964978378215</v>
      </c>
      <c r="R486" s="20" t="n">
        <v>-0.00953055964230831</v>
      </c>
      <c r="S486" s="20" t="n">
        <v>-0.0149087891108008</v>
      </c>
      <c r="T486" s="20" t="n">
        <v>-0.0109290660868297</v>
      </c>
      <c r="U486" s="20" t="n">
        <v>0.00142590174734191</v>
      </c>
      <c r="V486" s="20" t="n">
        <v>-0.00722953999290165</v>
      </c>
      <c r="W486" s="20" t="n">
        <v>0.0200110155280475</v>
      </c>
      <c r="X486" s="20" t="n">
        <v>-0.0164612614408077</v>
      </c>
    </row>
    <row r="487" customFormat="false" ht="13.5" hidden="false" customHeight="true" outlineLevel="0" collapsed="false">
      <c r="A487" s="47" t="n">
        <v>43074</v>
      </c>
      <c r="B487" s="20" t="n">
        <v>-0.00807889319429122</v>
      </c>
      <c r="C487" s="20" t="n">
        <v>-0.00564650772966679</v>
      </c>
      <c r="D487" s="20" t="n">
        <v>-0.00863580901548832</v>
      </c>
      <c r="E487" s="20" t="n">
        <v>-0.00403065357370469</v>
      </c>
      <c r="F487" s="20" t="n">
        <v>-0.0100748087555224</v>
      </c>
      <c r="G487" s="20" t="n">
        <v>0.00722026838368483</v>
      </c>
      <c r="H487" s="20" t="n">
        <v>0.0108781072649595</v>
      </c>
      <c r="I487" s="20" t="n">
        <v>-0.0172347342830954</v>
      </c>
      <c r="J487" s="20" t="n">
        <v>-0.0246925897453851</v>
      </c>
      <c r="K487" s="20" t="n">
        <v>-0.062021713160727</v>
      </c>
      <c r="L487" s="20" t="n">
        <v>-0.00634344635435324</v>
      </c>
      <c r="M487" s="20" t="n">
        <v>-0.00196656033103348</v>
      </c>
      <c r="N487" s="20" t="n">
        <v>-0.0389705835430422</v>
      </c>
      <c r="O487" s="20" t="n">
        <v>-0.0121113131300014</v>
      </c>
      <c r="P487" s="20" t="n">
        <v>-0.0475876038247093</v>
      </c>
      <c r="Q487" s="20" t="n">
        <v>0.00632912884376324</v>
      </c>
      <c r="R487" s="20" t="n">
        <v>0.00519693730618175</v>
      </c>
      <c r="S487" s="20" t="n">
        <v>-0.00685088872387318</v>
      </c>
      <c r="T487" s="20" t="n">
        <v>0.00267662024060388</v>
      </c>
      <c r="U487" s="20" t="n">
        <v>0.0208693884772195</v>
      </c>
      <c r="V487" s="20" t="n">
        <v>-0.017074961112109</v>
      </c>
      <c r="W487" s="20" t="n">
        <v>0.00034153787808222</v>
      </c>
      <c r="X487" s="20" t="n">
        <v>0.00414082155435124</v>
      </c>
    </row>
    <row r="488" customFormat="false" ht="13.5" hidden="false" customHeight="true" outlineLevel="0" collapsed="false">
      <c r="A488" s="47" t="n">
        <v>43075</v>
      </c>
      <c r="B488" s="20" t="n">
        <v>-0.0034452451029372</v>
      </c>
      <c r="C488" s="20" t="n">
        <v>0.00282723924073158</v>
      </c>
      <c r="D488" s="20" t="n">
        <v>0.00642566664343124</v>
      </c>
      <c r="E488" s="20" t="n">
        <v>0.0120434710963528</v>
      </c>
      <c r="F488" s="20" t="n">
        <v>0.00487640453636117</v>
      </c>
      <c r="G488" s="20" t="n">
        <v>0.00453347350011368</v>
      </c>
      <c r="H488" s="20" t="n">
        <v>-0.0100972189028096</v>
      </c>
      <c r="I488" s="20" t="n">
        <v>-0.00497921900038367</v>
      </c>
      <c r="J488" s="20" t="n">
        <v>0.00534288176737751</v>
      </c>
      <c r="K488" s="20" t="n">
        <v>-0.0506199891701013</v>
      </c>
      <c r="L488" s="20" t="n">
        <v>-0.0239202050288103</v>
      </c>
      <c r="M488" s="20" t="n">
        <v>-0.00168875278331537</v>
      </c>
      <c r="N488" s="20" t="n">
        <v>0.0186118632240526</v>
      </c>
      <c r="O488" s="20" t="n">
        <v>0.00166014314850171</v>
      </c>
      <c r="P488" s="20" t="n">
        <v>0.0164009315875701</v>
      </c>
      <c r="Q488" s="20" t="n">
        <v>-0.0207178904284079</v>
      </c>
      <c r="R488" s="20" t="n">
        <v>-0.00407105115601602</v>
      </c>
      <c r="S488" s="20" t="n">
        <v>0.00821548693944906</v>
      </c>
      <c r="T488" s="20" t="n">
        <v>-0.000267299061868619</v>
      </c>
      <c r="U488" s="20" t="n">
        <v>-0.00223531328079928</v>
      </c>
      <c r="V488" s="20" t="n">
        <v>0.0141684468055318</v>
      </c>
      <c r="W488" s="20" t="n">
        <v>0.0133979942500817</v>
      </c>
      <c r="X488" s="20" t="n">
        <v>0.0130004962835408</v>
      </c>
    </row>
    <row r="489" customFormat="false" ht="13.5" hidden="false" customHeight="true" outlineLevel="0" collapsed="false">
      <c r="A489" s="47" t="n">
        <v>43076</v>
      </c>
      <c r="B489" s="20" t="n">
        <v>0.00804200595140347</v>
      </c>
      <c r="C489" s="20" t="n">
        <v>0</v>
      </c>
      <c r="D489" s="20" t="n">
        <v>0.00673162015871309</v>
      </c>
      <c r="E489" s="20" t="n">
        <v>0.00636437515377963</v>
      </c>
      <c r="F489" s="20" t="n">
        <v>0.00933773171729601</v>
      </c>
      <c r="G489" s="20" t="n">
        <v>0.00563803845429689</v>
      </c>
      <c r="H489" s="20" t="n">
        <v>0.00467290127418262</v>
      </c>
      <c r="I489" s="20" t="n">
        <v>-0.00500421547852925</v>
      </c>
      <c r="J489" s="20" t="n">
        <v>0.00177457935861813</v>
      </c>
      <c r="K489" s="20" t="n">
        <v>0.0593569097010158</v>
      </c>
      <c r="L489" s="20" t="n">
        <v>0.00371747294052893</v>
      </c>
      <c r="M489" s="20" t="n">
        <v>0.00673786021316757</v>
      </c>
      <c r="N489" s="20" t="n">
        <v>0.0396297729168555</v>
      </c>
      <c r="O489" s="20" t="n">
        <v>0.0153638520282077</v>
      </c>
      <c r="P489" s="20" t="n">
        <v>0.00937370778559909</v>
      </c>
      <c r="Q489" s="20" t="n">
        <v>0.0222938957978899</v>
      </c>
      <c r="R489" s="20" t="n">
        <v>0.0277448799605055</v>
      </c>
      <c r="S489" s="20" t="n">
        <v>0.00181657246575017</v>
      </c>
      <c r="T489" s="20" t="n">
        <v>0.00559924349129659</v>
      </c>
      <c r="U489" s="20" t="n">
        <v>0.000559296928329011</v>
      </c>
      <c r="V489" s="20" t="n">
        <v>0.00933530076158017</v>
      </c>
      <c r="W489" s="20" t="n">
        <v>-0.000842660136232353</v>
      </c>
      <c r="X489" s="20" t="n">
        <v>0.00947235373029142</v>
      </c>
    </row>
    <row r="490" customFormat="false" ht="13.5" hidden="false" customHeight="true" outlineLevel="0" collapsed="false">
      <c r="A490" s="47" t="n">
        <v>43077</v>
      </c>
      <c r="B490" s="20" t="n">
        <v>0.00386826670966655</v>
      </c>
      <c r="C490" s="20" t="n">
        <v>-0.00339373745992954</v>
      </c>
      <c r="D490" s="20" t="n">
        <v>0.00254160519105539</v>
      </c>
      <c r="E490" s="20" t="n">
        <v>-0.00238187754300556</v>
      </c>
      <c r="F490" s="20" t="n">
        <v>-0.00379371737764566</v>
      </c>
      <c r="G490" s="20" t="n">
        <v>-0.00375518207104796</v>
      </c>
      <c r="H490" s="20" t="n">
        <v>0.00232834300860362</v>
      </c>
      <c r="I490" s="20" t="n">
        <v>-0.0100841093686816</v>
      </c>
      <c r="J490" s="20" t="n">
        <v>0</v>
      </c>
      <c r="K490" s="20" t="n">
        <v>0.0306947595859439</v>
      </c>
      <c r="L490" s="20" t="n">
        <v>0.00555046937778458</v>
      </c>
      <c r="M490" s="20" t="n">
        <v>0.0130647417991855</v>
      </c>
      <c r="N490" s="20" t="n">
        <v>0.0786259299716016</v>
      </c>
      <c r="O490" s="20" t="n">
        <v>0.00461774502957368</v>
      </c>
      <c r="P490" s="20" t="n">
        <v>-0.00254774938052149</v>
      </c>
      <c r="Q490" s="20" t="n">
        <v>-0.00157600536948199</v>
      </c>
      <c r="R490" s="20" t="n">
        <v>-0.000136751822901182</v>
      </c>
      <c r="S490" s="20" t="n">
        <v>0.000453541468359297</v>
      </c>
      <c r="T490" s="20" t="n">
        <v>0.00926296091283118</v>
      </c>
      <c r="U490" s="20" t="n">
        <v>0.00153642894217664</v>
      </c>
      <c r="V490" s="20" t="n">
        <v>0.00956643608470297</v>
      </c>
      <c r="W490" s="20" t="n">
        <v>-0.00744634410855038</v>
      </c>
      <c r="X490" s="20" t="n">
        <v>-0.015609444442969</v>
      </c>
    </row>
    <row r="491" customFormat="false" ht="13.5" hidden="false" customHeight="true" outlineLevel="0" collapsed="false">
      <c r="A491" s="47" t="n">
        <v>43080</v>
      </c>
      <c r="B491" s="20" t="n">
        <v>0.0085216071793619</v>
      </c>
      <c r="C491" s="20" t="n">
        <v>0.0146234331953256</v>
      </c>
      <c r="D491" s="20" t="n">
        <v>0.000461424811059707</v>
      </c>
      <c r="E491" s="20" t="n">
        <v>0.00158859902521424</v>
      </c>
      <c r="F491" s="20" t="n">
        <v>0.0130451269527016</v>
      </c>
      <c r="G491" s="20" t="n">
        <v>-0.00945007980413503</v>
      </c>
      <c r="H491" s="20" t="n">
        <v>0.0245034988978201</v>
      </c>
      <c r="I491" s="20" t="n">
        <v>-0.00508048678788997</v>
      </c>
      <c r="J491" s="20" t="n">
        <v>0.00882621635735869</v>
      </c>
      <c r="K491" s="20" t="n">
        <v>-0.010956157577411</v>
      </c>
      <c r="L491" s="20" t="n">
        <v>0.0200920239463413</v>
      </c>
      <c r="M491" s="20" t="n">
        <v>0.0101663945251648</v>
      </c>
      <c r="N491" s="20" t="n">
        <v>-0.0107698271216247</v>
      </c>
      <c r="O491" s="20" t="n">
        <v>0.0320026496851268</v>
      </c>
      <c r="P491" s="20" t="n">
        <v>-0.000850721343053528</v>
      </c>
      <c r="Q491" s="20" t="n">
        <v>0.0202972835683088</v>
      </c>
      <c r="R491" s="20" t="n">
        <v>-0.00315224486956378</v>
      </c>
      <c r="S491" s="20" t="n">
        <v>0.00632919371956752</v>
      </c>
      <c r="T491" s="20" t="n">
        <v>-0.00131802412027459</v>
      </c>
      <c r="U491" s="20" t="n">
        <v>0.000976490186864964</v>
      </c>
      <c r="V491" s="20" t="n">
        <v>0.00411716057598088</v>
      </c>
      <c r="W491" s="20" t="n">
        <v>0.0244979179067748</v>
      </c>
      <c r="X491" s="20" t="n">
        <v>0.0129122101191061</v>
      </c>
    </row>
    <row r="492" customFormat="false" ht="13.5" hidden="false" customHeight="true" outlineLevel="0" collapsed="false">
      <c r="A492" s="47" t="n">
        <v>43081</v>
      </c>
      <c r="B492" s="20" t="n">
        <v>-0.0182203768853641</v>
      </c>
      <c r="C492" s="20" t="n">
        <v>-0.0084104272464609</v>
      </c>
      <c r="D492" s="20" t="n">
        <v>0.013516818801488</v>
      </c>
      <c r="E492" s="20" t="n">
        <v>0.00237810119063119</v>
      </c>
      <c r="F492" s="20" t="n">
        <v>-0.0165065489024089</v>
      </c>
      <c r="G492" s="20" t="n">
        <v>0.0135800128154719</v>
      </c>
      <c r="H492" s="20" t="n">
        <v>-0.0504178183638006</v>
      </c>
      <c r="I492" s="20" t="n">
        <v>0.0561203608654015</v>
      </c>
      <c r="J492" s="20" t="n">
        <v>0</v>
      </c>
      <c r="K492" s="20" t="n">
        <v>-0.0286583413629719</v>
      </c>
      <c r="L492" s="20" t="n">
        <v>-0.00725963964351183</v>
      </c>
      <c r="M492" s="20" t="n">
        <v>0.00163883012897469</v>
      </c>
      <c r="N492" s="20" t="n">
        <v>0.0647375580655302</v>
      </c>
      <c r="O492" s="20" t="n">
        <v>-0.00157598033865946</v>
      </c>
      <c r="P492" s="20" t="n">
        <v>-0.00341005972290142</v>
      </c>
      <c r="Q492" s="20" t="n">
        <v>-0.0250404086000306</v>
      </c>
      <c r="R492" s="20" t="n">
        <v>-0.0170281087760661</v>
      </c>
      <c r="S492" s="20" t="n">
        <v>-0.0163565939450531</v>
      </c>
      <c r="T492" s="20" t="n">
        <v>0.00631087222405124</v>
      </c>
      <c r="U492" s="20" t="n">
        <v>0.00833104610679136</v>
      </c>
      <c r="V492" s="20" t="n">
        <v>0.00299806838224281</v>
      </c>
      <c r="W492" s="20" t="n">
        <v>-0.0155352707465237</v>
      </c>
      <c r="X492" s="20" t="n">
        <v>-0.015651935265311</v>
      </c>
    </row>
    <row r="493" customFormat="false" ht="13.5" hidden="false" customHeight="true" outlineLevel="0" collapsed="false">
      <c r="A493" s="47" t="n">
        <v>43082</v>
      </c>
      <c r="B493" s="20" t="n">
        <v>0.000584562627930829</v>
      </c>
      <c r="C493" s="20" t="n">
        <v>-0.00677971281880696</v>
      </c>
      <c r="D493" s="20" t="n">
        <v>-0.0159416116942257</v>
      </c>
      <c r="E493" s="20" t="n">
        <v>-0.0135514290025766</v>
      </c>
      <c r="F493" s="20" t="n">
        <v>-0.00382146064969157</v>
      </c>
      <c r="G493" s="20" t="n">
        <v>-0.0300460294491533</v>
      </c>
      <c r="H493" s="20" t="n">
        <v>-0.0192776865970811</v>
      </c>
      <c r="I493" s="20" t="n">
        <v>-0.00321543377269906</v>
      </c>
      <c r="J493" s="20" t="n">
        <v>-0.00528639293845945</v>
      </c>
      <c r="K493" s="20" t="n">
        <v>0.0200930034662931</v>
      </c>
      <c r="L493" s="20" t="n">
        <v>-0.00823042591941103</v>
      </c>
      <c r="M493" s="20" t="n">
        <v>-0.0049247790078053</v>
      </c>
      <c r="N493" s="20" t="n">
        <v>-0.0168577557722078</v>
      </c>
      <c r="O493" s="20" t="n">
        <v>-0.00791767732979886</v>
      </c>
      <c r="P493" s="20" t="n">
        <v>-0.00771543929211748</v>
      </c>
      <c r="Q493" s="20" t="n">
        <v>-0.0143657944650616</v>
      </c>
      <c r="R493" s="20" t="n">
        <v>-0.0115153591160614</v>
      </c>
      <c r="S493" s="20" t="n">
        <v>-0.0082797302382902</v>
      </c>
      <c r="T493" s="20" t="n">
        <v>-0.00657464537825402</v>
      </c>
      <c r="U493" s="20" t="n">
        <v>-0.00735550852287847</v>
      </c>
      <c r="V493" s="20" t="n">
        <v>-0.0213383912839155</v>
      </c>
      <c r="W493" s="20" t="n">
        <v>-0.00303490877032963</v>
      </c>
      <c r="X493" s="20" t="n">
        <v>-0.00964861694237972</v>
      </c>
    </row>
    <row r="494" customFormat="false" ht="13.5" hidden="false" customHeight="true" outlineLevel="0" collapsed="false">
      <c r="A494" s="47" t="n">
        <v>43083</v>
      </c>
      <c r="B494" s="20" t="n">
        <v>-0.00978800636616306</v>
      </c>
      <c r="C494" s="20" t="n">
        <v>0.0101523544259278</v>
      </c>
      <c r="D494" s="20" t="n">
        <v>0.000462331438144225</v>
      </c>
      <c r="E494" s="20" t="n">
        <v>0.00958472878673122</v>
      </c>
      <c r="F494" s="20" t="n">
        <v>0.0107323644251193</v>
      </c>
      <c r="G494" s="20" t="n">
        <v>0.0210132331719683</v>
      </c>
      <c r="H494" s="20" t="n">
        <v>0.00243007459111366</v>
      </c>
      <c r="I494" s="20" t="n">
        <v>-0.00403390549525495</v>
      </c>
      <c r="J494" s="20" t="n">
        <v>-0.0525959780464846</v>
      </c>
      <c r="K494" s="20" t="n">
        <v>-0.0182661434544382</v>
      </c>
      <c r="L494" s="20" t="n">
        <v>0.0253866514400717</v>
      </c>
      <c r="M494" s="20" t="n">
        <v>0.0200930376481682</v>
      </c>
      <c r="N494" s="20" t="n">
        <v>0.031084419713411</v>
      </c>
      <c r="O494" s="20" t="n">
        <v>0.0131615476612787</v>
      </c>
      <c r="P494" s="20" t="n">
        <v>-0.0448821688257492</v>
      </c>
      <c r="Q494" s="20" t="n">
        <v>0.00160646284107501</v>
      </c>
      <c r="R494" s="20" t="n">
        <v>0.0316957127616914</v>
      </c>
      <c r="S494" s="20" t="n">
        <v>-0.00138658580013206</v>
      </c>
      <c r="T494" s="20" t="n">
        <v>0.00762251292894733</v>
      </c>
      <c r="U494" s="20" t="n">
        <v>-0.00167297888382922</v>
      </c>
      <c r="V494" s="20" t="n">
        <v>0.00449653523380355</v>
      </c>
      <c r="W494" s="20" t="n">
        <v>0.0109161838102194</v>
      </c>
      <c r="X494" s="20" t="n">
        <v>0.00964861694237972</v>
      </c>
    </row>
    <row r="495" customFormat="false" ht="13.5" hidden="false" customHeight="true" outlineLevel="0" collapsed="false">
      <c r="A495" s="47" t="n">
        <v>43084</v>
      </c>
      <c r="B495" s="20" t="n">
        <v>0.00542787734275229</v>
      </c>
      <c r="C495" s="20" t="n">
        <v>-0.00337264160712091</v>
      </c>
      <c r="D495" s="20" t="n">
        <v>-0.00532962769095757</v>
      </c>
      <c r="E495" s="20" t="n">
        <v>0.00633915945568119</v>
      </c>
      <c r="F495" s="20" t="n">
        <v>0.015037830310177</v>
      </c>
      <c r="G495" s="20" t="n">
        <v>0.0205806788554294</v>
      </c>
      <c r="H495" s="20" t="n">
        <v>0.0104629197371712</v>
      </c>
      <c r="I495" s="20" t="n">
        <v>0.000808099347558322</v>
      </c>
      <c r="J495" s="20" t="n">
        <v>0.011111215122715</v>
      </c>
      <c r="K495" s="20" t="n">
        <v>-0.00347382252259254</v>
      </c>
      <c r="L495" s="20" t="n">
        <v>0.0334538335702792</v>
      </c>
      <c r="M495" s="20" t="n">
        <v>-0.00188348483233102</v>
      </c>
      <c r="N495" s="20" t="n">
        <v>0.043760593709146</v>
      </c>
      <c r="O495" s="20" t="n">
        <v>0.00573658427981049</v>
      </c>
      <c r="P495" s="20" t="n">
        <v>0.00896066773761017</v>
      </c>
      <c r="Q495" s="20" t="n">
        <v>0.0127593316239866</v>
      </c>
      <c r="R495" s="20" t="n">
        <v>-0.0194825321078724</v>
      </c>
      <c r="S495" s="20" t="n">
        <v>0.0246700039648302</v>
      </c>
      <c r="T495" s="20" t="n">
        <v>0.0075649486233762</v>
      </c>
      <c r="U495" s="20" t="n">
        <v>0.0135811865620265</v>
      </c>
      <c r="V495" s="20" t="n">
        <v>-0.000160216672455248</v>
      </c>
      <c r="W495" s="20" t="n">
        <v>0.0173859708735664</v>
      </c>
      <c r="X495" s="20" t="n">
        <v>0.00683532262717889</v>
      </c>
    </row>
    <row r="496" customFormat="false" ht="13.5" hidden="false" customHeight="true" outlineLevel="0" collapsed="false">
      <c r="A496" s="47" t="n">
        <v>43087</v>
      </c>
      <c r="B496" s="20" t="n">
        <v>-0.000652440682800126</v>
      </c>
      <c r="C496" s="20" t="n">
        <v>-0.00961818732318287</v>
      </c>
      <c r="D496" s="20" t="n">
        <v>0.00729208914555101</v>
      </c>
      <c r="E496" s="20" t="n">
        <v>0.00236684399629982</v>
      </c>
      <c r="F496" s="20" t="n">
        <v>-0.00101811578933697</v>
      </c>
      <c r="G496" s="20" t="n">
        <v>-0.00185354033988183</v>
      </c>
      <c r="H496" s="20" t="n">
        <v>-0.00401129041000691</v>
      </c>
      <c r="I496" s="20" t="n">
        <v>-0.00485834316585398</v>
      </c>
      <c r="J496" s="20" t="n">
        <v>-0.0204657667116017</v>
      </c>
      <c r="K496" s="20" t="n">
        <v>0.010022831752706</v>
      </c>
      <c r="L496" s="20" t="n">
        <v>0.000865446061609986</v>
      </c>
      <c r="M496" s="20" t="n">
        <v>-0.00513035936106076</v>
      </c>
      <c r="N496" s="20" t="n">
        <v>-0.0199153316244888</v>
      </c>
      <c r="O496" s="20" t="n">
        <v>-0.0107176520992466</v>
      </c>
      <c r="P496" s="20" t="n">
        <v>-0.00178575566243521</v>
      </c>
      <c r="Q496" s="20" t="n">
        <v>-0.0175864061975454</v>
      </c>
      <c r="R496" s="20" t="n">
        <v>0.00889017396639246</v>
      </c>
      <c r="S496" s="20" t="n">
        <v>0.0094319580247113</v>
      </c>
      <c r="T496" s="20" t="n">
        <v>-0.00468873763485078</v>
      </c>
      <c r="U496" s="20" t="n">
        <v>0.0170594375826009</v>
      </c>
      <c r="V496" s="20" t="n">
        <v>-0.0135529685497193</v>
      </c>
      <c r="W496" s="20" t="n">
        <v>-0.00923485395874923</v>
      </c>
      <c r="X496" s="20" t="n">
        <v>-0.00477984171146417</v>
      </c>
    </row>
    <row r="497" customFormat="false" ht="13.5" hidden="false" customHeight="true" outlineLevel="0" collapsed="false">
      <c r="A497" s="47" t="n">
        <v>43088</v>
      </c>
      <c r="B497" s="20" t="n">
        <v>-0.00182898206315673</v>
      </c>
      <c r="C497" s="20" t="n">
        <v>-0.00799088379855961</v>
      </c>
      <c r="D497" s="20" t="n">
        <v>-0.0112497705759553</v>
      </c>
      <c r="E497" s="20" t="n">
        <v>0.00236133024523299</v>
      </c>
      <c r="F497" s="20" t="n">
        <v>0.00101811578933697</v>
      </c>
      <c r="G497" s="20" t="n">
        <v>0.0136356978677252</v>
      </c>
      <c r="H497" s="20" t="n">
        <v>0.00080359231103344</v>
      </c>
      <c r="I497" s="20" t="n">
        <v>0.0145047109736435</v>
      </c>
      <c r="J497" s="20" t="n">
        <v>-0.0113422653574539</v>
      </c>
      <c r="K497" s="20" t="n">
        <v>-0.00819305041844376</v>
      </c>
      <c r="L497" s="20" t="n">
        <v>0.0264632994371338</v>
      </c>
      <c r="M497" s="20" t="n">
        <v>-0.0130791934547764</v>
      </c>
      <c r="N497" s="20" t="n">
        <v>-0.0144720329281198</v>
      </c>
      <c r="O497" s="20" t="n">
        <v>0.0130550159617079</v>
      </c>
      <c r="P497" s="20" t="n">
        <v>0.0748737412685516</v>
      </c>
      <c r="Q497" s="20" t="n">
        <v>0.00643088441419648</v>
      </c>
      <c r="R497" s="20" t="n">
        <v>0.0171389681229934</v>
      </c>
      <c r="S497" s="20" t="n">
        <v>-0.00268582851165577</v>
      </c>
      <c r="T497" s="20" t="n">
        <v>0.0114228250387924</v>
      </c>
      <c r="U497" s="20" t="n">
        <v>-0.0177479477889086</v>
      </c>
      <c r="V497" s="20" t="n">
        <v>-0.00586512929423843</v>
      </c>
      <c r="W497" s="20" t="n">
        <v>-0.00365147659996534</v>
      </c>
      <c r="X497" s="20" t="n">
        <v>0.00205132972072696</v>
      </c>
    </row>
    <row r="498" customFormat="false" ht="13.5" hidden="false" customHeight="true" outlineLevel="0" collapsed="false">
      <c r="A498" s="47" t="n">
        <v>43089</v>
      </c>
      <c r="B498" s="20" t="n">
        <v>-0.00952542569483849</v>
      </c>
      <c r="C498" s="20" t="n">
        <v>0.00114542305180043</v>
      </c>
      <c r="D498" s="20" t="n">
        <v>-0.00151733037077939</v>
      </c>
      <c r="E498" s="20" t="n">
        <v>-0.00710063348136857</v>
      </c>
      <c r="F498" s="20" t="n">
        <v>0.0114672473094672</v>
      </c>
      <c r="G498" s="20" t="n">
        <v>0.00838348437384839</v>
      </c>
      <c r="H498" s="20" t="n">
        <v>0.0370558952756394</v>
      </c>
      <c r="I498" s="20" t="n">
        <v>-0.001601318046756</v>
      </c>
      <c r="J498" s="20" t="n">
        <v>0.00189928867073896</v>
      </c>
      <c r="K498" s="20" t="n">
        <v>0.00546951416072438</v>
      </c>
      <c r="L498" s="20" t="n">
        <v>0.015050476784896</v>
      </c>
      <c r="M498" s="20" t="n">
        <v>-0.00605221664997124</v>
      </c>
      <c r="N498" s="20" t="n">
        <v>0.0184869334728836</v>
      </c>
      <c r="O498" s="20" t="n">
        <v>0.00852392684590608</v>
      </c>
      <c r="P498" s="20" t="n">
        <v>0.0390293060696249</v>
      </c>
      <c r="Q498" s="20" t="n">
        <v>0.00320007597304594</v>
      </c>
      <c r="R498" s="20" t="n">
        <v>0.0145751818150152</v>
      </c>
      <c r="S498" s="20" t="n">
        <v>-0.0117224172139778</v>
      </c>
      <c r="T498" s="20" t="n">
        <v>-0.00543557434912411</v>
      </c>
      <c r="U498" s="20" t="n">
        <v>-0.00913242860895646</v>
      </c>
      <c r="V498" s="20" t="n">
        <v>0.0048899728278613</v>
      </c>
      <c r="W498" s="20" t="n">
        <v>0.0241490375216386</v>
      </c>
      <c r="X498" s="20" t="n">
        <v>0.0135687160372639</v>
      </c>
    </row>
    <row r="499" customFormat="false" ht="13.5" hidden="false" customHeight="true" outlineLevel="0" collapsed="false">
      <c r="A499" s="47" t="n">
        <v>43090</v>
      </c>
      <c r="B499" s="20" t="n">
        <v>0.00657897109804306</v>
      </c>
      <c r="C499" s="20" t="n">
        <v>0.00171579169068136</v>
      </c>
      <c r="D499" s="20" t="n">
        <v>-0.00632766248339322</v>
      </c>
      <c r="E499" s="20" t="n">
        <v>-0.00396670021584544</v>
      </c>
      <c r="F499" s="20" t="n">
        <v>0.00201003307515934</v>
      </c>
      <c r="G499" s="20" t="n">
        <v>0.0250909496864291</v>
      </c>
      <c r="H499" s="20" t="n">
        <v>-0.00621119388400348</v>
      </c>
      <c r="I499" s="20" t="n">
        <v>0.00798091894609331</v>
      </c>
      <c r="J499" s="20" t="n">
        <v>0.0187975282756016</v>
      </c>
      <c r="K499" s="20" t="n">
        <v>0.0304410389569576</v>
      </c>
      <c r="L499" s="20" t="n">
        <v>-0.0108470077275808</v>
      </c>
      <c r="M499" s="20" t="n">
        <v>-0.00276325921453635</v>
      </c>
      <c r="N499" s="20" t="n">
        <v>-0.0132528328823613</v>
      </c>
      <c r="O499" s="20" t="n">
        <v>0.00154195761286857</v>
      </c>
      <c r="P499" s="20" t="n">
        <v>0.00477331207005571</v>
      </c>
      <c r="Q499" s="20" t="n">
        <v>0.0015961299282059</v>
      </c>
      <c r="R499" s="20" t="n">
        <v>-0.0166163323534265</v>
      </c>
      <c r="S499" s="20" t="n">
        <v>-0.00181566135506239</v>
      </c>
      <c r="T499" s="20" t="n">
        <v>0.000518953262253596</v>
      </c>
      <c r="U499" s="20" t="n">
        <v>0.00277619481056046</v>
      </c>
      <c r="V499" s="20" t="n">
        <v>-0.00881927845257468</v>
      </c>
      <c r="W499" s="20" t="n">
        <v>-0.000974364698155483</v>
      </c>
      <c r="X499" s="20" t="n">
        <v>-0.00405135056828331</v>
      </c>
    </row>
    <row r="500" customFormat="false" ht="13.5" hidden="false" customHeight="true" outlineLevel="0" collapsed="false">
      <c r="A500" s="47" t="n">
        <v>43091</v>
      </c>
      <c r="B500" s="20" t="n">
        <v>0.00216160847326829</v>
      </c>
      <c r="C500" s="20" t="n">
        <v>-0.00400806509913076</v>
      </c>
      <c r="D500" s="20" t="n">
        <v>-0.000940866024989439</v>
      </c>
      <c r="E500" s="20" t="n">
        <v>0.00158859902521424</v>
      </c>
      <c r="F500" s="20" t="n">
        <v>-0.00335228186468938</v>
      </c>
      <c r="G500" s="20" t="n">
        <v>-0.0160574643397244</v>
      </c>
      <c r="H500" s="20" t="n">
        <v>0.00466200844211428</v>
      </c>
      <c r="I500" s="20" t="n">
        <v>0.011067333697214</v>
      </c>
      <c r="J500" s="20" t="n">
        <v>0.00926794231831329</v>
      </c>
      <c r="K500" s="20" t="n">
        <v>0.0828876215792837</v>
      </c>
      <c r="L500" s="20" t="n">
        <v>0.0133335181532423</v>
      </c>
      <c r="M500" s="20" t="n">
        <v>0.00193503021817331</v>
      </c>
      <c r="N500" s="20" t="n">
        <v>0.00693649243136551</v>
      </c>
      <c r="O500" s="20" t="n">
        <v>0.00307699592982624</v>
      </c>
      <c r="P500" s="20" t="n">
        <v>0.0396784273549477</v>
      </c>
      <c r="Q500" s="20" t="n">
        <v>0.0126784462833009</v>
      </c>
      <c r="R500" s="20" t="n">
        <v>0.00367118008056888</v>
      </c>
      <c r="S500" s="20" t="n">
        <v>-0.00775374807403395</v>
      </c>
      <c r="T500" s="20" t="n">
        <v>-0.00181746631707113</v>
      </c>
      <c r="U500" s="20" t="n">
        <v>-0.000832028311567256</v>
      </c>
      <c r="V500" s="20" t="n">
        <v>0.00490917764566489</v>
      </c>
      <c r="W500" s="20" t="n">
        <v>-0.00684707872153822</v>
      </c>
      <c r="X500" s="20" t="n">
        <v>-0.0102006745987752</v>
      </c>
    </row>
    <row r="501" customFormat="false" ht="13.5" hidden="false" customHeight="true" outlineLevel="0" collapsed="false">
      <c r="A501" s="47" t="n">
        <v>43095</v>
      </c>
      <c r="B501" s="20" t="n">
        <v>0.00196106119309469</v>
      </c>
      <c r="C501" s="20" t="n">
        <v>-0.00287272221121792</v>
      </c>
      <c r="D501" s="20" t="n">
        <v>0.00176337585575314</v>
      </c>
      <c r="E501" s="20" t="n">
        <v>-0.00796819992455155</v>
      </c>
      <c r="F501" s="20" t="n">
        <v>-0.00168042870049189</v>
      </c>
      <c r="G501" s="20" t="n">
        <v>-0.00324266741744017</v>
      </c>
      <c r="H501" s="20" t="n">
        <v>-0.00622085364713864</v>
      </c>
      <c r="I501" s="20" t="n">
        <v>-0.00314960582823653</v>
      </c>
      <c r="J501" s="20" t="n">
        <v>-0.00555046937778436</v>
      </c>
      <c r="K501" s="20" t="n">
        <v>0.0335226988437979</v>
      </c>
      <c r="L501" s="20" t="n">
        <v>-0.00747823624091603</v>
      </c>
      <c r="M501" s="20" t="n">
        <v>0.00330859814001049</v>
      </c>
      <c r="N501" s="20" t="n">
        <v>-0.0168462254622565</v>
      </c>
      <c r="O501" s="20" t="n">
        <v>-0.00436182813368279</v>
      </c>
      <c r="P501" s="20" t="n">
        <v>0.00152442544293762</v>
      </c>
      <c r="Q501" s="20" t="n">
        <v>0.00314465373235761</v>
      </c>
      <c r="R501" s="20" t="n">
        <v>-0.0125650130790813</v>
      </c>
      <c r="S501" s="20" t="n">
        <v>0.00956940942909634</v>
      </c>
      <c r="T501" s="20" t="n">
        <v>0.00207689145537726</v>
      </c>
      <c r="U501" s="20" t="n">
        <v>0.00484394371745278</v>
      </c>
      <c r="V501" s="20" t="n">
        <v>0.00683266019723838</v>
      </c>
      <c r="W501" s="20" t="n">
        <v>-0.00294889306873713</v>
      </c>
      <c r="X501" s="20" t="n">
        <v>-0.00273784986129577</v>
      </c>
    </row>
    <row r="502" customFormat="false" ht="13.5" hidden="false" customHeight="true" outlineLevel="0" collapsed="false">
      <c r="A502" s="47" t="n">
        <v>43096</v>
      </c>
      <c r="B502" s="20" t="n">
        <v>0.00592499964765824</v>
      </c>
      <c r="C502" s="20" t="n">
        <v>-0.00115135787740694</v>
      </c>
      <c r="D502" s="20" t="n">
        <v>-0.00105759850741105</v>
      </c>
      <c r="E502" s="20" t="n">
        <v>0.00637960089933731</v>
      </c>
      <c r="F502" s="20" t="n">
        <v>0.00235174629672263</v>
      </c>
      <c r="G502" s="20" t="n">
        <v>-0.00216761166331513</v>
      </c>
      <c r="H502" s="20" t="n">
        <v>0.00854367743012529</v>
      </c>
      <c r="I502" s="20" t="n">
        <v>0.00236311512612763</v>
      </c>
      <c r="J502" s="20" t="n">
        <v>-0.00185696470490515</v>
      </c>
      <c r="K502" s="20" t="n">
        <v>0.118306213633782</v>
      </c>
      <c r="L502" s="20" t="n">
        <v>0.0157223373872046</v>
      </c>
      <c r="M502" s="20" t="n">
        <v>0.00110033299713396</v>
      </c>
      <c r="N502" s="20" t="n">
        <v>0.0029249008057901</v>
      </c>
      <c r="O502" s="20" t="n">
        <v>0.0074292878321156</v>
      </c>
      <c r="P502" s="20" t="n">
        <v>0.0143669451704555</v>
      </c>
      <c r="Q502" s="20" t="n">
        <v>0.00781867796719715</v>
      </c>
      <c r="R502" s="20" t="n">
        <v>0.00397779696311761</v>
      </c>
      <c r="S502" s="20" t="n">
        <v>-0.00728268364032036</v>
      </c>
      <c r="T502" s="20" t="n">
        <v>0.000777674146867912</v>
      </c>
      <c r="U502" s="20" t="n">
        <v>-0.0161451480084817</v>
      </c>
      <c r="V502" s="20" t="n">
        <v>0.00145808291578308</v>
      </c>
      <c r="W502" s="20" t="n">
        <v>0.00572596205142605</v>
      </c>
      <c r="X502" s="20" t="n">
        <v>0.0102284982401679</v>
      </c>
    </row>
    <row r="503" customFormat="false" ht="13.5" hidden="false" customHeight="true" outlineLevel="0" collapsed="false">
      <c r="A503" s="47" t="n">
        <v>43097</v>
      </c>
      <c r="B503" s="20" t="n">
        <v>-0.00403301876525308</v>
      </c>
      <c r="C503" s="20" t="n">
        <v>0.00517093044527383</v>
      </c>
      <c r="D503" s="20" t="n">
        <v>-0.00696131605777328</v>
      </c>
      <c r="E503" s="20" t="n">
        <v>-0.0071799393953138</v>
      </c>
      <c r="F503" s="20" t="n">
        <v>-0.00944035267019227</v>
      </c>
      <c r="G503" s="20" t="n">
        <v>-0.00725951842264382</v>
      </c>
      <c r="H503" s="20" t="n">
        <v>0.00539921463376025</v>
      </c>
      <c r="I503" s="20" t="n">
        <v>0.00470961768855193</v>
      </c>
      <c r="J503" s="20" t="n">
        <v>-0.00372439545312497</v>
      </c>
      <c r="K503" s="20" t="n">
        <v>0.0621821950429286</v>
      </c>
      <c r="L503" s="20" t="n">
        <v>0.00409662493227447</v>
      </c>
      <c r="M503" s="20" t="n">
        <v>-0.00413274347314018</v>
      </c>
      <c r="N503" s="20" t="n">
        <v>-0.0260370045077267</v>
      </c>
      <c r="O503" s="20" t="n">
        <v>-0.00768641324112762</v>
      </c>
      <c r="P503" s="20" t="n">
        <v>0.000750486265992389</v>
      </c>
      <c r="Q503" s="20" t="n">
        <v>0.00621119411395287</v>
      </c>
      <c r="R503" s="20" t="n">
        <v>-0.00755761811236688</v>
      </c>
      <c r="S503" s="20" t="n">
        <v>-0.0193733037430421</v>
      </c>
      <c r="T503" s="20" t="n">
        <v>-0.00754330323709595</v>
      </c>
      <c r="U503" s="20" t="n">
        <v>0.00196253243173938</v>
      </c>
      <c r="V503" s="20" t="n">
        <v>-0.00796431160633837</v>
      </c>
      <c r="W503" s="20" t="n">
        <v>-0.0103305187225268</v>
      </c>
      <c r="X503" s="20" t="n">
        <v>-0.0122867996448827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2019-07-30T21:26:39Z</dcterms:created>
  <dc:creator>Yusong Wang</dc:creator>
  <dc:description/>
  <dc:language>en-US</dc:language>
  <cp:lastModifiedBy>Yusong Wang</cp:lastModifiedBy>
  <dcterms:modified xsi:type="dcterms:W3CDTF">2026-08-05T04:27:52Z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