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Daily_Returns_Q1_Q2" sheetId="1" state="visible" r:id="rId1"/>
    <sheet xmlns:r="http://schemas.openxmlformats.org/officeDocument/2006/relationships" name="Optimal_Portfolio_Q3-Q8" sheetId="2" state="visible" r:id="rId2"/>
    <sheet xmlns:r="http://schemas.openxmlformats.org/officeDocument/2006/relationships" name="Sharpe_Ratio_Q9-Q10" sheetId="3" state="visible" r:id="rId3"/>
    <sheet xmlns:r="http://schemas.openxmlformats.org/officeDocument/2006/relationships" name="Efficient_Frontier_Q7-Q8" sheetId="4" state="visible" r:id="rId4"/>
    <sheet xmlns:r="http://schemas.openxmlformats.org/officeDocument/2006/relationships" name="Returns_2018" sheetId="5" state="visible" r:id="rId5"/>
    <sheet xmlns:r="http://schemas.openxmlformats.org/officeDocument/2006/relationships" name="Analysis_2018" sheetId="6" state="visible" r:id="rId6"/>
    <sheet xmlns:r="http://schemas.openxmlformats.org/officeDocument/2006/relationships" name="FF3_Factors_2018" sheetId="7" state="visible" r:id="rId7"/>
    <sheet xmlns:r="http://schemas.openxmlformats.org/officeDocument/2006/relationships" name="FF3_Model_2018" sheetId="8" state="visible" r:id="rId8"/>
  </sheets>
  <definedNames>
    <definedName name="solver_adj" localSheetId="1" hidden="1">'Optimal_Portfolio_Q3-Q8'!$B$34:$X$34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'Optimal_Portfolio_Q3-Q8'!$B$38</definedName>
    <definedName name="solver_lhs2" localSheetId="1" hidden="1">'Optimal_Portfolio_Q3-Q8'!$B$39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2</definedName>
    <definedName name="solver_nod" localSheetId="1" hidden="1">2147483647</definedName>
    <definedName name="solver_num" localSheetId="1" hidden="1">2</definedName>
    <definedName name="solver_nwt" localSheetId="1" hidden="1">1</definedName>
    <definedName name="solver_opt" localSheetId="1" hidden="1">'Optimal_Portfolio_Q3-Q8'!$B$40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2" localSheetId="1" hidden="1">2</definedName>
    <definedName name="solver_rhs1" localSheetId="1" hidden="1">0.0005</definedName>
    <definedName name="solver_rhs2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  <definedName name="solver_adj" localSheetId="2" hidden="1">'Sharpe_Ratio_Q9-Q10'!$B$36:$X$36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'Sharpe_Ratio_Q9-Q10'!$B$37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'Sharpe_Ratio_Q9-Q10'!$B$38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1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0.00000000_);[Red]\(0.00000000\)"/>
    <numFmt numFmtId="165" formatCode="0.0000000_);[Red]\(0.0000000\)"/>
  </numFmts>
  <fonts count="23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i val="1"/>
      <color rgb="FF7F7F7F"/>
      <sz val="11"/>
      <scheme val="minor"/>
    </font>
    <font>
      <name val="等线"/>
      <charset val="134"/>
      <family val="3"/>
      <b val="1"/>
      <i val="1"/>
      <color rgb="FFFF0000"/>
      <sz val="11"/>
      <scheme val="minor"/>
    </font>
    <font>
      <b val="1"/>
    </font>
    <font>
      <i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5" fillId="0" borderId="0" applyAlignment="1" pivotButton="0" quotePrefix="0" xfId="16">
      <alignment horizontal="left" vertical="center"/>
    </xf>
    <xf numFmtId="0" fontId="19" fillId="0" borderId="0" applyAlignment="1" pivotButton="0" quotePrefix="0" xfId="16">
      <alignment horizontal="left" vertical="center"/>
    </xf>
    <xf numFmtId="0" fontId="6" fillId="2" borderId="0" applyAlignment="1" pivotButton="0" quotePrefix="0" xfId="6">
      <alignment vertical="center"/>
    </xf>
    <xf numFmtId="14" fontId="0" fillId="0" borderId="0" applyAlignment="1" pivotButton="0" quotePrefix="0" xfId="0">
      <alignment vertical="center"/>
    </xf>
    <xf numFmtId="11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8" fillId="4" borderId="0" applyAlignment="1" pivotButton="0" quotePrefix="0" xfId="8">
      <alignment vertical="center"/>
    </xf>
    <xf numFmtId="0" fontId="8" fillId="4" borderId="0" applyAlignment="1" pivotButton="0" quotePrefix="0" xfId="8">
      <alignment vertical="center"/>
    </xf>
    <xf numFmtId="49" fontId="0" fillId="0" borderId="0" applyAlignment="1" pivotButton="0" quotePrefix="0" xfId="0">
      <alignment vertical="center"/>
    </xf>
    <xf numFmtId="0" fontId="11" fillId="6" borderId="4" applyAlignment="1" pivotButton="0" quotePrefix="0" xfId="11">
      <alignment vertical="center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8" fillId="4" borderId="0" applyAlignment="1" pivotButton="0" quotePrefix="0" xfId="8">
      <alignment vertical="center"/>
    </xf>
    <xf numFmtId="0" fontId="21" fillId="0" borderId="0" pivotButton="0" quotePrefix="0" xfId="0"/>
    <xf numFmtId="0" fontId="22" fillId="0" borderId="0" pivotButton="0" quotePrefix="0" xfId="0"/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Efficient Frontier</a:t>
            </a:r>
          </a:p>
        </rich>
      </tx>
    </title>
    <plotArea>
      <scatterChart>
        <ser>
          <idx val="0"/>
          <order val="0"/>
          <tx>
            <strRef>
              <f>'Efficient_Frontier_Q7-Q8'!B4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'Efficient_Frontier_Q7-Q8'!$C$5:$C$45</f>
            </numRef>
          </xVal>
          <yVal>
            <numRef>
              <f>'Efficient_Frontier_Q7-Q8'!$B$5:$B$45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Variance/Risk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Efficient Frontier (2018)</a:t>
            </a:r>
          </a:p>
        </rich>
      </tx>
    </title>
    <plotArea>
      <scatterChart>
        <ser>
          <idx val="0"/>
          <order val="0"/>
          <tx>
            <strRef>
              <f>'Analysis_2018'!A44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'Analysis_2018'!$B$45:$B$104</f>
            </numRef>
          </xVal>
          <yVal>
            <numRef>
              <f>'Analysis_2018'!$A$45:$A$104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Variance/Risk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27</col>
      <colOff>0</colOff>
      <row>43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4"/>
  <sheetViews>
    <sheetView topLeftCell="A477" workbookViewId="0">
      <selection activeCell="E505" sqref="E505"/>
    </sheetView>
  </sheetViews>
  <sheetFormatPr baseColWidth="8" defaultRowHeight="13.8"/>
  <cols>
    <col width="12.5546875" customWidth="1" style="12" min="1" max="1"/>
    <col width="16.21875" customWidth="1" style="12" min="3" max="3"/>
  </cols>
  <sheetData>
    <row r="1">
      <c r="A1" s="0" t="inlineStr">
        <is>
          <t>date</t>
        </is>
      </c>
      <c r="B1" s="0" t="inlineStr">
        <is>
          <t>IBM</t>
        </is>
      </c>
      <c r="C1" s="0" t="inlineStr">
        <is>
          <t>GE</t>
        </is>
      </c>
      <c r="D1" s="0" t="inlineStr">
        <is>
          <t>LLY</t>
        </is>
      </c>
      <c r="E1" s="0" t="inlineStr">
        <is>
          <t>F</t>
        </is>
      </c>
      <c r="F1" s="0" t="inlineStr">
        <is>
          <t>BAC</t>
        </is>
      </c>
      <c r="G1" s="0" t="inlineStr">
        <is>
          <t>KR</t>
        </is>
      </c>
      <c r="H1" s="0" t="inlineStr">
        <is>
          <t>ITUB</t>
        </is>
      </c>
      <c r="I1" s="0" t="inlineStr">
        <is>
          <t>GG</t>
        </is>
      </c>
      <c r="J1" s="0" t="inlineStr">
        <is>
          <t>SIRI</t>
        </is>
      </c>
      <c r="K1" s="0" t="inlineStr">
        <is>
          <t>ACB</t>
        </is>
      </c>
      <c r="L1" s="0" t="inlineStr">
        <is>
          <t>VALE</t>
        </is>
      </c>
      <c r="M1" s="0" t="inlineStr">
        <is>
          <t>PFE</t>
        </is>
      </c>
      <c r="N1" s="0" t="inlineStr">
        <is>
          <t>CTL</t>
        </is>
      </c>
      <c r="O1" s="0" t="inlineStr">
        <is>
          <t>T</t>
        </is>
      </c>
      <c r="P1" s="0" t="inlineStr">
        <is>
          <t>ECA</t>
        </is>
      </c>
      <c r="Q1" s="0" t="inlineStr">
        <is>
          <t>ABEV</t>
        </is>
      </c>
      <c r="R1" s="0" t="inlineStr">
        <is>
          <t>CVS</t>
        </is>
      </c>
      <c r="S1" s="0" t="inlineStr">
        <is>
          <t>MRVL</t>
        </is>
      </c>
      <c r="T1" s="0" t="inlineStr">
        <is>
          <t>CSCO</t>
        </is>
      </c>
      <c r="U1" s="0" t="inlineStr">
        <is>
          <t>MO</t>
        </is>
      </c>
      <c r="V1" s="0" t="inlineStr">
        <is>
          <t>BMY</t>
        </is>
      </c>
      <c r="W1" s="0" t="inlineStr">
        <is>
          <t>WFC</t>
        </is>
      </c>
      <c r="X1" s="0" t="inlineStr">
        <is>
          <t>HBAN</t>
        </is>
      </c>
    </row>
    <row r="2">
      <c r="A2" s="5" t="n">
        <v>42373</v>
      </c>
      <c r="B2" s="0" t="n">
        <v>-0.00073576783013074</v>
      </c>
      <c r="C2" s="0" t="n">
        <v>0.000976358963923562</v>
      </c>
      <c r="D2" s="0" t="n">
        <v>0.0148523252267223</v>
      </c>
      <c r="E2" s="0" t="n">
        <v>-0.0180575506228359</v>
      </c>
      <c r="F2" s="0" t="n">
        <v>0</v>
      </c>
      <c r="G2" s="0" t="n">
        <v>0.0223432791490956</v>
      </c>
      <c r="H2" s="0" t="n">
        <v>0.008006440328419901</v>
      </c>
      <c r="I2" s="0" t="n">
        <v>-0.023028694104485</v>
      </c>
      <c r="J2" s="0" t="n">
        <v>-0.0101781950360004</v>
      </c>
      <c r="K2" s="0" t="n">
        <v>0.0466285176182188</v>
      </c>
      <c r="L2" s="0" t="n">
        <v>-0.00316957164751419</v>
      </c>
      <c r="M2" s="0" t="n">
        <v>0.00717294634492349</v>
      </c>
      <c r="N2" s="0" t="n">
        <v>-0.00479046178868047</v>
      </c>
      <c r="O2" s="0" t="n">
        <v>0.0069626531135607</v>
      </c>
      <c r="P2" s="0" t="n">
        <v>0.0269246774431644</v>
      </c>
      <c r="Q2" s="0" t="n">
        <v>0.013953701620875</v>
      </c>
      <c r="R2" s="0" t="n">
        <v>0.00289854016309121</v>
      </c>
      <c r="S2" s="0" t="n">
        <v>-0.0323353485892234</v>
      </c>
      <c r="T2" s="0" t="n">
        <v>-0.00455404696542904</v>
      </c>
      <c r="U2" s="0" t="n">
        <v>0.0200110155280475</v>
      </c>
      <c r="V2" s="0" t="n">
        <v>0.0195012786868975</v>
      </c>
      <c r="W2" s="0" t="n">
        <v>-0.000378080494256138</v>
      </c>
      <c r="X2" s="0" t="n">
        <v>0.00186745690988709</v>
      </c>
    </row>
    <row r="3">
      <c r="A3" s="5" t="n">
        <v>42374</v>
      </c>
      <c r="B3" s="0" t="n">
        <v>-0.00501814885127416</v>
      </c>
      <c r="C3" s="0" t="n">
        <v>-0.0160685338587165</v>
      </c>
      <c r="D3" s="0" t="n">
        <v>-0.00632119430335542</v>
      </c>
      <c r="E3" s="0" t="n">
        <v>-0.0454793701727251</v>
      </c>
      <c r="F3" s="0" t="n">
        <v>-0.0215326916173066</v>
      </c>
      <c r="G3" s="0" t="n">
        <v>-0.00095081813242448</v>
      </c>
      <c r="H3" s="0" t="n">
        <v>-0.008006440328419901</v>
      </c>
      <c r="I3" s="0" t="n">
        <v>0.0188039952227585</v>
      </c>
      <c r="J3" s="0" t="n">
        <v>-0.00512821135084795</v>
      </c>
      <c r="K3" s="0" t="n">
        <v>-0.00685721768289493</v>
      </c>
      <c r="L3" s="0" t="n">
        <v>-0.0792493724344336</v>
      </c>
      <c r="M3" s="0" t="n">
        <v>-0.0178716055112975</v>
      </c>
      <c r="N3" s="0" t="n">
        <v>-0.0108631308753563</v>
      </c>
      <c r="O3" s="0" t="n">
        <v>-0.015440911806106</v>
      </c>
      <c r="P3" s="0" t="n">
        <v>-0.06264282088571101</v>
      </c>
      <c r="Q3" s="0" t="n">
        <v>-0.0116144657802028</v>
      </c>
      <c r="R3" s="0" t="n">
        <v>-0.0122726484034565</v>
      </c>
      <c r="S3" s="0" t="n">
        <v>-0.0567442794451098</v>
      </c>
      <c r="T3" s="0" t="n">
        <v>-0.0107075853056328</v>
      </c>
      <c r="U3" s="0" t="n">
        <v>0.0105335487297786</v>
      </c>
      <c r="V3" s="0" t="n">
        <v>-0.0177125951527834</v>
      </c>
      <c r="W3" s="0" t="n">
        <v>-0.0192808935014383</v>
      </c>
      <c r="X3" s="0" t="n">
        <v>-0.0159853025508502</v>
      </c>
    </row>
    <row r="4">
      <c r="A4" s="5" t="n">
        <v>42375</v>
      </c>
      <c r="B4" s="0" t="n">
        <v>-0.0172372851183864</v>
      </c>
      <c r="C4" s="0" t="n">
        <v>-0.0432353360487631</v>
      </c>
      <c r="D4" s="0" t="n">
        <v>-0.0263061183581605</v>
      </c>
      <c r="E4" s="0" t="n">
        <v>-0.0317732931417027</v>
      </c>
      <c r="F4" s="0" t="n">
        <v>-0.036736235080971</v>
      </c>
      <c r="G4" s="0" t="n">
        <v>-0.0235814477374893</v>
      </c>
      <c r="H4" s="0" t="n">
        <v>-0.0310228661195657</v>
      </c>
      <c r="I4" s="0" t="n">
        <v>0.07422891316491</v>
      </c>
      <c r="J4" s="0" t="n">
        <v>-0.0129368403501153</v>
      </c>
      <c r="K4" s="0" t="n">
        <v>-0.061485068312721</v>
      </c>
      <c r="L4" s="0" t="n">
        <v>-0.0712044617104996</v>
      </c>
      <c r="M4" s="0" t="n">
        <v>-0.00666566477084851</v>
      </c>
      <c r="N4" s="0" t="n">
        <v>-0.0204338950379732</v>
      </c>
      <c r="O4" s="0" t="n">
        <v>-0.0162798638936179</v>
      </c>
      <c r="P4" s="0" t="n">
        <v>-0.0496996219208312</v>
      </c>
      <c r="Q4" s="0" t="n">
        <v>-0.0405299976209474</v>
      </c>
      <c r="R4" s="0" t="n">
        <v>-0.0145464488534425</v>
      </c>
      <c r="S4" s="0" t="n">
        <v>0.00988882251184897</v>
      </c>
      <c r="T4" s="0" t="n">
        <v>-0.0233382969332835</v>
      </c>
      <c r="U4" s="0" t="n">
        <v>-0.0175607411101754</v>
      </c>
      <c r="V4" s="0" t="n">
        <v>-0.028090046471668</v>
      </c>
      <c r="W4" s="0" t="n">
        <v>-0.0289421746837343</v>
      </c>
      <c r="X4" s="0" t="n">
        <v>-0.0308013427848568</v>
      </c>
    </row>
    <row r="5">
      <c r="A5" s="5" t="n">
        <v>42376</v>
      </c>
      <c r="B5" s="0" t="n">
        <v>-0.00930095329874181</v>
      </c>
      <c r="C5" s="0" t="n">
        <v>-0.0181126506312971</v>
      </c>
      <c r="D5" s="0" t="n">
        <v>-0.00196733935957116</v>
      </c>
      <c r="E5" s="0" t="n">
        <v>-0.0126784462833007</v>
      </c>
      <c r="F5" s="0" t="n">
        <v>-0.0195446086213166</v>
      </c>
      <c r="G5" s="0" t="n">
        <v>-0.00659585782722249</v>
      </c>
      <c r="H5" s="0" t="n">
        <v>0</v>
      </c>
      <c r="I5" s="0" t="n">
        <v>-0.0182472730925278</v>
      </c>
      <c r="J5" s="0" t="n">
        <v>-0.00784317012777724</v>
      </c>
      <c r="K5" s="0" t="n">
        <v>0.0264756917676975</v>
      </c>
      <c r="L5" s="0" t="n">
        <v>-0.0414372406203288</v>
      </c>
      <c r="M5" s="0" t="n">
        <v>-0.0128206762803437</v>
      </c>
      <c r="N5" s="0" t="n">
        <v>-0.0103756899743387</v>
      </c>
      <c r="O5" s="0" t="n">
        <v>0.0008949320309605819</v>
      </c>
      <c r="P5" s="0" t="n">
        <v>0.0375043600557498</v>
      </c>
      <c r="Q5" s="0" t="n">
        <v>0.0168881444759496</v>
      </c>
      <c r="R5" s="0" t="n">
        <v>-0.00660493243432736</v>
      </c>
      <c r="S5" s="0" t="n">
        <v>0.0110093039172518</v>
      </c>
      <c r="T5" s="0" t="n">
        <v>-0.025105887416378</v>
      </c>
      <c r="U5" s="0" t="n">
        <v>0.00171854807549198</v>
      </c>
      <c r="V5" s="0" t="n">
        <v>-0.0257538251899696</v>
      </c>
      <c r="W5" s="0" t="n">
        <v>-0.016807120882091</v>
      </c>
      <c r="X5" s="0" t="n">
        <v>-0.0177518817326745</v>
      </c>
    </row>
    <row r="6">
      <c r="A6" s="5" t="n">
        <v>42377</v>
      </c>
      <c r="B6" s="0" t="n">
        <v>0.0120819323715117</v>
      </c>
      <c r="C6" s="0" t="n">
        <v>0.00455901178300566</v>
      </c>
      <c r="D6" s="0" t="n">
        <v>-0.0121349108868873</v>
      </c>
      <c r="E6" s="0" t="n">
        <v>0.0181751737284985</v>
      </c>
      <c r="F6" s="0" t="n">
        <v>0.00721082177372212</v>
      </c>
      <c r="G6" s="0" t="n">
        <v>0.0116960288913907</v>
      </c>
      <c r="H6" s="0" t="n">
        <v>-0.00165974979280991</v>
      </c>
      <c r="I6" s="0" t="n">
        <v>-0.0559816400723822</v>
      </c>
      <c r="J6" s="0" t="n">
        <v>0.00262123102266009</v>
      </c>
      <c r="K6" s="0" t="n">
        <v>-0.00237816268748713</v>
      </c>
      <c r="L6" s="0" t="n">
        <v>-0.0233473423357023</v>
      </c>
      <c r="M6" s="0" t="n">
        <v>0.00225550909760885</v>
      </c>
      <c r="N6" s="0" t="n">
        <v>0.00623838685281619</v>
      </c>
      <c r="O6" s="0" t="n">
        <v>0.0121500927855047</v>
      </c>
      <c r="P6" s="0" t="n">
        <v>-0.0353835210366795</v>
      </c>
      <c r="Q6" s="0" t="n">
        <v>-0.0168881444759496</v>
      </c>
      <c r="R6" s="0" t="n">
        <v>0.0144314966556313</v>
      </c>
      <c r="S6" s="0" t="n">
        <v>0.0120919765999905</v>
      </c>
      <c r="T6" s="0" t="n">
        <v>0.019581035604347</v>
      </c>
      <c r="U6" s="0" t="n">
        <v>0.0207313694643271</v>
      </c>
      <c r="V6" s="0" t="n">
        <v>-0.0102678656265657</v>
      </c>
      <c r="W6" s="0" t="n">
        <v>0.0106373059451936</v>
      </c>
      <c r="X6" s="0" t="n">
        <v>0.00496280813281524</v>
      </c>
    </row>
    <row r="7">
      <c r="A7" s="5" t="n">
        <v>42380</v>
      </c>
      <c r="B7" s="0" t="n">
        <v>-0.00248000611023702</v>
      </c>
      <c r="C7" s="0" t="n">
        <v>0.00209714288466633</v>
      </c>
      <c r="D7" s="0" t="n">
        <v>0.00161828484055437</v>
      </c>
      <c r="E7" s="0" t="n">
        <v>0.00624513513633839</v>
      </c>
      <c r="F7" s="0" t="n">
        <v>0</v>
      </c>
      <c r="G7" s="0" t="n">
        <v>-0.000969391753280923</v>
      </c>
      <c r="H7" s="0" t="n">
        <v>0.0148394994243399</v>
      </c>
      <c r="I7" s="0" t="n">
        <v>-0.0318307164680269</v>
      </c>
      <c r="J7" s="0" t="n">
        <v>-0.007884396113605689</v>
      </c>
      <c r="K7" s="0" t="n">
        <v>0.011834516917728</v>
      </c>
      <c r="L7" s="0" t="n">
        <v>-0.0692741591522204</v>
      </c>
      <c r="M7" s="0" t="n">
        <v>-0.00225550909760885</v>
      </c>
      <c r="N7" s="0" t="n">
        <v>-0.0303054005915415</v>
      </c>
      <c r="O7" s="0" t="n">
        <v>-0.00147381707956784</v>
      </c>
      <c r="P7" s="0" t="n">
        <v>-0.0322955126777644</v>
      </c>
      <c r="Q7" s="0" t="n">
        <v>0.0216614188828596</v>
      </c>
      <c r="R7" s="0" t="n">
        <v>0.008079413027815891</v>
      </c>
      <c r="S7" s="0" t="n">
        <v>0.0190481776689099</v>
      </c>
      <c r="T7" s="0" t="n">
        <v>0.00316080557029874</v>
      </c>
      <c r="U7" s="0" t="n">
        <v>-0.00134631484917768</v>
      </c>
      <c r="V7" s="0" t="n">
        <v>0.00727734727502671</v>
      </c>
      <c r="W7" s="0" t="n">
        <v>0.0250382808496976</v>
      </c>
      <c r="X7" s="0" t="n">
        <v>0.007889579483857821</v>
      </c>
    </row>
    <row r="8">
      <c r="A8" s="5" t="n">
        <v>42381</v>
      </c>
      <c r="B8" s="0" t="n">
        <v>-0.0131027419259197</v>
      </c>
      <c r="C8" s="0" t="n">
        <v>-0.0140649131821772</v>
      </c>
      <c r="D8" s="0" t="n">
        <v>-0.0137760280390066</v>
      </c>
      <c r="E8" s="0" t="n">
        <v>-0.0519079049223827</v>
      </c>
      <c r="F8" s="0" t="n">
        <v>-0.0271450497281882</v>
      </c>
      <c r="G8" s="0" t="n">
        <v>-0.0507319335895712</v>
      </c>
      <c r="H8" s="0" t="n">
        <v>-0.0248563338050762</v>
      </c>
      <c r="I8" s="0" t="n">
        <v>-0.0247800059914551</v>
      </c>
      <c r="J8" s="0" t="n">
        <v>-0.0213341221276242</v>
      </c>
      <c r="K8" s="0" t="n">
        <v>-0.0359320459979385</v>
      </c>
      <c r="L8" s="0" t="n">
        <v>-0.0608883128345711</v>
      </c>
      <c r="M8" s="0" t="n">
        <v>-0.0205318977938575</v>
      </c>
      <c r="N8" s="0" t="n">
        <v>-0.0163725828823175</v>
      </c>
      <c r="O8" s="0" t="n">
        <v>-0.00473093253267009</v>
      </c>
      <c r="P8" s="0" t="n">
        <v>-0.0796781641384762</v>
      </c>
      <c r="Q8" s="0" t="n">
        <v>-0.0143887242888924</v>
      </c>
      <c r="R8" s="0" t="n">
        <v>-0.0166495079486654</v>
      </c>
      <c r="S8" s="0" t="n">
        <v>-0.0226604312766061</v>
      </c>
      <c r="T8" s="0" t="n">
        <v>-0.030032286640091</v>
      </c>
      <c r="U8" s="0" t="n">
        <v>-0.0273148134120608</v>
      </c>
      <c r="V8" s="0" t="n">
        <v>-0.034641050167262</v>
      </c>
      <c r="W8" s="0" t="n">
        <v>-0.0322513077438308</v>
      </c>
      <c r="X8" s="0" t="n">
        <v>-0.0431577560905949</v>
      </c>
    </row>
    <row r="9">
      <c r="A9" s="5" t="n">
        <v>42382</v>
      </c>
      <c r="B9" s="0" t="n">
        <v>0.0131780571188899</v>
      </c>
      <c r="C9" s="0" t="n">
        <v>0.0286232501580179</v>
      </c>
      <c r="D9" s="0" t="n">
        <v>0.0400448682918517</v>
      </c>
      <c r="E9" s="0" t="n">
        <v>-0.000820027035052906</v>
      </c>
      <c r="F9" s="0" t="n">
        <v>0.00602210949611992</v>
      </c>
      <c r="G9" s="0" t="n">
        <v>-0.00434621634265663</v>
      </c>
      <c r="H9" s="0" t="n">
        <v>0.0215776455150391</v>
      </c>
      <c r="I9" s="0" t="n">
        <v>-0.067649645008311</v>
      </c>
      <c r="J9" s="0" t="n">
        <v>0.00269178907443068</v>
      </c>
      <c r="K9" s="0" t="n">
        <v>-0.0347429451398459</v>
      </c>
      <c r="L9" s="0" t="n">
        <v>0.08999646873095769</v>
      </c>
      <c r="M9" s="0" t="n">
        <v>0.0240740238374006</v>
      </c>
      <c r="N9" s="0" t="n">
        <v>0.037096512610093</v>
      </c>
      <c r="O9" s="0" t="n">
        <v>0.0164612050638508</v>
      </c>
      <c r="P9" s="0" t="n">
        <v>-0.0239819427457881</v>
      </c>
      <c r="Q9" s="0" t="n">
        <v>0.0215062419799185</v>
      </c>
      <c r="R9" s="0" t="n">
        <v>0.0147666590570008</v>
      </c>
      <c r="S9" s="0" t="n">
        <v>0.00601327012092633</v>
      </c>
      <c r="T9" s="0" t="n">
        <v>0.00243603310331419</v>
      </c>
      <c r="U9" s="0" t="n">
        <v>0.00758628537320493</v>
      </c>
      <c r="V9" s="0" t="n">
        <v>0.0357438418742512</v>
      </c>
      <c r="W9" s="0" t="n">
        <v>0.018133402261498</v>
      </c>
      <c r="X9" s="0" t="n">
        <v>0.0102042089021319</v>
      </c>
    </row>
    <row r="10">
      <c r="A10" s="5" t="n">
        <v>42383</v>
      </c>
      <c r="B10" s="0" t="n">
        <v>-0.0219070513111718</v>
      </c>
      <c r="C10" s="0" t="n">
        <v>-0.0198095680213001</v>
      </c>
      <c r="D10" s="0" t="n">
        <v>-0.0158753249994783</v>
      </c>
      <c r="E10" s="0" t="n">
        <v>-0.0182123671920999</v>
      </c>
      <c r="F10" s="0" t="n">
        <v>-0.0359970774768161</v>
      </c>
      <c r="G10" s="0" t="n">
        <v>-0.0139320390129804</v>
      </c>
      <c r="H10" s="0" t="n">
        <v>-0.0419173107643804</v>
      </c>
      <c r="I10" s="0" t="n">
        <v>-0.0106025677899839</v>
      </c>
      <c r="J10" s="0" t="n">
        <v>-0.0244909961727946</v>
      </c>
      <c r="K10" s="0" t="n">
        <v>-0.0706175947475111</v>
      </c>
      <c r="L10" s="0" t="n">
        <v>-0.0291081558963866</v>
      </c>
      <c r="M10" s="0" t="n">
        <v>-0.0096900352540179</v>
      </c>
      <c r="N10" s="0" t="n">
        <v>-0.0254358125831668</v>
      </c>
      <c r="O10" s="0" t="n">
        <v>-0.0090789188395437</v>
      </c>
      <c r="P10" s="0" t="n">
        <v>-0.110226662025177</v>
      </c>
      <c r="Q10" s="0" t="n">
        <v>-0.0410190380473529</v>
      </c>
      <c r="R10" s="0" t="n">
        <v>-0.0170005739489509</v>
      </c>
      <c r="S10" s="0" t="n">
        <v>-0.0279654088725065</v>
      </c>
      <c r="T10" s="0" t="n">
        <v>-0.0430886452486882</v>
      </c>
      <c r="U10" s="0" t="n">
        <v>-0.0176750475606981</v>
      </c>
      <c r="V10" s="0" t="n">
        <v>-0.0115608154168302</v>
      </c>
      <c r="W10" s="0" t="n">
        <v>-0.0366017070693911</v>
      </c>
      <c r="X10" s="0" t="n">
        <v>-0.027793909892996</v>
      </c>
    </row>
    <row r="11">
      <c r="A11" s="5" t="n">
        <v>42384</v>
      </c>
      <c r="B11" s="0" t="n">
        <v>-0.0148759090427512</v>
      </c>
      <c r="C11" s="0" t="n">
        <v>0</v>
      </c>
      <c r="D11" s="0" t="n">
        <v>0.0242001896743389</v>
      </c>
      <c r="E11" s="0" t="n">
        <v>-0.00167227946160952</v>
      </c>
      <c r="F11" s="0" t="n">
        <v>-0.0153313294580548</v>
      </c>
      <c r="G11" s="0" t="n">
        <v>-0.007824845625536529</v>
      </c>
      <c r="H11" s="0" t="n">
        <v>-0.0137933090342832</v>
      </c>
      <c r="I11" s="0" t="n">
        <v>-0.0476280039110585</v>
      </c>
      <c r="J11" s="0" t="n">
        <v>0.008230491061099739</v>
      </c>
      <c r="K11" s="0" t="n">
        <v>0.0372383426096194</v>
      </c>
      <c r="L11" s="0" t="n">
        <v>-0.0170216720263053</v>
      </c>
      <c r="M11" s="0" t="n">
        <v>-0.00390240924134488</v>
      </c>
      <c r="N11" s="0" t="n">
        <v>-0.00301017650769042</v>
      </c>
      <c r="O11" s="0" t="n">
        <v>0.0151826753835795</v>
      </c>
      <c r="P11" s="0" t="n">
        <v>-0.120836494483043</v>
      </c>
      <c r="Q11" s="0" t="n">
        <v>0.0170944751626742</v>
      </c>
      <c r="R11" s="0" t="n">
        <v>0.0122778430388121</v>
      </c>
      <c r="S11" s="0" t="n">
        <v>-0.0428276638692626</v>
      </c>
      <c r="T11" s="0" t="n">
        <v>0.00969038702904567</v>
      </c>
      <c r="U11" s="0" t="n">
        <v>0.0207620042383904</v>
      </c>
      <c r="V11" s="0" t="n">
        <v>0.00682597003063989</v>
      </c>
      <c r="W11" s="0" t="n">
        <v>-0.0125736092866461</v>
      </c>
      <c r="X11" s="0" t="n">
        <v>-0.0104933160392697</v>
      </c>
    </row>
    <row r="12">
      <c r="A12" s="5" t="n">
        <v>42388</v>
      </c>
      <c r="B12" s="0" t="n">
        <v>-0.0500164248036423</v>
      </c>
      <c r="C12" s="0" t="n">
        <v>-0.017348617098706</v>
      </c>
      <c r="D12" s="0" t="n">
        <v>-0.00735608487905192</v>
      </c>
      <c r="E12" s="0" t="n">
        <v>-0.00419289435523939</v>
      </c>
      <c r="F12" s="0" t="n">
        <v>-0.0393892812616392</v>
      </c>
      <c r="G12" s="0" t="n">
        <v>-0.00894272570836918</v>
      </c>
      <c r="H12" s="0" t="n">
        <v>-0.0157483417910306</v>
      </c>
      <c r="I12" s="0" t="n">
        <v>0.00203040722373026</v>
      </c>
      <c r="J12" s="0" t="n">
        <v>-0.0165293518931715</v>
      </c>
      <c r="K12" s="0" t="n">
        <v>-0.0426730686138266</v>
      </c>
      <c r="L12" s="0" t="n">
        <v>0</v>
      </c>
      <c r="M12" s="0" t="n">
        <v>-0.000978017566432676</v>
      </c>
      <c r="N12" s="0" t="n">
        <v>-0.0431214876075163</v>
      </c>
      <c r="O12" s="0" t="n">
        <v>-0.0178340290752165</v>
      </c>
      <c r="P12" s="0" t="n">
        <v>0.06797298941907649</v>
      </c>
      <c r="Q12" s="0" t="n">
        <v>-0.0245110066623908</v>
      </c>
      <c r="R12" s="0" t="n">
        <v>-0.00993765246220501</v>
      </c>
      <c r="S12" s="0" t="n">
        <v>0.0178576005642616</v>
      </c>
      <c r="T12" s="0" t="n">
        <v>-0.0406473394267608</v>
      </c>
      <c r="U12" s="0" t="n">
        <v>-0.0204124070067761</v>
      </c>
      <c r="V12" s="0" t="n">
        <v>0.00536448362981456</v>
      </c>
      <c r="W12" s="0" t="n">
        <v>-0.00707746833554168</v>
      </c>
      <c r="X12" s="0" t="n">
        <v>-0.0234801946042733</v>
      </c>
    </row>
    <row r="13">
      <c r="A13" s="5" t="n">
        <v>42389</v>
      </c>
      <c r="B13" s="0" t="n">
        <v>0.00857956019295969</v>
      </c>
      <c r="C13" s="0" t="n">
        <v>0.0208525230694727</v>
      </c>
      <c r="D13" s="0" t="n">
        <v>-0.0148765234582315</v>
      </c>
      <c r="E13" s="0" t="n">
        <v>0.00920128708829315</v>
      </c>
      <c r="F13" s="0" t="n">
        <v>-0.0244004662383394</v>
      </c>
      <c r="G13" s="0" t="n">
        <v>-0.0186671273323915</v>
      </c>
      <c r="H13" s="0" t="n">
        <v>-0.032260902027031</v>
      </c>
      <c r="I13" s="0" t="n">
        <v>-0.00406504250538075</v>
      </c>
      <c r="J13" s="0" t="n">
        <v>0.0165293518931715</v>
      </c>
      <c r="K13" s="0" t="n">
        <v>-0.00546450537360354</v>
      </c>
      <c r="L13" s="0" t="n">
        <v>-0.0574108527947399</v>
      </c>
      <c r="M13" s="0" t="n">
        <v>-0.00261267046087443</v>
      </c>
      <c r="N13" s="0" t="n">
        <v>0.0169420486984295</v>
      </c>
      <c r="O13" s="0" t="n">
        <v>0.018703039827244</v>
      </c>
      <c r="P13" s="0" t="n">
        <v>0.0874874366474083</v>
      </c>
      <c r="Q13" s="0" t="n">
        <v>-0.037931244889952</v>
      </c>
      <c r="R13" s="0" t="n">
        <v>0.00381761437886751</v>
      </c>
      <c r="S13" s="0" t="n">
        <v>0.0249700633050009</v>
      </c>
      <c r="T13" s="0" t="n">
        <v>0</v>
      </c>
      <c r="U13" s="0" t="n">
        <v>0.00401150861935661</v>
      </c>
      <c r="V13" s="0" t="n">
        <v>-0.00663087633128967</v>
      </c>
      <c r="W13" s="0" t="n">
        <v>0.00292030649048768</v>
      </c>
      <c r="X13" s="0" t="n">
        <v>-0.0284794960391292</v>
      </c>
    </row>
    <row r="14">
      <c r="A14" s="5" t="n">
        <v>42390</v>
      </c>
      <c r="B14" s="0" t="n">
        <v>-0.00334138003715533</v>
      </c>
      <c r="C14" s="0" t="n">
        <v>-0.0123175881074844</v>
      </c>
      <c r="D14" s="0" t="n">
        <v>0.0131805886547384</v>
      </c>
      <c r="E14" s="0" t="n">
        <v>0.0107661587621477</v>
      </c>
      <c r="F14" s="0" t="n">
        <v>0.0148591710467451</v>
      </c>
      <c r="G14" s="0" t="n">
        <v>-0.000807933093880386</v>
      </c>
      <c r="H14" s="0" t="n">
        <v>0.046271625582404</v>
      </c>
      <c r="I14" s="0" t="n">
        <v>0.0320669407318856</v>
      </c>
      <c r="J14" s="0" t="n">
        <v>0.0189450679049769</v>
      </c>
      <c r="K14" s="0" t="n">
        <v>0.094064030353773</v>
      </c>
      <c r="L14" s="0" t="n">
        <v>0.0313224410522081</v>
      </c>
      <c r="M14" s="0" t="n">
        <v>0.00424210663468427</v>
      </c>
      <c r="N14" s="0" t="n">
        <v>0.050851040831787</v>
      </c>
      <c r="O14" s="0" t="n">
        <v>0.0172219661649868</v>
      </c>
      <c r="P14" s="0" t="n">
        <v>0.0682946022194859</v>
      </c>
      <c r="Q14" s="0" t="n">
        <v>0.0575878778631357</v>
      </c>
      <c r="R14" s="0" t="n">
        <v>0.0122029287886302</v>
      </c>
      <c r="S14" s="0" t="n">
        <v>0.00859436212814923</v>
      </c>
      <c r="T14" s="0" t="n">
        <v>0.0203162905593532</v>
      </c>
      <c r="U14" s="0" t="n">
        <v>0.0143439428066898</v>
      </c>
      <c r="V14" s="0" t="n">
        <v>0.0199175475052477</v>
      </c>
      <c r="W14" s="0" t="n">
        <v>0.020819099856197</v>
      </c>
      <c r="X14" s="0" t="n">
        <v>0.0165292602605289</v>
      </c>
    </row>
    <row r="15">
      <c r="A15" s="5" t="n">
        <v>42391</v>
      </c>
      <c r="B15" s="0" t="n">
        <v>-0.00343444744982512</v>
      </c>
      <c r="C15" s="0" t="n">
        <v>-0.00710737751346091</v>
      </c>
      <c r="D15" s="0" t="n">
        <v>-0.00937949821665196</v>
      </c>
      <c r="E15" s="0" t="n">
        <v>-0.0132672594349991</v>
      </c>
      <c r="F15" s="0" t="n">
        <v>-0.0452566195898658</v>
      </c>
      <c r="G15" s="0" t="n">
        <v>-0.0121969469934257</v>
      </c>
      <c r="H15" s="0" t="n">
        <v>-0.0228681687476641</v>
      </c>
      <c r="I15" s="0" t="n">
        <v>0.0127390364920683</v>
      </c>
      <c r="J15" s="0" t="n">
        <v>-0.0216810450467959</v>
      </c>
      <c r="K15" s="0" t="n">
        <v>-0.0252538433715338</v>
      </c>
      <c r="L15" s="0" t="n">
        <v>-0.0543119365943789</v>
      </c>
      <c r="M15" s="0" t="n">
        <v>-0.00686162102733778</v>
      </c>
      <c r="N15" s="0" t="n">
        <v>-0.00168204449363074</v>
      </c>
      <c r="O15" s="0" t="n">
        <v>-0.003992003900398</v>
      </c>
      <c r="P15" s="0" t="n">
        <v>-0.124837264076801</v>
      </c>
      <c r="Q15" s="0" t="n">
        <v>-0.00487805363113702</v>
      </c>
      <c r="R15" s="0" t="n">
        <v>-0.016551953468638</v>
      </c>
      <c r="S15" s="0" t="n">
        <v>0</v>
      </c>
      <c r="T15" s="0" t="n">
        <v>-0.00859484272440536</v>
      </c>
      <c r="U15" s="0" t="n">
        <v>0.00205695558072971</v>
      </c>
      <c r="V15" s="0" t="n">
        <v>-0.023249607715317</v>
      </c>
      <c r="W15" s="0" t="n">
        <v>-0.0281359189692667</v>
      </c>
      <c r="X15" s="0" t="n">
        <v>-0.0390020944381714</v>
      </c>
    </row>
    <row r="16">
      <c r="A16" s="5" t="n">
        <v>42394</v>
      </c>
      <c r="B16" s="0" t="n">
        <v>0.00416884169912279</v>
      </c>
      <c r="C16" s="0" t="n">
        <v>0.009583020839637239</v>
      </c>
      <c r="D16" s="0" t="n">
        <v>0.00305493000826029</v>
      </c>
      <c r="E16" s="0" t="n">
        <v>0.0231033947004113</v>
      </c>
      <c r="F16" s="0" t="n">
        <v>0.0266479700658757</v>
      </c>
      <c r="G16" s="0" t="n">
        <v>0.00299525383693888</v>
      </c>
      <c r="H16" s="0" t="n">
        <v>0.0246057869833218</v>
      </c>
      <c r="I16" s="0" t="n">
        <v>0.0438164454672032</v>
      </c>
      <c r="J16" s="0" t="n">
        <v>0.0216810450467959</v>
      </c>
      <c r="K16" s="0" t="n">
        <v>-0.00512822675175495</v>
      </c>
      <c r="L16" s="0" t="n">
        <v>0.0320393222751633</v>
      </c>
      <c r="M16" s="0" t="n">
        <v>0.0055582970003698</v>
      </c>
      <c r="N16" s="0" t="n">
        <v>0.0331155774064062</v>
      </c>
      <c r="O16" s="0" t="n">
        <v>0.0113638017542383</v>
      </c>
      <c r="P16" s="0" t="n">
        <v>0.0433672531151783</v>
      </c>
      <c r="Q16" s="0" t="n">
        <v>0.0169700302311275</v>
      </c>
      <c r="R16" s="0" t="n">
        <v>-0.000318949332346996</v>
      </c>
      <c r="S16" s="0" t="n">
        <v>0.016970030231127</v>
      </c>
      <c r="T16" s="0" t="n">
        <v>0.0234602034444937</v>
      </c>
      <c r="U16" s="0" t="n">
        <v>0.00954331639089645</v>
      </c>
      <c r="V16" s="0" t="n">
        <v>-0.00366212570894752</v>
      </c>
      <c r="W16" s="0" t="n">
        <v>0.0125105569482126</v>
      </c>
      <c r="X16" s="0" t="n">
        <v>-0.08907962803433329</v>
      </c>
    </row>
    <row r="17">
      <c r="A17" s="5" t="n">
        <v>42395</v>
      </c>
      <c r="B17" s="0" t="n">
        <v>-0.0133855193717007</v>
      </c>
      <c r="C17" s="0" t="n">
        <v>-0.0110105782881646</v>
      </c>
      <c r="D17" s="0" t="n">
        <v>-0.00244315961682506</v>
      </c>
      <c r="E17" s="0" t="n">
        <v>-0.0340140494043792</v>
      </c>
      <c r="F17" s="0" t="n">
        <v>0.00374947847724493</v>
      </c>
      <c r="G17" s="0" t="n">
        <v>0.0183194865889539</v>
      </c>
      <c r="H17" s="0" t="n">
        <v>0.00173460415508897</v>
      </c>
      <c r="I17" s="0" t="n">
        <v>0.033901628704362</v>
      </c>
      <c r="J17" s="0" t="n">
        <v>-0.0271755589660767</v>
      </c>
      <c r="K17" s="0" t="n">
        <v>-0.0103360304240164</v>
      </c>
      <c r="L17" s="0" t="n">
        <v>0.0397402909912616</v>
      </c>
      <c r="M17" s="0" t="n">
        <v>-0.00490275919867011</v>
      </c>
      <c r="N17" s="0" t="n">
        <v>0.00284609652489598</v>
      </c>
      <c r="O17" s="0" t="n">
        <v>0.0022572812957069</v>
      </c>
      <c r="P17" s="0" t="n">
        <v>0.00529101262853148</v>
      </c>
      <c r="Q17" s="0" t="n">
        <v>0.0400524868011598</v>
      </c>
      <c r="R17" s="0" t="n">
        <v>0.0031850056305327</v>
      </c>
      <c r="S17" s="0" t="n">
        <v>-0.0157483715236086</v>
      </c>
      <c r="T17" s="0" t="n">
        <v>-0.0123012796368633</v>
      </c>
      <c r="U17" s="0" t="n">
        <v>0</v>
      </c>
      <c r="V17" s="0" t="n">
        <v>-0.0157559458828036</v>
      </c>
      <c r="W17" s="0" t="n">
        <v>0.00640302465722131</v>
      </c>
      <c r="X17" s="0" t="n">
        <v>0.0257525001183078</v>
      </c>
    </row>
    <row r="18">
      <c r="A18" s="5" t="n">
        <v>42396</v>
      </c>
      <c r="B18" s="0" t="n">
        <v>0.0103628045921428</v>
      </c>
      <c r="C18" s="0" t="n">
        <v>0.00747202573783623</v>
      </c>
      <c r="D18" s="0" t="n">
        <v>-0.0624533443578725</v>
      </c>
      <c r="E18" s="0" t="n">
        <v>-0.0118847189054109</v>
      </c>
      <c r="F18" s="0" t="n">
        <v>0.0126442800359543</v>
      </c>
      <c r="G18" s="0" t="n">
        <v>0.009564382585336871</v>
      </c>
      <c r="H18" s="0" t="n">
        <v>0.00862817302316032</v>
      </c>
      <c r="I18" s="0" t="n">
        <v>-0.00180346825152755</v>
      </c>
      <c r="J18" s="0" t="n">
        <v>0.00275103066529447</v>
      </c>
      <c r="K18" s="0" t="n">
        <v>0.00259407909541431</v>
      </c>
      <c r="L18" s="0" t="n">
        <v>-0.017467676672046</v>
      </c>
      <c r="M18" s="0" t="n">
        <v>-0.010540271771346</v>
      </c>
      <c r="N18" s="0" t="n">
        <v>0.00768458942208161</v>
      </c>
      <c r="O18" s="0" t="n">
        <v>0.00140823113660681</v>
      </c>
      <c r="P18" s="0" t="n">
        <v>0.144682741487247</v>
      </c>
      <c r="Q18" s="0" t="n">
        <v>0.0160370382040819</v>
      </c>
      <c r="R18" s="0" t="n">
        <v>-0.00905078318451568</v>
      </c>
      <c r="S18" s="0" t="n">
        <v>0.0229340815206993</v>
      </c>
      <c r="T18" s="0" t="n">
        <v>-0.013751814847704</v>
      </c>
      <c r="U18" s="0" t="n">
        <v>0.0112995886942535</v>
      </c>
      <c r="V18" s="0" t="n">
        <v>-0.00895259893104682</v>
      </c>
      <c r="W18" s="0" t="n">
        <v>0.00718022331496071</v>
      </c>
      <c r="X18" s="0" t="n">
        <v>0.0262857805796934</v>
      </c>
    </row>
    <row r="19">
      <c r="A19" s="5" t="n">
        <v>42397</v>
      </c>
      <c r="B19" s="0" t="n">
        <v>0.020809622401785</v>
      </c>
      <c r="C19" s="0" t="n">
        <v>0.0310616806249623</v>
      </c>
      <c r="D19" s="0" t="n">
        <v>0.0293780472575182</v>
      </c>
      <c r="E19" s="0" t="n">
        <v>0.0194508919534115</v>
      </c>
      <c r="F19" s="0" t="n">
        <v>0.0440982623020351</v>
      </c>
      <c r="G19" s="0" t="n">
        <v>0.0258399256046457</v>
      </c>
      <c r="H19" s="0" t="n">
        <v>0.0776608008019752</v>
      </c>
      <c r="I19" s="0" t="n">
        <v>0.0231946373219256</v>
      </c>
      <c r="J19" s="0" t="n">
        <v>0.0163491220691924</v>
      </c>
      <c r="K19" s="0" t="n">
        <v>-0.0156661484403516</v>
      </c>
      <c r="L19" s="0" t="n">
        <v>0.0763082209284822</v>
      </c>
      <c r="M19" s="0" t="n">
        <v>0.00955680384966006</v>
      </c>
      <c r="N19" s="0" t="n">
        <v>0.0238865012817415</v>
      </c>
      <c r="O19" s="0" t="n">
        <v>0.014806880182705</v>
      </c>
      <c r="P19" s="0" t="n">
        <v>-0.00228576759677245</v>
      </c>
      <c r="Q19" s="0" t="n">
        <v>0.0595545254192073</v>
      </c>
      <c r="R19" s="0" t="n">
        <v>0.0326207224238483</v>
      </c>
      <c r="S19" s="0" t="n">
        <v>0.0545695739733353</v>
      </c>
      <c r="T19" s="0" t="n">
        <v>0.0289999121015691</v>
      </c>
      <c r="U19" s="0" t="n">
        <v>0.0245167078471819</v>
      </c>
      <c r="V19" s="0" t="n">
        <v>0.0162183250386673</v>
      </c>
      <c r="W19" s="0" t="n">
        <v>0.0264261752592025</v>
      </c>
      <c r="X19" s="0" t="n">
        <v>0.0117235087855576</v>
      </c>
    </row>
    <row r="20">
      <c r="A20" s="5" t="n">
        <v>42398</v>
      </c>
      <c r="B20" s="0" t="n">
        <v>0.000320494475039012</v>
      </c>
      <c r="C20" s="0" t="n">
        <v>-0.015933858218633</v>
      </c>
      <c r="D20" s="0" t="n">
        <v>-0.00888890866399982</v>
      </c>
      <c r="E20" s="0" t="n">
        <v>0.0108289370049354</v>
      </c>
      <c r="F20" s="0" t="n">
        <v>-0.0128115846818603</v>
      </c>
      <c r="G20" s="0" t="n">
        <v>0.0329477142331109</v>
      </c>
      <c r="H20" s="0" t="n">
        <v>0.0220135082917609</v>
      </c>
      <c r="I20" s="0" t="n">
        <v>0.0174829460189953</v>
      </c>
      <c r="J20" s="0" t="n">
        <v>0.00539084343830764</v>
      </c>
      <c r="K20" s="0" t="n">
        <v>0.0412429656637913</v>
      </c>
      <c r="L20" s="0" t="n">
        <v>-0.0331981371596451</v>
      </c>
      <c r="M20" s="0" t="n">
        <v>-0.010550697793608</v>
      </c>
      <c r="N20" s="0" t="n">
        <v>0.0187066852142878</v>
      </c>
      <c r="O20" s="0" t="n">
        <v>0.00332223254340879</v>
      </c>
      <c r="P20" s="0" t="n">
        <v>-0.0022908949361331</v>
      </c>
      <c r="Q20" s="0" t="n">
        <v>-0.00860219520243577</v>
      </c>
      <c r="R20" s="0" t="n">
        <v>0.00752933650228104</v>
      </c>
      <c r="S20" s="0" t="n">
        <v>0.00899892693886572</v>
      </c>
      <c r="T20" s="0" t="n">
        <v>-0.0131163873345725</v>
      </c>
      <c r="U20" s="0" t="n">
        <v>-0.00278577787214651</v>
      </c>
      <c r="V20" s="0" t="n">
        <v>-0.0217930263731007</v>
      </c>
      <c r="W20" s="0" t="n">
        <v>-0.00579019129579316</v>
      </c>
      <c r="X20" s="0" t="n">
        <v>0.00696871794459053</v>
      </c>
    </row>
    <row r="21">
      <c r="A21" s="5" t="n">
        <v>42401</v>
      </c>
      <c r="B21" s="0" t="n">
        <v>-0.0152563749939647</v>
      </c>
      <c r="C21" s="0" t="n">
        <v>-0.0140649131821772</v>
      </c>
      <c r="D21" s="0" t="n">
        <v>-0.0271509685318669</v>
      </c>
      <c r="E21" s="0" t="n">
        <v>-0.0475067672063458</v>
      </c>
      <c r="F21" s="0" t="n">
        <v>-0.0537091565403824</v>
      </c>
      <c r="G21" s="0" t="n">
        <v>0.0009967833983219869</v>
      </c>
      <c r="H21" s="0" t="n">
        <v>-0.108302482116896</v>
      </c>
      <c r="I21" s="0" t="n">
        <v>-0.0227880353771774</v>
      </c>
      <c r="J21" s="0" t="n">
        <v>-0.0411580988839259</v>
      </c>
      <c r="K21" s="0" t="n">
        <v>0.0050378042408945</v>
      </c>
      <c r="L21" s="0" t="n">
        <v>-0.09278164542722871</v>
      </c>
      <c r="M21" s="0" t="n">
        <v>-0.0009948827519719039</v>
      </c>
      <c r="N21" s="0" t="n">
        <v>-0.0270022490931425</v>
      </c>
      <c r="O21" s="0" t="n">
        <v>-0.00332223254340879</v>
      </c>
      <c r="P21" s="0" t="n">
        <v>-0.0911902638948327</v>
      </c>
      <c r="Q21" s="0" t="n">
        <v>-0.044157347508106</v>
      </c>
      <c r="R21" s="0" t="n">
        <v>-0.0247593759410991</v>
      </c>
      <c r="S21" s="0" t="n">
        <v>-0.0295476294704131</v>
      </c>
      <c r="T21" s="0" t="n">
        <v>-0.0280735182641223</v>
      </c>
      <c r="U21" s="0" t="n">
        <v>-0.00741166115576774</v>
      </c>
      <c r="V21" s="0" t="n">
        <v>-0.0325870723349863</v>
      </c>
      <c r="W21" s="0" t="n">
        <v>-0.0224773417806796</v>
      </c>
      <c r="X21" s="0" t="n">
        <v>-0.0269811667111619</v>
      </c>
    </row>
    <row r="22">
      <c r="A22" s="5" t="n">
        <v>42402</v>
      </c>
      <c r="B22" s="0" t="n">
        <v>0.0143747831996892</v>
      </c>
      <c r="C22" s="0" t="n">
        <v>0.0151118722682936</v>
      </c>
      <c r="D22" s="0" t="n">
        <v>-0.00275617622746171</v>
      </c>
      <c r="E22" s="0" t="n">
        <v>-0.00435352800396815</v>
      </c>
      <c r="F22" s="0" t="n">
        <v>-0.0152325728830664</v>
      </c>
      <c r="G22" s="0" t="n">
        <v>0.00074688858477856</v>
      </c>
      <c r="H22" s="0" t="n">
        <v>0.07348881114363</v>
      </c>
      <c r="I22" s="0" t="n">
        <v>0.0962768602510166</v>
      </c>
      <c r="J22" s="0" t="n">
        <v>-0.0198026085966831</v>
      </c>
      <c r="K22" s="0" t="n">
        <v>-0.0126423812209444</v>
      </c>
      <c r="L22" s="0" t="n">
        <v>0.07145889547105939</v>
      </c>
      <c r="M22" s="0" t="n">
        <v>-0.015716736073652</v>
      </c>
      <c r="N22" s="0" t="n">
        <v>0.033928029249282</v>
      </c>
      <c r="O22" s="0" t="n">
        <v>0.0181373431371678</v>
      </c>
      <c r="P22" s="0" t="n">
        <v>0.129440161721571</v>
      </c>
      <c r="Q22" s="0" t="n">
        <v>0.0463147921562103</v>
      </c>
      <c r="R22" s="0" t="n">
        <v>0.00451895355161902</v>
      </c>
      <c r="S22" s="0" t="n">
        <v>0.06691462936674331</v>
      </c>
      <c r="T22" s="0" t="n">
        <v>0.011757176841713</v>
      </c>
      <c r="U22" s="0" t="n">
        <v>-0.0108037536505092</v>
      </c>
      <c r="V22" s="0" t="n">
        <v>0.0210109422218414</v>
      </c>
      <c r="W22" s="0" t="n">
        <v>-0.0255121863910341</v>
      </c>
      <c r="X22" s="0" t="n">
        <v>0.0129949387281222</v>
      </c>
    </row>
    <row r="23">
      <c r="A23" s="5" t="n">
        <v>42403</v>
      </c>
      <c r="B23" s="0" t="n">
        <v>0.0232209211040368</v>
      </c>
      <c r="C23" s="0" t="n">
        <v>0.0176322104423167</v>
      </c>
      <c r="D23" s="0" t="n">
        <v>-0.0240750820090758</v>
      </c>
      <c r="E23" s="0" t="n">
        <v>0.00608959650618734</v>
      </c>
      <c r="F23" s="0" t="n">
        <v>0.0167431817888625</v>
      </c>
      <c r="G23" s="0" t="n">
        <v>-0.0308339117068321</v>
      </c>
      <c r="H23" s="0" t="n">
        <v>0.0238674589958181</v>
      </c>
      <c r="I23" s="0" t="n">
        <v>0.0502460733300376</v>
      </c>
      <c r="J23" s="0" t="n">
        <v>0.00285306626538561</v>
      </c>
      <c r="K23" s="0" t="n">
        <v>0.0151517605471828</v>
      </c>
      <c r="L23" s="0" t="n">
        <v>0.147974057981731</v>
      </c>
      <c r="M23" s="0" t="n">
        <v>-0.0228406068876734</v>
      </c>
      <c r="N23" s="0" t="n">
        <v>0.017484329267122</v>
      </c>
      <c r="O23" s="0" t="n">
        <v>-0.00518779160510352</v>
      </c>
      <c r="P23" s="0" t="n">
        <v>-0.0382498978267382</v>
      </c>
      <c r="Q23" s="0" t="n">
        <v>0.0213227499561692</v>
      </c>
      <c r="R23" s="0" t="n">
        <v>-0.00778957089433607</v>
      </c>
      <c r="S23" s="0" t="n">
        <v>0.00323099170937801</v>
      </c>
      <c r="T23" s="0" t="n">
        <v>0.0188685066829514</v>
      </c>
      <c r="U23" s="0" t="n">
        <v>-0.00603422232029249</v>
      </c>
      <c r="V23" s="0" t="n">
        <v>-0.00701051394027452</v>
      </c>
      <c r="W23" s="0" t="n">
        <v>0.0135630986039005</v>
      </c>
      <c r="X23" s="0" t="n">
        <v>0.0174524050228601</v>
      </c>
    </row>
    <row r="24">
      <c r="A24" s="5" t="n">
        <v>42404</v>
      </c>
      <c r="B24" s="0" t="n">
        <v>0.00718140442182768</v>
      </c>
      <c r="C24" s="0" t="n">
        <v>-0.0221768781676909</v>
      </c>
      <c r="D24" s="0" t="n">
        <v>0.000538370348643901</v>
      </c>
      <c r="E24" s="0" t="n">
        <v>-0.0069625977793053</v>
      </c>
      <c r="F24" s="0" t="n">
        <v>-0.0229017790152452</v>
      </c>
      <c r="G24" s="0" t="n">
        <v>-0.0347338222851543</v>
      </c>
      <c r="H24" s="0" t="n">
        <v>-0.00630916332106101</v>
      </c>
      <c r="I24" s="0" t="n">
        <v>0.0500290304612804</v>
      </c>
      <c r="J24" s="0" t="n">
        <v>-0.0259754613780689</v>
      </c>
      <c r="K24" s="0" t="n">
        <v>-0.0514251629321091</v>
      </c>
      <c r="L24" s="0" t="n">
        <v>-0.0301910337438627</v>
      </c>
      <c r="M24" s="0" t="n">
        <v>0.00103397170302699</v>
      </c>
      <c r="N24" s="0" t="n">
        <v>0.00263404452632931</v>
      </c>
      <c r="O24" s="0" t="n">
        <v>0.009535620259567329</v>
      </c>
      <c r="P24" s="0" t="n">
        <v>0.0204319653328686</v>
      </c>
      <c r="Q24" s="0" t="n">
        <v>-0.029980804656678</v>
      </c>
      <c r="R24" s="0" t="n">
        <v>-0.0163003536023644</v>
      </c>
      <c r="S24" s="0" t="n">
        <v>-0.0372441894240211</v>
      </c>
      <c r="T24" s="0" t="n">
        <v>-0.0280010334246156</v>
      </c>
      <c r="U24" s="0" t="n">
        <v>0.00536553430254027</v>
      </c>
      <c r="V24" s="0" t="n">
        <v>-0.00117321213071708</v>
      </c>
      <c r="W24" s="0" t="n">
        <v>-0.008115732551914331</v>
      </c>
      <c r="X24" s="0" t="n">
        <v>-0.010434894984411</v>
      </c>
    </row>
    <row r="25">
      <c r="A25" s="5" t="n">
        <v>42405</v>
      </c>
      <c r="B25" s="0" t="n">
        <v>-0.0124439398839202</v>
      </c>
      <c r="C25" s="0" t="n">
        <v>-0.0130490623093755</v>
      </c>
      <c r="D25" s="0" t="n">
        <v>-0.00175068729042493</v>
      </c>
      <c r="E25" s="0" t="n">
        <v>0.0121529571749565</v>
      </c>
      <c r="F25" s="0" t="n">
        <v>-0.0539384773866138</v>
      </c>
      <c r="G25" s="0" t="n">
        <v>-0.021760465473402</v>
      </c>
      <c r="H25" s="0" t="n">
        <v>-0.0305244292711244</v>
      </c>
      <c r="I25" s="0" t="n">
        <v>0.0696239450017932</v>
      </c>
      <c r="J25" s="0" t="n">
        <v>-0.0176996306290528</v>
      </c>
      <c r="K25" s="0" t="n">
        <v>0.0438779793649762</v>
      </c>
      <c r="L25" s="0" t="n">
        <v>-0.0350912871869426</v>
      </c>
      <c r="M25" s="0" t="n">
        <v>-0.0163226829176141</v>
      </c>
      <c r="N25" s="0" t="n">
        <v>-0.0375236002947256</v>
      </c>
      <c r="O25" s="0" t="n">
        <v>0.0062170638692951</v>
      </c>
      <c r="P25" s="0" t="n">
        <v>-0.0554413965610522</v>
      </c>
      <c r="Q25" s="0" t="n">
        <v>-0.00873367178505035</v>
      </c>
      <c r="R25" s="0" t="n">
        <v>-0.0377609508218022</v>
      </c>
      <c r="S25" s="0" t="n">
        <v>-0.0123527291205527</v>
      </c>
      <c r="T25" s="0" t="n">
        <v>0.00174600287890624</v>
      </c>
      <c r="U25" s="0" t="n">
        <v>0.00533689891998534</v>
      </c>
      <c r="V25" s="0" t="n">
        <v>0.0181143321437859</v>
      </c>
      <c r="W25" s="0" t="n">
        <v>-0.02882778263977</v>
      </c>
      <c r="X25" s="0" t="n">
        <v>-0.0200124487665713</v>
      </c>
    </row>
    <row r="26">
      <c r="A26" s="5" t="n">
        <v>42408</v>
      </c>
      <c r="B26" s="0" t="n">
        <v>-0.0231837001839414</v>
      </c>
      <c r="C26" s="0" t="n">
        <v>0.00389729153482765</v>
      </c>
      <c r="D26" s="0" t="n">
        <v>-0.00608403927268508</v>
      </c>
      <c r="E26" s="0" t="n">
        <v>-0.0209248929800596</v>
      </c>
      <c r="F26" s="0" t="n">
        <v>-0.00572135992516642</v>
      </c>
      <c r="G26" s="0" t="n">
        <v>-0.0024473201479771</v>
      </c>
      <c r="H26" s="0" t="n">
        <v>-0.009836135361525051</v>
      </c>
      <c r="I26" s="0" t="n">
        <v>-0.0387860539516813</v>
      </c>
      <c r="J26" s="0" t="n">
        <v>-0.00298062538454724</v>
      </c>
      <c r="K26" s="0" t="n">
        <v>0.08469387099166251</v>
      </c>
      <c r="L26" s="0" t="n">
        <v>-0.0200407317315135</v>
      </c>
      <c r="M26" s="0" t="n">
        <v>0.018731068514485</v>
      </c>
      <c r="N26" s="0" t="n">
        <v>-0.0325167314539887</v>
      </c>
      <c r="O26" s="0" t="n">
        <v>-0.0124730215531339</v>
      </c>
      <c r="P26" s="0" t="n">
        <v>-0.0945978734828643</v>
      </c>
      <c r="Q26" s="0" t="n">
        <v>-0.0244185576615674</v>
      </c>
      <c r="R26" s="0" t="n">
        <v>0.009547148369685839</v>
      </c>
      <c r="S26" s="0" t="n">
        <v>-0.0170944983867706</v>
      </c>
      <c r="T26" s="0" t="n">
        <v>-0.0122862750917183</v>
      </c>
      <c r="U26" s="0" t="n">
        <v>0.00547404256341543</v>
      </c>
      <c r="V26" s="0" t="n">
        <v>0.00492853359920619</v>
      </c>
      <c r="W26" s="0" t="n">
        <v>-0.00107583090850171</v>
      </c>
      <c r="X26" s="0" t="n">
        <v>0.00474496295567794</v>
      </c>
    </row>
    <row r="27">
      <c r="A27" s="5" t="n">
        <v>42409</v>
      </c>
      <c r="B27" s="0" t="n">
        <v>-0.0317720757174857</v>
      </c>
      <c r="C27" s="0" t="n">
        <v>0.000706931250965325</v>
      </c>
      <c r="D27" s="0" t="n">
        <v>-0.00912748220959169</v>
      </c>
      <c r="E27" s="0" t="n">
        <v>-0.000881465781750634</v>
      </c>
      <c r="F27" s="0" t="n">
        <v>-0.0181973816285601</v>
      </c>
      <c r="G27" s="0" t="n">
        <v>0.00326172985886596</v>
      </c>
      <c r="H27" s="0" t="n">
        <v>0.0276215508254806</v>
      </c>
      <c r="I27" s="0" t="n">
        <v>0.0285435217720313</v>
      </c>
      <c r="J27" s="0" t="n">
        <v>0.0148151423022753</v>
      </c>
      <c r="K27" s="0" t="n">
        <v>-0.0597549460004629</v>
      </c>
      <c r="L27" s="0" t="n">
        <v>0.0512932461246796</v>
      </c>
      <c r="M27" s="0" t="n">
        <v>0.0133130277794757</v>
      </c>
      <c r="N27" s="0" t="n">
        <v>-0.0089069137444242</v>
      </c>
      <c r="O27" s="0" t="n">
        <v>-0.00602085056894541</v>
      </c>
      <c r="P27" s="0" t="n">
        <v>-0.0929630443255373</v>
      </c>
      <c r="Q27" s="0" t="n">
        <v>0.00894859746187082</v>
      </c>
      <c r="R27" s="0" t="n">
        <v>0.0283212310143774</v>
      </c>
      <c r="S27" s="0" t="n">
        <v>-0.0138890991291877</v>
      </c>
      <c r="T27" s="0" t="n">
        <v>-0.00620017000046457</v>
      </c>
      <c r="U27" s="0" t="n">
        <v>-0.00663905386087915</v>
      </c>
      <c r="V27" s="0" t="n">
        <v>0.000982823538019594</v>
      </c>
      <c r="W27" s="0" t="n">
        <v>-0.00604628482488278</v>
      </c>
      <c r="X27" s="0" t="n">
        <v>-0.009512547968275159</v>
      </c>
    </row>
    <row r="28">
      <c r="A28" s="5" t="n">
        <v>42410</v>
      </c>
      <c r="B28" s="0" t="n">
        <v>-0.0196612278430832</v>
      </c>
      <c r="C28" s="0" t="n">
        <v>-0.0304956646543992</v>
      </c>
      <c r="D28" s="0" t="n">
        <v>-0.0228399650981812</v>
      </c>
      <c r="E28" s="0" t="n">
        <v>-0.0151046918439639</v>
      </c>
      <c r="F28" s="0" t="n">
        <v>-0.0709026111962307</v>
      </c>
      <c r="G28" s="0" t="n">
        <v>-0.0114629578299867</v>
      </c>
      <c r="H28" s="0" t="n">
        <v>-0.0408887307860899</v>
      </c>
      <c r="I28" s="0" t="n">
        <v>0.029085601840586</v>
      </c>
      <c r="J28" s="0" t="n">
        <v>-0.00589971631817332</v>
      </c>
      <c r="K28" s="0" t="n">
        <v>0</v>
      </c>
      <c r="L28" s="0" t="n">
        <v>-0.08841087257985281</v>
      </c>
      <c r="M28" s="0" t="n">
        <v>-0.0122826729044396</v>
      </c>
      <c r="N28" s="0" t="n">
        <v>0.104180505834951</v>
      </c>
      <c r="O28" s="0" t="n">
        <v>-0.00605732090379484</v>
      </c>
      <c r="P28" s="0" t="n">
        <v>-0.0115274940822918</v>
      </c>
      <c r="Q28" s="0" t="n">
        <v>-0.0111982614466277</v>
      </c>
      <c r="R28" s="0" t="n">
        <v>0.0081292791527181</v>
      </c>
      <c r="S28" s="0" t="n">
        <v>-0.0200124487665713</v>
      </c>
      <c r="T28" s="0" t="n">
        <v>0.09203354631584609</v>
      </c>
      <c r="U28" s="0" t="n">
        <v>-0.0009996261768110411</v>
      </c>
      <c r="V28" s="0" t="n">
        <v>-0.0258721121126477</v>
      </c>
      <c r="W28" s="0" t="n">
        <v>-0.022118460957293</v>
      </c>
      <c r="X28" s="0" t="n">
        <v>-0.0439630811738553</v>
      </c>
    </row>
    <row r="29">
      <c r="A29" s="5" t="n">
        <v>42411</v>
      </c>
      <c r="B29" s="0" t="n">
        <v>0.0267084606094369</v>
      </c>
      <c r="C29" s="0" t="n">
        <v>0.0290812318545268</v>
      </c>
      <c r="D29" s="0" t="n">
        <v>-0.00210248211631736</v>
      </c>
      <c r="E29" s="0" t="n">
        <v>0.0334538335702792</v>
      </c>
      <c r="F29" s="0" t="n">
        <v>0.06839531913602841</v>
      </c>
      <c r="G29" s="0" t="n">
        <v>0.0508403077657426</v>
      </c>
      <c r="H29" s="0" t="n">
        <v>0.0149132692683717</v>
      </c>
      <c r="I29" s="0" t="n">
        <v>0.0417815559665375</v>
      </c>
      <c r="J29" s="0" t="n">
        <v>0.0233928567415828</v>
      </c>
      <c r="K29" s="0" t="n">
        <v>0.0527700719964064</v>
      </c>
      <c r="L29" s="0" t="n">
        <v>0.0998833539355278</v>
      </c>
      <c r="M29" s="0" t="n">
        <v>0.007864682373447609</v>
      </c>
      <c r="N29" s="0" t="n">
        <v>0.0472359601271876</v>
      </c>
      <c r="O29" s="0" t="n">
        <v>0.00715473979829717</v>
      </c>
      <c r="P29" s="0" t="n">
        <v>0.0257524715050669</v>
      </c>
      <c r="Q29" s="0" t="n">
        <v>0.0111982614466277</v>
      </c>
      <c r="R29" s="0" t="n">
        <v>0.0209779244902756</v>
      </c>
      <c r="S29" s="0" t="n">
        <v>0.0235028227235232</v>
      </c>
      <c r="T29" s="0" t="n">
        <v>0.0172729860741105</v>
      </c>
      <c r="U29" s="0" t="n">
        <v>-0.000333452108463028</v>
      </c>
      <c r="V29" s="0" t="n">
        <v>0.0113599667724297</v>
      </c>
      <c r="W29" s="0" t="n">
        <v>0.0465099827679234</v>
      </c>
      <c r="X29" s="0" t="n">
        <v>0.0522914692354676</v>
      </c>
    </row>
    <row r="30">
      <c r="A30" s="5" t="n">
        <v>42412</v>
      </c>
      <c r="B30" s="0" t="n">
        <v>0.013947202512492</v>
      </c>
      <c r="C30" s="0" t="n">
        <v>0.0210091868882034</v>
      </c>
      <c r="D30" s="0" t="n">
        <v>0.028494392663628</v>
      </c>
      <c r="E30" s="0" t="n">
        <v>0.0273287454987438</v>
      </c>
      <c r="F30" s="0" t="n">
        <v>0.0247946745742928</v>
      </c>
      <c r="G30" s="0" t="n">
        <v>0.0041655837402601</v>
      </c>
      <c r="H30" s="0" t="n">
        <v>0.00655739420278544</v>
      </c>
      <c r="I30" s="0" t="n">
        <v>-0.0558804829252799</v>
      </c>
      <c r="J30" s="0" t="n">
        <v>0.00863313885215744</v>
      </c>
      <c r="K30" s="0" t="n">
        <v>0.0389510632695948</v>
      </c>
      <c r="L30" s="0" t="n">
        <v>0.0518634236101828</v>
      </c>
      <c r="M30" s="0" t="n">
        <v>0.0152106652397394</v>
      </c>
      <c r="N30" s="0" t="n">
        <v>0.0107770715331443</v>
      </c>
      <c r="O30" s="0" t="n">
        <v>0.00492343167444309</v>
      </c>
      <c r="P30" s="0" t="n">
        <v>0.0168071026014087</v>
      </c>
      <c r="Q30" s="0" t="n">
        <v>-0.0157129374275715</v>
      </c>
      <c r="R30" s="0" t="n">
        <v>0.0112034555033453</v>
      </c>
      <c r="S30" s="0" t="n">
        <v>0.0575455129731392</v>
      </c>
      <c r="T30" s="0" t="n">
        <v>0.0286574873429006</v>
      </c>
      <c r="U30" s="0" t="n">
        <v>0.00548763354509596</v>
      </c>
      <c r="V30" s="0" t="n">
        <v>0.0323610445503605</v>
      </c>
      <c r="W30" s="0" t="n">
        <v>0.019466868542461</v>
      </c>
      <c r="X30" s="0" t="n">
        <v>0.0349279045893444</v>
      </c>
    </row>
    <row r="31">
      <c r="A31" s="5" t="n">
        <v>42416</v>
      </c>
      <c r="B31" s="0" t="n">
        <v>0.0270069513138944</v>
      </c>
      <c r="C31" s="0" t="n">
        <v>0.0164952141684326</v>
      </c>
      <c r="D31" s="0" t="n">
        <v>0.0182424956841975</v>
      </c>
      <c r="E31" s="0" t="n">
        <v>0.0331430970499848</v>
      </c>
      <c r="F31" s="0" t="n">
        <v>0.0249912574582888</v>
      </c>
      <c r="G31" s="0" t="n">
        <v>0.0238747443711617</v>
      </c>
      <c r="H31" s="0" t="n">
        <v>0.028987509324887</v>
      </c>
      <c r="I31" s="0" t="n">
        <v>0.00942135784807174</v>
      </c>
      <c r="J31" s="0" t="n">
        <v>0.0226638381451242</v>
      </c>
      <c r="K31" s="0" t="n">
        <v>0.0418102573585212</v>
      </c>
      <c r="L31" s="0" t="n">
        <v>0.09956758395128081</v>
      </c>
      <c r="M31" s="0" t="n">
        <v>-0.00605655651289493</v>
      </c>
      <c r="N31" s="0" t="n">
        <v>0.0276232216839735</v>
      </c>
      <c r="O31" s="0" t="n">
        <v>-0.000272946818600683</v>
      </c>
      <c r="P31" s="0" t="n">
        <v>0.0723206584992826</v>
      </c>
      <c r="Q31" s="0" t="n">
        <v>0.0355592681173466</v>
      </c>
      <c r="R31" s="0" t="n">
        <v>0.00770696905426948</v>
      </c>
      <c r="S31" s="0" t="n">
        <v>0.0195446291304413</v>
      </c>
      <c r="T31" s="0" t="n">
        <v>0.0237104392668752</v>
      </c>
      <c r="U31" s="0" t="n">
        <v>0.0016570391229207</v>
      </c>
      <c r="V31" s="0" t="n">
        <v>0.0275988632734325</v>
      </c>
      <c r="W31" s="0" t="n">
        <v>-0.00228288170570278</v>
      </c>
      <c r="X31" s="0" t="n">
        <v>0.00342669510104132</v>
      </c>
    </row>
    <row r="32">
      <c r="A32" s="5" t="n">
        <v>42417</v>
      </c>
      <c r="B32" s="0" t="n">
        <v>0.0491299618069218</v>
      </c>
      <c r="C32" s="0" t="n">
        <v>-0.00890112009601518</v>
      </c>
      <c r="D32" s="0" t="n">
        <v>-0.0163351465127945</v>
      </c>
      <c r="E32" s="0" t="n">
        <v>-0.00081534685331519</v>
      </c>
      <c r="F32" s="0" t="n">
        <v>-0.0258079360643415</v>
      </c>
      <c r="G32" s="0" t="n">
        <v>-0.0351093573244147</v>
      </c>
      <c r="H32" s="0" t="n">
        <v>-0.0454623305119008</v>
      </c>
      <c r="I32" s="0" t="n">
        <v>0.0547367980109068</v>
      </c>
      <c r="J32" s="0" t="n">
        <v>0.00279720200939959</v>
      </c>
      <c r="K32" s="0" t="n">
        <v>0.0297261781152711</v>
      </c>
      <c r="L32" s="0" t="n">
        <v>-0.0606245633805093</v>
      </c>
      <c r="M32" s="0" t="n">
        <v>-0.0027036152281874</v>
      </c>
      <c r="N32" s="0" t="n">
        <v>0.0196509290963655</v>
      </c>
      <c r="O32" s="0" t="n">
        <v>0.0095071280727299</v>
      </c>
      <c r="P32" s="0" t="n">
        <v>-0.0947934932789917</v>
      </c>
      <c r="Q32" s="0" t="n">
        <v>-0.0154017772035883</v>
      </c>
      <c r="R32" s="0" t="n">
        <v>-0.00822291655872931</v>
      </c>
      <c r="S32" s="0" t="n">
        <v>-0.0021529026448821</v>
      </c>
      <c r="T32" s="0" t="n">
        <v>-0.00113438392361508</v>
      </c>
      <c r="U32" s="0" t="n">
        <v>0.00363572380614307</v>
      </c>
      <c r="V32" s="0" t="n">
        <v>-0.009431042618749601</v>
      </c>
      <c r="W32" s="0" t="n">
        <v>-0.00834558408020003</v>
      </c>
      <c r="X32" s="0" t="n">
        <v>-0.0289204640112785</v>
      </c>
    </row>
    <row r="33">
      <c r="A33" s="5" t="n">
        <v>42418</v>
      </c>
      <c r="B33" s="0" t="n">
        <v>0.00474527223207843</v>
      </c>
      <c r="C33" s="0" t="n">
        <v>-0.00206537893000025</v>
      </c>
      <c r="D33" s="0" t="n">
        <v>-0.0117745144491294</v>
      </c>
      <c r="E33" s="0" t="n">
        <v>-0.0131364650479381</v>
      </c>
      <c r="F33" s="0" t="n">
        <v>-0.00902752599418921</v>
      </c>
      <c r="G33" s="0" t="n">
        <v>-0.00632584278912062</v>
      </c>
      <c r="H33" s="0" t="n">
        <v>-0.00332778682531054</v>
      </c>
      <c r="I33" s="0" t="n">
        <v>-0.0205004390039902</v>
      </c>
      <c r="J33" s="0" t="n">
        <v>0.011111215122715</v>
      </c>
      <c r="K33" s="0" t="n">
        <v>-0.0603631452934579</v>
      </c>
      <c r="L33" s="0" t="n">
        <v>0.0206192669290476</v>
      </c>
      <c r="M33" s="0" t="n">
        <v>-0.0020325029676651</v>
      </c>
      <c r="N33" s="0" t="n">
        <v>-0.0196509290963655</v>
      </c>
      <c r="O33" s="0" t="n">
        <v>-0.0114194274042791</v>
      </c>
      <c r="P33" s="0" t="n">
        <v>-0.117427943076746</v>
      </c>
      <c r="Q33" s="0" t="n">
        <v>-0.0022198074881643</v>
      </c>
      <c r="R33" s="0" t="n">
        <v>0.00719868353042763</v>
      </c>
      <c r="S33" s="0" t="n">
        <v>-0.0130153559954808</v>
      </c>
      <c r="T33" s="0" t="n">
        <v>0.004529978789233</v>
      </c>
      <c r="U33" s="0" t="n">
        <v>-0.000990222204078961</v>
      </c>
      <c r="V33" s="0" t="n">
        <v>0.00755194819921367</v>
      </c>
      <c r="W33" s="0" t="n">
        <v>0.00751413703542169</v>
      </c>
      <c r="X33" s="0" t="n">
        <v>0.0174524050228601</v>
      </c>
    </row>
    <row r="34">
      <c r="A34" s="5" t="n">
        <v>42419</v>
      </c>
      <c r="B34" s="0" t="n">
        <v>0.00517147433702369</v>
      </c>
      <c r="C34" s="0" t="n">
        <v>0.0133495048309595</v>
      </c>
      <c r="D34" s="0" t="n">
        <v>0.00549378552937263</v>
      </c>
      <c r="E34" s="0" t="n">
        <v>0.0373117103199063</v>
      </c>
      <c r="F34" s="0" t="n">
        <v>0.0332417997722571</v>
      </c>
      <c r="G34" s="0" t="n">
        <v>0.0118282562378868</v>
      </c>
      <c r="H34" s="0" t="n">
        <v>0.0582688524554868</v>
      </c>
      <c r="I34" s="0" t="n">
        <v>-0.0215906278159128</v>
      </c>
      <c r="J34" s="0" t="n">
        <v>0.0218588383135036</v>
      </c>
      <c r="K34" s="0" t="n">
        <v>-0.00445429299173616</v>
      </c>
      <c r="L34" s="0" t="n">
        <v>0.127561180477466</v>
      </c>
      <c r="M34" s="0" t="n">
        <v>0.0188114205263683</v>
      </c>
      <c r="N34" s="0" t="n">
        <v>0.008707363516338161</v>
      </c>
      <c r="O34" s="0" t="n">
        <v>0.007898744984005999</v>
      </c>
      <c r="P34" s="0" t="n">
        <v>0.0528894129081687</v>
      </c>
      <c r="Q34" s="0" t="n">
        <v>0.043485071357852</v>
      </c>
      <c r="R34" s="0" t="n">
        <v>-0.00133296360642987</v>
      </c>
      <c r="S34" s="0" t="n">
        <v>0.0151682586403629</v>
      </c>
      <c r="T34" s="0" t="n">
        <v>0.00300864935925693</v>
      </c>
      <c r="U34" s="0" t="n">
        <v>0.0106759281000963</v>
      </c>
      <c r="V34" s="0" t="n">
        <v>-0.00156860383725643</v>
      </c>
      <c r="W34" s="0" t="n">
        <v>0.0226160644266184</v>
      </c>
      <c r="X34" s="0" t="n">
        <v>0.0194180943184116</v>
      </c>
    </row>
    <row r="35">
      <c r="A35" s="5" t="n">
        <v>42422</v>
      </c>
      <c r="B35" s="0" t="n">
        <v>-0.0102943418425054</v>
      </c>
      <c r="C35" s="0" t="n">
        <v>-0.00648138788469232</v>
      </c>
      <c r="D35" s="0" t="n">
        <v>0.00628072891975683</v>
      </c>
      <c r="E35" s="0" t="n">
        <v>-0.0112091118008623</v>
      </c>
      <c r="F35" s="0" t="n">
        <v>-0.0307716681730769</v>
      </c>
      <c r="G35" s="0" t="n">
        <v>0.0132383069378247</v>
      </c>
      <c r="H35" s="0" t="n">
        <v>-0.0254790613575484</v>
      </c>
      <c r="I35" s="0" t="n">
        <v>0.0202953229706066</v>
      </c>
      <c r="J35" s="0" t="n">
        <v>-0.0246250892522086</v>
      </c>
      <c r="K35" s="0" t="n">
        <v>0.00888889914388912</v>
      </c>
      <c r="L35" s="0" t="n">
        <v>-0.07134808883090139</v>
      </c>
      <c r="M35" s="0" t="n">
        <v>-0.00299950750152033</v>
      </c>
      <c r="N35" s="0" t="n">
        <v>-0.0249844114511135</v>
      </c>
      <c r="O35" s="0" t="n">
        <v>-0.00326084332834364</v>
      </c>
      <c r="P35" s="0" t="n">
        <v>-0.09198237843039229</v>
      </c>
      <c r="Q35" s="0" t="n">
        <v>-0.028049225665349</v>
      </c>
      <c r="R35" s="0" t="n">
        <v>-0.0073116961115911</v>
      </c>
      <c r="S35" s="0" t="n">
        <v>-0.00431034729298618</v>
      </c>
      <c r="T35" s="0" t="n">
        <v>-0.0193370317731096</v>
      </c>
      <c r="U35" s="0" t="n">
        <v>0.00505177273245482</v>
      </c>
      <c r="V35" s="0" t="n">
        <v>-0.0259217990462667</v>
      </c>
      <c r="W35" s="0" t="n">
        <v>-0.0224081775004938</v>
      </c>
      <c r="X35" s="0" t="n">
        <v>-0.0263626153458709</v>
      </c>
    </row>
    <row r="36">
      <c r="A36" s="5" t="n">
        <v>42423</v>
      </c>
      <c r="B36" s="0" t="n">
        <v>0.00301666261859079</v>
      </c>
      <c r="C36" s="0" t="n">
        <v>-0.00893783899256961</v>
      </c>
      <c r="D36" s="0" t="n">
        <v>0.00853833546270976</v>
      </c>
      <c r="E36" s="0" t="n">
        <v>-0.0277568964572179</v>
      </c>
      <c r="F36" s="0" t="n">
        <v>-0.00247013159918019</v>
      </c>
      <c r="G36" s="0" t="n">
        <v>-0.00206499858692499</v>
      </c>
      <c r="H36" s="0" t="n">
        <v>-0.00161420381697796</v>
      </c>
      <c r="I36" s="0" t="n">
        <v>0.0224296123426004</v>
      </c>
      <c r="J36" s="0" t="n">
        <v>-0.00277392431435008</v>
      </c>
      <c r="K36" s="0" t="n">
        <v>-0.0710493196821447</v>
      </c>
      <c r="L36" s="0" t="n">
        <v>-0.0596202466468926</v>
      </c>
      <c r="M36" s="0" t="n">
        <v>0.00200071336324336</v>
      </c>
      <c r="N36" s="0" t="n">
        <v>0.0256510934012625</v>
      </c>
      <c r="O36" s="0" t="n">
        <v>0.009750803012601219</v>
      </c>
      <c r="P36" s="0" t="n">
        <v>0.200972694728952</v>
      </c>
      <c r="Q36" s="0" t="n">
        <v>-0.00438596758616882</v>
      </c>
      <c r="R36" s="0" t="n">
        <v>0.00134273898459369</v>
      </c>
      <c r="S36" s="0" t="n">
        <v>0.0245345151282747</v>
      </c>
      <c r="T36" s="0" t="n">
        <v>0.00762775832414641</v>
      </c>
      <c r="U36" s="0" t="n">
        <v>-0.00260416563221976</v>
      </c>
      <c r="V36" s="0" t="n">
        <v>0.00257441571620731</v>
      </c>
      <c r="W36" s="0" t="n">
        <v>-0.0102393093624146</v>
      </c>
      <c r="X36" s="0" t="n">
        <v>-0.00816327523113447</v>
      </c>
    </row>
    <row r="37">
      <c r="A37" s="5" t="n">
        <v>42424</v>
      </c>
      <c r="B37" s="0" t="n">
        <v>0.0127199390194565</v>
      </c>
      <c r="C37" s="0" t="n">
        <v>0.009280064002811001</v>
      </c>
      <c r="D37" s="0" t="n">
        <v>0.00966971313131725</v>
      </c>
      <c r="E37" s="0" t="n">
        <v>0.0253385371597714</v>
      </c>
      <c r="F37" s="0" t="n">
        <v>0.0155422009441177</v>
      </c>
      <c r="G37" s="0" t="n">
        <v>0.0194478576431325</v>
      </c>
      <c r="H37" s="0" t="n">
        <v>0</v>
      </c>
      <c r="I37" s="0" t="n">
        <v>0.00694670365908889</v>
      </c>
      <c r="J37" s="0" t="n">
        <v>0.0246926545882244</v>
      </c>
      <c r="K37" s="0" t="n">
        <v>0.0188240533986718</v>
      </c>
      <c r="L37" s="0" t="n">
        <v>-0.0453830456617441</v>
      </c>
      <c r="M37" s="0" t="n">
        <v>0.0188093216970353</v>
      </c>
      <c r="N37" s="0" t="n">
        <v>0.013240829592457</v>
      </c>
      <c r="O37" s="0" t="n">
        <v>0.00725128643065708</v>
      </c>
      <c r="P37" s="0" t="n">
        <v>0.018843069660936</v>
      </c>
      <c r="Q37" s="0" t="n">
        <v>-0.0199785002975028</v>
      </c>
      <c r="R37" s="0" t="n">
        <v>0.0155677486706222</v>
      </c>
      <c r="S37" s="0" t="n">
        <v>0.00630258596125221</v>
      </c>
      <c r="T37" s="0" t="n">
        <v>0.0105821352663282</v>
      </c>
      <c r="U37" s="0" t="n">
        <v>0.0164865612963156</v>
      </c>
      <c r="V37" s="0" t="n">
        <v>0.0127735929328709</v>
      </c>
      <c r="W37" s="0" t="n">
        <v>0.00293623090049299</v>
      </c>
      <c r="X37" s="0" t="n">
        <v>0.0116416192187731</v>
      </c>
    </row>
    <row r="38">
      <c r="A38" s="5" t="n">
        <v>42425</v>
      </c>
      <c r="B38" s="0" t="n">
        <v>-0.0185350387964335</v>
      </c>
      <c r="C38" s="0" t="n">
        <v>0.00579903275959869</v>
      </c>
      <c r="D38" s="0" t="n">
        <v>-0.0164402198384205</v>
      </c>
      <c r="E38" s="0" t="n">
        <v>0.00643605775492606</v>
      </c>
      <c r="F38" s="0" t="n">
        <v>0.0303780451114401</v>
      </c>
      <c r="G38" s="0" t="n">
        <v>-0.000253410761779981</v>
      </c>
      <c r="H38" s="0" t="n">
        <v>-0.00811033677451278</v>
      </c>
      <c r="I38" s="0" t="n">
        <v>-0.136683033163843</v>
      </c>
      <c r="J38" s="0" t="n">
        <v>0</v>
      </c>
      <c r="K38" s="0" t="n">
        <v>0.06976961148159259</v>
      </c>
      <c r="L38" s="0" t="n">
        <v>-0.0326707511832764</v>
      </c>
      <c r="M38" s="0" t="n">
        <v>-0.0118383695023029</v>
      </c>
      <c r="N38" s="0" t="n">
        <v>-0.00792344097181363</v>
      </c>
      <c r="O38" s="0" t="n">
        <v>-0.00644291795933948</v>
      </c>
      <c r="P38" s="0" t="n">
        <v>0.0519597510025378</v>
      </c>
      <c r="Q38" s="0" t="n">
        <v>-0.0203857916654601</v>
      </c>
      <c r="R38" s="0" t="n">
        <v>-0.00754872343303336</v>
      </c>
      <c r="S38" s="0" t="n">
        <v>-0.00104769300331497</v>
      </c>
      <c r="T38" s="0" t="n">
        <v>-0.00716850959723514</v>
      </c>
      <c r="U38" s="0" t="n">
        <v>-0.0135573435315325</v>
      </c>
      <c r="V38" s="0" t="n">
        <v>-0.0124522488131839</v>
      </c>
      <c r="W38" s="0" t="n">
        <v>0.00667920863055959</v>
      </c>
      <c r="X38" s="0" t="n">
        <v>0.0352508884232127</v>
      </c>
    </row>
    <row r="39">
      <c r="A39" s="5" t="n">
        <v>42426</v>
      </c>
      <c r="B39" s="0" t="n">
        <v>-0.00760286494517714</v>
      </c>
      <c r="C39" s="0" t="n">
        <v>-0.00888287385542518</v>
      </c>
      <c r="D39" s="0" t="n">
        <v>-0.0219788859867247</v>
      </c>
      <c r="E39" s="0" t="n">
        <v>0.00320256166908761</v>
      </c>
      <c r="F39" s="0" t="n">
        <v>-0.0142745762115068</v>
      </c>
      <c r="G39" s="0" t="n">
        <v>0.0115928486060563</v>
      </c>
      <c r="H39" s="0" t="n">
        <v>0.0257248668307636</v>
      </c>
      <c r="I39" s="0" t="n">
        <v>0.0326501712303461</v>
      </c>
      <c r="J39" s="0" t="n">
        <v>0.00809720241664191</v>
      </c>
      <c r="K39" s="0" t="n">
        <v>-0.0286679199439894</v>
      </c>
      <c r="L39" s="0" t="n">
        <v>0.0814609518453481</v>
      </c>
      <c r="M39" s="0" t="n">
        <v>-0.0186983567745238</v>
      </c>
      <c r="N39" s="0" t="n">
        <v>0.0138251074512028</v>
      </c>
      <c r="O39" s="0" t="n">
        <v>-0.00485962891379632</v>
      </c>
      <c r="P39" s="0" t="n">
        <v>0.0825711330630001</v>
      </c>
      <c r="Q39" s="0" t="n">
        <v>-0.00688859964883237</v>
      </c>
      <c r="R39" s="0" t="n">
        <v>-0.00503009312455393</v>
      </c>
      <c r="S39" s="0" t="n">
        <v>0.00104769300331497</v>
      </c>
      <c r="T39" s="0" t="n">
        <v>-0.00874694839280243</v>
      </c>
      <c r="U39" s="0" t="n">
        <v>0.000487349195709363</v>
      </c>
      <c r="V39" s="0" t="n">
        <v>-0.00515381546709381</v>
      </c>
      <c r="W39" s="0" t="n">
        <v>-0.0242142907970608</v>
      </c>
      <c r="X39" s="0" t="n">
        <v>-0.0225998106060827</v>
      </c>
    </row>
    <row r="40">
      <c r="A40" s="5" t="n">
        <v>42429</v>
      </c>
      <c r="B40" s="0" t="n">
        <v>0.0251708572484732</v>
      </c>
      <c r="C40" s="0" t="n">
        <v>0.0250776215559307</v>
      </c>
      <c r="D40" s="0" t="n">
        <v>0.0102252911747573</v>
      </c>
      <c r="E40" s="0" t="n">
        <v>0.0453202488039075</v>
      </c>
      <c r="F40" s="0" t="n">
        <v>0.0521315326814324</v>
      </c>
      <c r="G40" s="0" t="n">
        <v>0.0176336146195916</v>
      </c>
      <c r="H40" s="0" t="n">
        <v>0.0615578957953868</v>
      </c>
      <c r="I40" s="0" t="n">
        <v>-0.0297683275285609</v>
      </c>
      <c r="J40" s="0" t="n">
        <v>0.010695278889458</v>
      </c>
      <c r="K40" s="0" t="n">
        <v>-0.0112487018261372</v>
      </c>
      <c r="L40" s="0" t="n">
        <v>0.08474122389351051</v>
      </c>
      <c r="M40" s="0" t="n">
        <v>0.0123934204987281</v>
      </c>
      <c r="N40" s="0" t="n">
        <v>0.0171775631268702</v>
      </c>
      <c r="O40" s="0" t="n">
        <v>0.0118376046229986</v>
      </c>
      <c r="P40" s="0" t="n">
        <v>0.00232834300860318</v>
      </c>
      <c r="Q40" s="0" t="n">
        <v>0.0625202970520726</v>
      </c>
      <c r="R40" s="0" t="n">
        <v>0.0115620551909492</v>
      </c>
      <c r="S40" s="0" t="n">
        <v>0.0207261105448801</v>
      </c>
      <c r="T40" s="0" t="n">
        <v>0.024524889455344</v>
      </c>
      <c r="U40" s="0" t="n">
        <v>0.0025952950236725</v>
      </c>
      <c r="V40" s="0" t="n">
        <v>0.0363099877917907</v>
      </c>
      <c r="W40" s="0" t="n">
        <v>0.0376456636968862</v>
      </c>
      <c r="X40" s="0" t="n">
        <v>0.0479735375064245</v>
      </c>
    </row>
    <row r="41">
      <c r="A41" s="5" t="n">
        <v>42430</v>
      </c>
      <c r="B41" s="0" t="n">
        <v>0.0142612085437363</v>
      </c>
      <c r="C41" s="0" t="n">
        <v>0.009990032099382869</v>
      </c>
      <c r="D41" s="0" t="n">
        <v>0.0174438714154856</v>
      </c>
      <c r="E41" s="0" t="n">
        <v>0.009882263043753611</v>
      </c>
      <c r="F41" s="0" t="n">
        <v>0.0165417509989449</v>
      </c>
      <c r="G41" s="0" t="n">
        <v>0.000738343673881036</v>
      </c>
      <c r="H41" s="0" t="n">
        <v>0.0380719128553699</v>
      </c>
      <c r="I41" s="0" t="n">
        <v>0.0339495475584592</v>
      </c>
      <c r="J41" s="0" t="n">
        <v>0.0158314502773411</v>
      </c>
      <c r="K41" s="0" t="n">
        <v>0.0179376704198539</v>
      </c>
      <c r="L41" s="0" t="n">
        <v>0.12608185509634</v>
      </c>
      <c r="M41" s="0" t="n">
        <v>-0.00199937996739274</v>
      </c>
      <c r="N41" s="0" t="n">
        <v>0.000963506709398487</v>
      </c>
      <c r="O41" s="0" t="n">
        <v>0.00799149817746425</v>
      </c>
      <c r="P41" s="0" t="n">
        <v>0.06526499025954161</v>
      </c>
      <c r="Q41" s="0" t="n">
        <v>0.0064725597855042</v>
      </c>
      <c r="R41" s="0" t="n">
        <v>0.00335138892010444</v>
      </c>
      <c r="S41" s="0" t="n">
        <v>0.0192996934437661</v>
      </c>
      <c r="T41" s="0" t="n">
        <v>0.00260561083283583</v>
      </c>
      <c r="U41" s="0" t="n">
        <v>-0.00373285417775282</v>
      </c>
      <c r="V41" s="0" t="n">
        <v>0.0105329395517621</v>
      </c>
      <c r="W41" s="0" t="n">
        <v>0.017296157418897</v>
      </c>
      <c r="X41" s="0" t="n">
        <v>0.0119113108435593</v>
      </c>
    </row>
    <row r="42">
      <c r="A42" s="5" t="n">
        <v>42431</v>
      </c>
      <c r="B42" s="0" t="n">
        <v>0.0109450196333487</v>
      </c>
      <c r="C42" s="0" t="n">
        <v>0.00132450859427901</v>
      </c>
      <c r="D42" s="0" t="n">
        <v>-0.0104570337091214</v>
      </c>
      <c r="E42" s="0" t="n">
        <v>0.0239174100443841</v>
      </c>
      <c r="F42" s="0" t="n">
        <v>0.006688999529461</v>
      </c>
      <c r="G42" s="0" t="n">
        <v>-0.07268979108885699</v>
      </c>
      <c r="H42" s="0" t="n">
        <v>0.116505081367344</v>
      </c>
      <c r="I42" s="0" t="n">
        <v>0.0402098560178925</v>
      </c>
      <c r="J42" s="0" t="n">
        <v>0.013004072327617</v>
      </c>
      <c r="K42" s="0" t="n">
        <v>0</v>
      </c>
      <c r="L42" s="0" t="n">
        <v>0.124190381190216</v>
      </c>
      <c r="M42" s="0" t="n">
        <v>-0.00300652152956182</v>
      </c>
      <c r="N42" s="0" t="n">
        <v>0.0070378159680815</v>
      </c>
      <c r="O42" s="0" t="n">
        <v>0.007928240538777489</v>
      </c>
      <c r="P42" s="0" t="n">
        <v>0.071458895918844</v>
      </c>
      <c r="Q42" s="0" t="n">
        <v>0.0400475121465737</v>
      </c>
      <c r="R42" s="0" t="n">
        <v>0.0075754114184301</v>
      </c>
      <c r="S42" s="0" t="n">
        <v>-0.0141845733142549</v>
      </c>
      <c r="T42" s="0" t="n">
        <v>-0.00111581856626319</v>
      </c>
      <c r="U42" s="0" t="n">
        <v>0.011800016412657</v>
      </c>
      <c r="V42" s="0" t="n">
        <v>0.00153962267436114</v>
      </c>
      <c r="W42" s="0" t="n">
        <v>0.00402659619202383</v>
      </c>
      <c r="X42" s="0" t="n">
        <v>0.0328245894907124</v>
      </c>
    </row>
    <row r="43">
      <c r="A43" s="5" t="n">
        <v>42432</v>
      </c>
      <c r="B43" s="0" t="n">
        <v>0</v>
      </c>
      <c r="C43" s="0" t="n">
        <v>0.00791042087805049</v>
      </c>
      <c r="D43" s="0" t="n">
        <v>0.00476675710560314</v>
      </c>
      <c r="E43" s="0" t="n">
        <v>0.00368597472423104</v>
      </c>
      <c r="F43" s="0" t="n">
        <v>0.0029585792223914</v>
      </c>
      <c r="G43" s="0" t="n">
        <v>-0.0257248669129444</v>
      </c>
      <c r="H43" s="0" t="n">
        <v>0.0727369494555412</v>
      </c>
      <c r="I43" s="0" t="n">
        <v>0.0106313190949731</v>
      </c>
      <c r="J43" s="0" t="n">
        <v>0.0102829184784634</v>
      </c>
      <c r="K43" s="0" t="n">
        <v>-0.008928582335945061</v>
      </c>
      <c r="L43" s="0" t="n">
        <v>0.0636256895230185</v>
      </c>
      <c r="M43" s="0" t="n">
        <v>-0.00604029721686627</v>
      </c>
      <c r="N43" s="0" t="n">
        <v>0.00698857068892833</v>
      </c>
      <c r="O43" s="0" t="n">
        <v>-0.00158064763476861</v>
      </c>
      <c r="P43" s="0" t="n">
        <v>0.103939624842854</v>
      </c>
      <c r="Q43" s="0" t="n">
        <v>0.0483964943169337</v>
      </c>
      <c r="R43" s="0" t="n">
        <v>-0.00100672993621131</v>
      </c>
      <c r="S43" s="0" t="n">
        <v>-0.0051151201295112</v>
      </c>
      <c r="T43" s="0" t="n">
        <v>-0.00260859481157904</v>
      </c>
      <c r="U43" s="0" t="n">
        <v>0.0119800171793515</v>
      </c>
      <c r="V43" s="0" t="n">
        <v>-0.00447153497462071</v>
      </c>
      <c r="W43" s="0" t="n">
        <v>0.00680819908382313</v>
      </c>
      <c r="X43" s="0" t="n">
        <v>0.00726517914473978</v>
      </c>
    </row>
    <row r="44">
      <c r="A44" s="5" t="n">
        <v>42433</v>
      </c>
      <c r="B44" s="0" t="n">
        <v>0.0169098533350755</v>
      </c>
      <c r="C44" s="0" t="n">
        <v>-0.0055967274373212</v>
      </c>
      <c r="D44" s="0" t="n">
        <v>-0.0027210485937692</v>
      </c>
      <c r="E44" s="0" t="n">
        <v>0.00220505292794337</v>
      </c>
      <c r="F44" s="0" t="n">
        <v>-0.000738842220132429</v>
      </c>
      <c r="G44" s="0" t="n">
        <v>0.00568411562092352</v>
      </c>
      <c r="H44" s="0" t="n">
        <v>-0.0192082554946415</v>
      </c>
      <c r="I44" s="0" t="n">
        <v>0.0508966498444647</v>
      </c>
      <c r="J44" s="0" t="n">
        <v>-0.00256081836006871</v>
      </c>
      <c r="K44" s="0" t="n">
        <v>-0.0482297769638058</v>
      </c>
      <c r="L44" s="0" t="n">
        <v>0.059818489591972</v>
      </c>
      <c r="M44" s="0" t="n">
        <v>0.0026891387988428</v>
      </c>
      <c r="N44" s="0" t="n">
        <v>0.00568184304584873</v>
      </c>
      <c r="O44" s="0" t="n">
        <v>0.00525903813536521</v>
      </c>
      <c r="P44" s="0" t="n">
        <v>0.109010177467559</v>
      </c>
      <c r="Q44" s="0" t="n">
        <v>-0.007905172057463879</v>
      </c>
      <c r="R44" s="0" t="n">
        <v>-0.00870011176745855</v>
      </c>
      <c r="S44" s="0" t="n">
        <v>0.0421749325525753</v>
      </c>
      <c r="T44" s="0" t="n">
        <v>0.0126067728687986</v>
      </c>
      <c r="U44" s="0" t="n">
        <v>-0.0187520225153567</v>
      </c>
      <c r="V44" s="0" t="n">
        <v>0.0271357933647493</v>
      </c>
      <c r="W44" s="0" t="n">
        <v>-0.000798580904997514</v>
      </c>
      <c r="X44" s="0" t="n">
        <v>-0.009350733336067389</v>
      </c>
    </row>
    <row r="45">
      <c r="A45" s="5" t="n">
        <v>42436</v>
      </c>
      <c r="B45" s="0" t="n">
        <v>-0.00773577790470003</v>
      </c>
      <c r="C45" s="0" t="n">
        <v>-0.00762222040987481</v>
      </c>
      <c r="D45" s="0" t="n">
        <v>-0.00546451526061986</v>
      </c>
      <c r="E45" s="0" t="n">
        <v>-0.0290523487925145</v>
      </c>
      <c r="F45" s="0" t="n">
        <v>-0.0353552664684424</v>
      </c>
      <c r="G45" s="0" t="n">
        <v>-0.000810011639278851</v>
      </c>
      <c r="H45" s="0" t="n">
        <v>0.0239532184503195</v>
      </c>
      <c r="I45" s="0" t="n">
        <v>-0.022872639490671</v>
      </c>
      <c r="J45" s="0" t="n">
        <v>-0.00514139445852457</v>
      </c>
      <c r="K45" s="0" t="n">
        <v>0.0301296987057493</v>
      </c>
      <c r="L45" s="0" t="n">
        <v>-0.150572878988499</v>
      </c>
      <c r="M45" s="0" t="n">
        <v>-0.0145395729230419</v>
      </c>
      <c r="N45" s="0" t="n">
        <v>-0.00821749965713447</v>
      </c>
      <c r="O45" s="0" t="n">
        <v>-0.00104961738543973</v>
      </c>
      <c r="P45" s="0" t="n">
        <v>-0.155791393843884</v>
      </c>
      <c r="Q45" s="0" t="n">
        <v>-0.00796816208033313</v>
      </c>
      <c r="R45" s="0" t="n">
        <v>0.00627980134696848</v>
      </c>
      <c r="S45" s="0" t="n">
        <v>-0.03298649099127</v>
      </c>
      <c r="T45" s="0" t="n">
        <v>-0.00332165483001434</v>
      </c>
      <c r="U45" s="0" t="n">
        <v>0.00789622765806363</v>
      </c>
      <c r="V45" s="0" t="n">
        <v>-0.00346509917389425</v>
      </c>
      <c r="W45" s="0" t="n">
        <v>-0.0205818497898198</v>
      </c>
      <c r="X45" s="0" t="n">
        <v>-0.0243011999193956</v>
      </c>
    </row>
    <row r="46">
      <c r="A46" s="5" t="n">
        <v>42437</v>
      </c>
      <c r="B46" s="0" t="n">
        <v>0.009589284051876311</v>
      </c>
      <c r="C46" s="0" t="n">
        <v>-0.000332774114855549</v>
      </c>
      <c r="D46" s="0" t="n">
        <v>0.00737004717411426</v>
      </c>
      <c r="E46" s="0" t="n">
        <v>-0.00302800861045726</v>
      </c>
      <c r="F46" s="0" t="n">
        <v>0.00610688320632712</v>
      </c>
      <c r="G46" s="0" t="n">
        <v>0.0211153347130235</v>
      </c>
      <c r="H46" s="0" t="n">
        <v>-0.0119048913553942</v>
      </c>
      <c r="I46" s="0" t="n">
        <v>0.009593908977827409</v>
      </c>
      <c r="J46" s="0" t="n">
        <v>0.0178804078545937</v>
      </c>
      <c r="K46" s="0" t="n">
        <v>-0.0419642156234774</v>
      </c>
      <c r="L46" s="0" t="n">
        <v>-0.0176549182521554</v>
      </c>
      <c r="M46" s="0" t="n">
        <v>0.0128597088010593</v>
      </c>
      <c r="N46" s="0" t="n">
        <v>0.000634532301531542</v>
      </c>
      <c r="O46" s="0" t="n">
        <v>-0.00289209116511202</v>
      </c>
      <c r="P46" s="0" t="n">
        <v>0.0412817096849418</v>
      </c>
      <c r="Q46" s="0" t="n">
        <v>0</v>
      </c>
      <c r="R46" s="0" t="n">
        <v>0.0148328610994106</v>
      </c>
      <c r="S46" s="0" t="n">
        <v>0.00304411527950421</v>
      </c>
      <c r="T46" s="0" t="n">
        <v>0.0204910709605359</v>
      </c>
      <c r="U46" s="0" t="n">
        <v>0.008152904783311319</v>
      </c>
      <c r="V46" s="0" t="n">
        <v>-0.0109257718722171</v>
      </c>
      <c r="W46" s="0" t="n">
        <v>-0.00531477786465384</v>
      </c>
      <c r="X46" s="0" t="n">
        <v>-0.00107011552171165</v>
      </c>
    </row>
    <row r="47">
      <c r="A47" s="5" t="n">
        <v>42438</v>
      </c>
      <c r="B47" s="0" t="n">
        <v>-0.00156807741266717</v>
      </c>
      <c r="C47" s="0" t="n">
        <v>-0.00366724642647753</v>
      </c>
      <c r="D47" s="0" t="n">
        <v>-0.00709615806781194</v>
      </c>
      <c r="E47" s="0" t="n">
        <v>-0.00303720530130924</v>
      </c>
      <c r="F47" s="0" t="n">
        <v>0.00984484365572013</v>
      </c>
      <c r="G47" s="0" t="n">
        <v>-0.00211813238008096</v>
      </c>
      <c r="H47" s="0" t="n">
        <v>0.052490223844968</v>
      </c>
      <c r="I47" s="0" t="n">
        <v>0.0496688170995343</v>
      </c>
      <c r="J47" s="0" t="n">
        <v>-0.0178804078545937</v>
      </c>
      <c r="K47" s="0" t="n">
        <v>-0.0119761799328258</v>
      </c>
      <c r="L47" s="0" t="n">
        <v>-0.0128042597374715</v>
      </c>
      <c r="M47" s="0" t="n">
        <v>-0.00505646176705854</v>
      </c>
      <c r="N47" s="0" t="n">
        <v>0.00569256434387588</v>
      </c>
      <c r="O47" s="0" t="n">
        <v>0.008651301227976299</v>
      </c>
      <c r="P47" s="0" t="n">
        <v>-0.0223057357655893</v>
      </c>
      <c r="Q47" s="0" t="n">
        <v>0.0198026085966831</v>
      </c>
      <c r="R47" s="0" t="n">
        <v>-0.0118084064649082</v>
      </c>
      <c r="S47" s="0" t="n">
        <v>0.0130852511434804</v>
      </c>
      <c r="T47" s="0" t="n">
        <v>-0.008365258839267749</v>
      </c>
      <c r="U47" s="0" t="n">
        <v>0.0030204080610332</v>
      </c>
      <c r="V47" s="0" t="n">
        <v>-0.009196852970156041</v>
      </c>
      <c r="W47" s="0" t="n">
        <v>-0.00575546493570122</v>
      </c>
      <c r="X47" s="0" t="n">
        <v>0.0211872128837762</v>
      </c>
    </row>
    <row r="48">
      <c r="A48" s="5" t="n">
        <v>42439</v>
      </c>
      <c r="B48" s="0" t="n">
        <v>0.0153604021339468</v>
      </c>
      <c r="C48" s="0" t="n">
        <v>0.0132715797739186</v>
      </c>
      <c r="D48" s="0" t="n">
        <v>0.0220772141709471</v>
      </c>
      <c r="E48" s="0" t="n">
        <v>0.0105901402401338</v>
      </c>
      <c r="F48" s="0" t="n">
        <v>0.0384378061986852</v>
      </c>
      <c r="G48" s="0" t="n">
        <v>0.0238324717048681</v>
      </c>
      <c r="H48" s="0" t="n">
        <v>0.0180184879405957</v>
      </c>
      <c r="I48" s="0" t="n">
        <v>-0.00851582914567039</v>
      </c>
      <c r="J48" s="0" t="n">
        <v>0.00770221281859329</v>
      </c>
      <c r="K48" s="0" t="n">
        <v>0</v>
      </c>
      <c r="L48" s="0" t="n">
        <v>-0.0129703998577992</v>
      </c>
      <c r="M48" s="0" t="n">
        <v>0.0302902120445094</v>
      </c>
      <c r="N48" s="0" t="n">
        <v>0.00503309508389149</v>
      </c>
      <c r="O48" s="0" t="n">
        <v>0.00130427136702326</v>
      </c>
      <c r="P48" s="0" t="n">
        <v>0.0530774077132352</v>
      </c>
      <c r="Q48" s="0" t="n">
        <v>-0.0218046571354606</v>
      </c>
      <c r="R48" s="0" t="n">
        <v>0.0102154547650386</v>
      </c>
      <c r="S48" s="0" t="n">
        <v>0.0276151410574079</v>
      </c>
      <c r="T48" s="0" t="n">
        <v>0.0173792010504958</v>
      </c>
      <c r="U48" s="0" t="n">
        <v>-0.0158390910974253</v>
      </c>
      <c r="V48" s="0" t="n">
        <v>0.000307877490214991</v>
      </c>
      <c r="W48" s="0" t="n">
        <v>0.0316520925901748</v>
      </c>
      <c r="X48" s="0" t="n">
        <v>0.0289276098278499</v>
      </c>
    </row>
    <row r="49">
      <c r="A49" s="5" t="n">
        <v>42440</v>
      </c>
      <c r="B49" s="0" t="n">
        <v>0.00294591059540305</v>
      </c>
      <c r="C49" s="0" t="n">
        <v>-0.00230981058286028</v>
      </c>
      <c r="D49" s="0" t="n">
        <v>-0.009962358080620071</v>
      </c>
      <c r="E49" s="0" t="n">
        <v>-0.00150598701455484</v>
      </c>
      <c r="F49" s="0" t="n">
        <v>-0.0109370114533269</v>
      </c>
      <c r="G49" s="0" t="n">
        <v>-0.00649100043447514</v>
      </c>
      <c r="H49" s="0" t="n">
        <v>-0.0191554966088125</v>
      </c>
      <c r="I49" s="0" t="n">
        <v>-0.0341754996005874</v>
      </c>
      <c r="J49" s="0" t="n">
        <v>0.00255427731625523</v>
      </c>
      <c r="K49" s="0" t="n">
        <v>0.0562209368482313</v>
      </c>
      <c r="L49" s="0" t="n">
        <v>-0.0291411072964871</v>
      </c>
      <c r="M49" s="0" t="n">
        <v>-0.013201499185123</v>
      </c>
      <c r="N49" s="0" t="n">
        <v>0.00250704994044648</v>
      </c>
      <c r="O49" s="0" t="n">
        <v>-0.00104332078760105</v>
      </c>
      <c r="P49" s="0" t="n">
        <v>-0.0234456388934762</v>
      </c>
      <c r="Q49" s="0" t="n">
        <v>-0.0161619531658574</v>
      </c>
      <c r="R49" s="0" t="n">
        <v>0.0065547562296766</v>
      </c>
      <c r="S49" s="0" t="n">
        <v>-0.00194737200065953</v>
      </c>
      <c r="T49" s="0" t="n">
        <v>-0.00575954952323565</v>
      </c>
      <c r="U49" s="0" t="n">
        <v>0</v>
      </c>
      <c r="V49" s="0" t="n">
        <v>-0.0130153111833335</v>
      </c>
      <c r="W49" s="0" t="n">
        <v>-0.00380187802133757</v>
      </c>
      <c r="X49" s="0" t="n">
        <v>-0.0081799971341292</v>
      </c>
    </row>
    <row r="50">
      <c r="A50" s="5" t="n">
        <v>42443</v>
      </c>
      <c r="B50" s="0" t="n">
        <v>0.00125994228965264</v>
      </c>
      <c r="C50" s="0" t="n">
        <v>0.000330290407942079</v>
      </c>
      <c r="D50" s="0" t="n">
        <v>-0.0367937579099502</v>
      </c>
      <c r="E50" s="0" t="n">
        <v>-0.00301893931381247</v>
      </c>
      <c r="F50" s="0" t="n">
        <v>-0.0051452262278322</v>
      </c>
      <c r="G50" s="0" t="n">
        <v>-0.00653340894464626</v>
      </c>
      <c r="H50" s="0" t="n">
        <v>-0.07928457317649459</v>
      </c>
      <c r="I50" s="0" t="n">
        <v>0.0125630271657208</v>
      </c>
      <c r="J50" s="0" t="n">
        <v>-0.00511509567632395</v>
      </c>
      <c r="K50" s="0" t="n">
        <v>-0.0183913601437993</v>
      </c>
      <c r="L50" s="0" t="n">
        <v>-0.049596959606275</v>
      </c>
      <c r="M50" s="0" t="n">
        <v>-0.0187798763322084</v>
      </c>
      <c r="N50" s="0" t="n">
        <v>-0.0199153433239089</v>
      </c>
      <c r="O50" s="0" t="n">
        <v>0.00520565367493475</v>
      </c>
      <c r="P50" s="0" t="n">
        <v>-0.00365630769704883</v>
      </c>
      <c r="Q50" s="0" t="n">
        <v>-0.0184999470525635</v>
      </c>
      <c r="R50" s="0" t="n">
        <v>0.0015826280704374</v>
      </c>
      <c r="S50" s="0" t="n">
        <v>-0.00390625114717257</v>
      </c>
      <c r="T50" s="0" t="n">
        <v>-0.00144512001617513</v>
      </c>
      <c r="U50" s="0" t="n">
        <v>-0.00242185817052398</v>
      </c>
      <c r="V50" s="0" t="n">
        <v>-0.00688582424791839</v>
      </c>
      <c r="W50" s="0" t="n">
        <v>0.00200277402233606</v>
      </c>
      <c r="X50" s="0" t="n">
        <v>-0.00824746172670298</v>
      </c>
    </row>
    <row r="51">
      <c r="A51" s="5" t="n">
        <v>42444</v>
      </c>
      <c r="B51" s="0" t="n">
        <v>0.012719452609212</v>
      </c>
      <c r="C51" s="0" t="n">
        <v>-0.00363940568877874</v>
      </c>
      <c r="D51" s="0" t="n">
        <v>0.017256279614962</v>
      </c>
      <c r="E51" s="0" t="n">
        <v>0.0202027419179486</v>
      </c>
      <c r="F51" s="0" t="n">
        <v>-0.0193457874243301</v>
      </c>
      <c r="G51" s="0" t="n">
        <v>0.0122477419149182</v>
      </c>
      <c r="H51" s="0" t="n">
        <v>-0.0274673677174026</v>
      </c>
      <c r="I51" s="0" t="n">
        <v>0.0587869519975545</v>
      </c>
      <c r="J51" s="0" t="n">
        <v>0.0127390133960691</v>
      </c>
      <c r="K51" s="0" t="n">
        <v>0.00923795974203189</v>
      </c>
      <c r="L51" s="0" t="n">
        <v>0.117155107718977</v>
      </c>
      <c r="M51" s="0" t="n">
        <v>-0.0170710866130159</v>
      </c>
      <c r="N51" s="0" t="n">
        <v>0.0267774229540482</v>
      </c>
      <c r="O51" s="0" t="n">
        <v>0.00646916467628289</v>
      </c>
      <c r="P51" s="0" t="n">
        <v>0.102609506825734</v>
      </c>
      <c r="Q51" s="0" t="n">
        <v>-0.00207689145537748</v>
      </c>
      <c r="R51" s="0" t="n">
        <v>-0.0019786012056393</v>
      </c>
      <c r="S51" s="0" t="n">
        <v>0.00488045760974298</v>
      </c>
      <c r="T51" s="0" t="n">
        <v>0.007922235070636489</v>
      </c>
      <c r="U51" s="0" t="n">
        <v>0.00338899838533901</v>
      </c>
      <c r="V51" s="0" t="n">
        <v>-0.0164665043897125</v>
      </c>
      <c r="W51" s="0" t="n">
        <v>-0.0088424737060877</v>
      </c>
      <c r="X51" s="0" t="n">
        <v>-0.0188093644489564</v>
      </c>
    </row>
    <row r="52">
      <c r="A52" s="5" t="n">
        <v>42445</v>
      </c>
      <c r="B52" s="0" t="n">
        <v>0.0154202425235938</v>
      </c>
      <c r="C52" s="0" t="n">
        <v>0.0258479811520691</v>
      </c>
      <c r="D52" s="0" t="n">
        <v>-0.0483350514401452</v>
      </c>
      <c r="E52" s="0" t="n">
        <v>-0.00222467519814628</v>
      </c>
      <c r="F52" s="0" t="n">
        <v>0.00673901455553194</v>
      </c>
      <c r="G52" s="0" t="n">
        <v>-0.0135595415877705</v>
      </c>
      <c r="H52" s="0" t="n">
        <v>0.127022885509747</v>
      </c>
      <c r="I52" s="0" t="n">
        <v>-0.008274242774755081</v>
      </c>
      <c r="J52" s="0" t="n">
        <v>-0.00253485315205592</v>
      </c>
      <c r="K52" s="0" t="n">
        <v>-0.035091356513638</v>
      </c>
      <c r="L52" s="0" t="n">
        <v>0.0585532542416213</v>
      </c>
      <c r="M52" s="0" t="n">
        <v>0.010277556432495</v>
      </c>
      <c r="N52" s="0" t="n">
        <v>-0.0274162111618072</v>
      </c>
      <c r="O52" s="0" t="n">
        <v>0.008987054373057021</v>
      </c>
      <c r="P52" s="0" t="n">
        <v>0.0196405467134301</v>
      </c>
      <c r="Q52" s="0" t="n">
        <v>0.0486912088350233</v>
      </c>
      <c r="R52" s="0" t="n">
        <v>0.00128652846550014</v>
      </c>
      <c r="S52" s="0" t="n">
        <v>0</v>
      </c>
      <c r="T52" s="0" t="n">
        <v>0.0110577682802581</v>
      </c>
      <c r="U52" s="0" t="n">
        <v>0.00418010468861673</v>
      </c>
      <c r="V52" s="0" t="n">
        <v>-0.0188547711613127</v>
      </c>
      <c r="W52" s="0" t="n">
        <v>0.00382792097988549</v>
      </c>
      <c r="X52" s="0" t="n">
        <v>0.00735690648525366</v>
      </c>
    </row>
    <row r="53">
      <c r="A53" s="5" t="n">
        <v>42446</v>
      </c>
      <c r="B53" s="0" t="n">
        <v>0.000340006486950983</v>
      </c>
      <c r="C53" s="0" t="n">
        <v>-0.00129276582145632</v>
      </c>
      <c r="D53" s="0" t="n">
        <v>0.0269997039833684</v>
      </c>
      <c r="E53" s="0" t="n">
        <v>0.0125416673393683</v>
      </c>
      <c r="F53" s="0" t="n">
        <v>0.0286890105499573</v>
      </c>
      <c r="G53" s="0" t="n">
        <v>0.012263720860242</v>
      </c>
      <c r="H53" s="0" t="n">
        <v>0.0187746914497943</v>
      </c>
      <c r="I53" s="0" t="n">
        <v>0.00118626686744161</v>
      </c>
      <c r="J53" s="0" t="n">
        <v>0.00253485315205592</v>
      </c>
      <c r="K53" s="0" t="n">
        <v>0.009478763367557369</v>
      </c>
      <c r="L53" s="0" t="n">
        <v>-0.0119190242236808</v>
      </c>
      <c r="M53" s="0" t="n">
        <v>0.00374215808834499</v>
      </c>
      <c r="N53" s="0" t="n">
        <v>0.0126986317796804</v>
      </c>
      <c r="O53" s="0" t="n">
        <v>-0.014418312506319</v>
      </c>
      <c r="P53" s="0" t="n">
        <v>-0.0179890596437004</v>
      </c>
      <c r="Q53" s="0" t="n">
        <v>0.007889579483857821</v>
      </c>
      <c r="R53" s="0" t="n">
        <v>0.00463764425902102</v>
      </c>
      <c r="S53" s="0" t="n">
        <v>0.00968994269230272</v>
      </c>
      <c r="T53" s="0" t="n">
        <v>0.00495398707842831</v>
      </c>
      <c r="U53" s="0" t="n">
        <v>-0.0127554954266955</v>
      </c>
      <c r="V53" s="0" t="n">
        <v>0.0218834247804196</v>
      </c>
      <c r="W53" s="0" t="n">
        <v>0.0161567565532871</v>
      </c>
      <c r="X53" s="0" t="n">
        <v>0.0124871428900834</v>
      </c>
    </row>
    <row r="54">
      <c r="A54" s="5" t="n">
        <v>42447</v>
      </c>
      <c r="B54" s="0" t="n">
        <v>0.0104154095787505</v>
      </c>
      <c r="C54" s="0" t="n">
        <v>0.00548294129424231</v>
      </c>
      <c r="D54" s="0" t="n">
        <v>-0.009915052379399819</v>
      </c>
      <c r="E54" s="0" t="n">
        <v>0.00146516538662178</v>
      </c>
      <c r="F54" s="0" t="n">
        <v>0.00361927217572732</v>
      </c>
      <c r="G54" s="0" t="n">
        <v>-0.0112141034748023</v>
      </c>
      <c r="H54" s="0" t="n">
        <v>-0.00219057930330057</v>
      </c>
      <c r="I54" s="0" t="n">
        <v>-0.00237394263546164</v>
      </c>
      <c r="J54" s="0" t="n">
        <v>-0.0101781950360004</v>
      </c>
      <c r="K54" s="0" t="n">
        <v>0</v>
      </c>
      <c r="L54" s="0" t="n">
        <v>0.014285943460665</v>
      </c>
      <c r="M54" s="0" t="n">
        <v>0.0208340508477338</v>
      </c>
      <c r="N54" s="0" t="n">
        <v>0</v>
      </c>
      <c r="O54" s="0" t="n">
        <v>0.009292704914439121</v>
      </c>
      <c r="P54" s="0" t="n">
        <v>-0.0132892194868163</v>
      </c>
      <c r="Q54" s="0" t="n">
        <v>0.009775192951102961</v>
      </c>
      <c r="R54" s="0" t="n">
        <v>0.00157383499882168</v>
      </c>
      <c r="S54" s="0" t="n">
        <v>0.0105516240074878</v>
      </c>
      <c r="T54" s="0" t="n">
        <v>-0.00495398707842831</v>
      </c>
      <c r="U54" s="0" t="n">
        <v>0.00292066250219669</v>
      </c>
      <c r="V54" s="0" t="n">
        <v>-0.00207123575088719</v>
      </c>
      <c r="W54" s="0" t="n">
        <v>0.00256886327600369</v>
      </c>
      <c r="X54" s="0" t="n">
        <v>0.00206606524361774</v>
      </c>
    </row>
    <row r="55">
      <c r="A55" s="5" t="n">
        <v>42450</v>
      </c>
      <c r="B55" s="0" t="n">
        <v>-0.00357226652705922</v>
      </c>
      <c r="C55" s="0" t="n">
        <v>-0.000965362164429439</v>
      </c>
      <c r="D55" s="0" t="n">
        <v>0.0234940564899055</v>
      </c>
      <c r="E55" s="0" t="n">
        <v>-0.00513760358122139</v>
      </c>
      <c r="F55" s="0" t="n">
        <v>-0.00579711207560817</v>
      </c>
      <c r="G55" s="0" t="n">
        <v>-0.00473187793649021</v>
      </c>
      <c r="H55" s="0" t="n">
        <v>-0.0199341957940653</v>
      </c>
      <c r="I55" s="0" t="n">
        <v>-0.0119547609296954</v>
      </c>
      <c r="J55" s="0" t="n">
        <v>0.00255427731625523</v>
      </c>
      <c r="K55" s="0" t="n">
        <v>-0.0118625240703706</v>
      </c>
      <c r="L55" s="0" t="n">
        <v>0</v>
      </c>
      <c r="M55" s="0" t="n">
        <v>0.0102564826914983</v>
      </c>
      <c r="N55" s="0" t="n">
        <v>-0.0025268466281787</v>
      </c>
      <c r="O55" s="0" t="n">
        <v>-0.00747900594309758</v>
      </c>
      <c r="P55" s="0" t="n">
        <v>0.0182275356252015</v>
      </c>
      <c r="Q55" s="0" t="n">
        <v>0.00194367970208397</v>
      </c>
      <c r="R55" s="0" t="n">
        <v>0.00196391046367772</v>
      </c>
      <c r="S55" s="0" t="n">
        <v>-0.00670176724409632</v>
      </c>
      <c r="T55" s="0" t="n">
        <v>0.00318754123767073</v>
      </c>
      <c r="U55" s="0" t="n">
        <v>-0.0117341830997288</v>
      </c>
      <c r="V55" s="0" t="n">
        <v>0.00159360151846765</v>
      </c>
      <c r="W55" s="0" t="n">
        <v>-0.00593824479878346</v>
      </c>
      <c r="X55" s="0" t="n">
        <v>0.00103148324737212</v>
      </c>
    </row>
    <row r="56">
      <c r="A56" s="5" t="n">
        <v>42451</v>
      </c>
      <c r="B56" s="0" t="n">
        <v>-0.0183992393638696</v>
      </c>
      <c r="C56" s="0" t="n">
        <v>0.000321890946370473</v>
      </c>
      <c r="D56" s="0" t="n">
        <v>-0.0104830091204819</v>
      </c>
      <c r="E56" s="0" t="n">
        <v>-0.0245822373722162</v>
      </c>
      <c r="F56" s="0" t="n">
        <v>-0.0102265568201023</v>
      </c>
      <c r="G56" s="0" t="n">
        <v>-0.00953146231009061</v>
      </c>
      <c r="H56" s="0" t="n">
        <v>-0.0575533164476509</v>
      </c>
      <c r="I56" s="0" t="n">
        <v>-0.0761916033096583</v>
      </c>
      <c r="J56" s="0" t="n">
        <v>-0.0154245169656201</v>
      </c>
      <c r="K56" s="0" t="n">
        <v>0.00238376070281332</v>
      </c>
      <c r="L56" s="0" t="n">
        <v>-0.0967296533193915</v>
      </c>
      <c r="M56" s="0" t="n">
        <v>-0.00627370813445882</v>
      </c>
      <c r="N56" s="0" t="n">
        <v>-0.0191576858171043</v>
      </c>
      <c r="O56" s="0" t="n">
        <v>-0.00233251758660912</v>
      </c>
      <c r="P56" s="0" t="n">
        <v>-0.0487901563395938</v>
      </c>
      <c r="Q56" s="0" t="n">
        <v>-0.00779730284991631</v>
      </c>
      <c r="R56" s="0" t="n">
        <v>-0.0118415097492192</v>
      </c>
      <c r="S56" s="0" t="n">
        <v>-0.0115943218302896</v>
      </c>
      <c r="T56" s="0" t="n">
        <v>-0.016040292512252</v>
      </c>
      <c r="U56" s="0" t="n">
        <v>0.00669882168325663</v>
      </c>
      <c r="V56" s="0" t="n">
        <v>-0.00735178453857265</v>
      </c>
      <c r="W56" s="0" t="n">
        <v>-0.0121843238524967</v>
      </c>
      <c r="X56" s="0" t="n">
        <v>-0.00724262815212295</v>
      </c>
    </row>
    <row r="57">
      <c r="A57" s="5" t="n">
        <v>42452</v>
      </c>
      <c r="B57" s="0" t="n">
        <v>0.0173858350972579</v>
      </c>
      <c r="C57" s="0" t="n">
        <v>0.00128659240937567</v>
      </c>
      <c r="D57" s="0" t="n">
        <v>-0.00070272575864827</v>
      </c>
      <c r="E57" s="0" t="n">
        <v>-0.0151978460405897</v>
      </c>
      <c r="F57" s="0" t="n">
        <v>0.00439564218362553</v>
      </c>
      <c r="G57" s="0" t="n">
        <v>0.0015949331385392</v>
      </c>
      <c r="H57" s="0" t="n">
        <v>-0.0107207596973792</v>
      </c>
      <c r="I57" s="0" t="n">
        <v>0.0237266590656006</v>
      </c>
      <c r="J57" s="0" t="n">
        <v>0.00258732117090154</v>
      </c>
      <c r="K57" s="0" t="n">
        <v>-0.0339015492288568</v>
      </c>
      <c r="L57" s="0" t="n">
        <v>0.0507723382828451</v>
      </c>
      <c r="M57" s="0" t="n">
        <v>-0.00365026486336095</v>
      </c>
      <c r="N57" s="0" t="n">
        <v>0.00450304360018982</v>
      </c>
      <c r="O57" s="0" t="n">
        <v>0.008783320322867549</v>
      </c>
      <c r="P57" s="0" t="n">
        <v>0.0238511925699331</v>
      </c>
      <c r="Q57" s="0" t="n">
        <v>0.00195498635599822</v>
      </c>
      <c r="R57" s="0" t="n">
        <v>0.00682598928451838</v>
      </c>
      <c r="S57" s="0" t="n">
        <v>-0.00487094887914985</v>
      </c>
      <c r="T57" s="0" t="n">
        <v>0.00466031182505499</v>
      </c>
      <c r="U57" s="0" t="n">
        <v>-0.008667954758537979</v>
      </c>
      <c r="V57" s="0" t="n">
        <v>0.00288323608828822</v>
      </c>
      <c r="W57" s="0" t="n">
        <v>-0.0174339870147841</v>
      </c>
      <c r="X57" s="0" t="n">
        <v>-0.00416233288733325</v>
      </c>
    </row>
    <row r="58">
      <c r="A58" s="5" t="n">
        <v>42453</v>
      </c>
      <c r="B58" s="0" t="n">
        <v>0.00303693138520255</v>
      </c>
      <c r="C58" s="0" t="n">
        <v>0.0121407386809946</v>
      </c>
      <c r="D58" s="0" t="n">
        <v>-0.0070552004319806</v>
      </c>
      <c r="E58" s="0" t="n">
        <v>0.00229443560043707</v>
      </c>
      <c r="F58" s="0" t="n">
        <v>-0.00439564218362553</v>
      </c>
      <c r="G58" s="0" t="n">
        <v>0.010830903176374</v>
      </c>
      <c r="H58" s="0" t="n">
        <v>0.0399114540871787</v>
      </c>
      <c r="I58" s="0" t="n">
        <v>-0.00253807004790607</v>
      </c>
      <c r="J58" s="0" t="n">
        <v>0.0102829184784634</v>
      </c>
      <c r="K58" s="0" t="n">
        <v>0.0243321500665639</v>
      </c>
      <c r="L58" s="0" t="n">
        <v>0.0220327521518677</v>
      </c>
      <c r="M58" s="0" t="n">
        <v>-0.0100234462321382</v>
      </c>
      <c r="N58" s="0" t="n">
        <v>-0.00257069306094548</v>
      </c>
      <c r="O58" s="0" t="n">
        <v>0.00487489419164122</v>
      </c>
      <c r="P58" s="0" t="n">
        <v>-0.0255768580111472</v>
      </c>
      <c r="Q58" s="0" t="n">
        <v>0.0288759422343392</v>
      </c>
      <c r="R58" s="0" t="n">
        <v>0.00403400989307289</v>
      </c>
      <c r="S58" s="0" t="n">
        <v>-0.00489479120425073</v>
      </c>
      <c r="T58" s="0" t="n">
        <v>-0.00214820946685634</v>
      </c>
      <c r="U58" s="0" t="n">
        <v>0.0122440512072143</v>
      </c>
      <c r="V58" s="0" t="n">
        <v>0.00399074674700283</v>
      </c>
      <c r="W58" s="0" t="n">
        <v>-0.00409838193024159</v>
      </c>
      <c r="X58" s="0" t="n">
        <v>-0.00627621516019472</v>
      </c>
    </row>
    <row r="59">
      <c r="A59" s="5" t="n">
        <v>42457</v>
      </c>
      <c r="B59" s="0" t="n">
        <v>0.00624734472651056</v>
      </c>
      <c r="C59" s="0" t="n">
        <v>-0.000317660028949617</v>
      </c>
      <c r="D59" s="0" t="n">
        <v>0.0151772756500534</v>
      </c>
      <c r="E59" s="0" t="n">
        <v>0.00836822356407696</v>
      </c>
      <c r="F59" s="0" t="n">
        <v>-0.014793155090321</v>
      </c>
      <c r="G59" s="0" t="n">
        <v>-0.000788608108525767</v>
      </c>
      <c r="H59" s="0" t="n">
        <v>0.00459242601097686</v>
      </c>
      <c r="I59" s="0" t="n">
        <v>0.0435121936654456</v>
      </c>
      <c r="J59" s="0" t="n">
        <v>0.00764334188394455</v>
      </c>
      <c r="K59" s="0" t="n">
        <v>-0.039220718884497</v>
      </c>
      <c r="L59" s="0" t="n">
        <v>-0.0024242990980936</v>
      </c>
      <c r="M59" s="0" t="n">
        <v>0.009025585279083259</v>
      </c>
      <c r="N59" s="0" t="n">
        <v>0.0162760965995665</v>
      </c>
      <c r="O59" s="0" t="n">
        <v>0.00967916537530744</v>
      </c>
      <c r="P59" s="0" t="n">
        <v>0.0103093599451598</v>
      </c>
      <c r="Q59" s="0" t="n">
        <v>0</v>
      </c>
      <c r="R59" s="0" t="n">
        <v>0.00616716643470116</v>
      </c>
      <c r="S59" s="0" t="n">
        <v>0.0117075326734696</v>
      </c>
      <c r="T59" s="0" t="n">
        <v>0.00714291476056505</v>
      </c>
      <c r="U59" s="0" t="n">
        <v>0.00646933700054397</v>
      </c>
      <c r="V59" s="0" t="n">
        <v>0.0223702137355905</v>
      </c>
      <c r="W59" s="0" t="n">
        <v>-0.0134369262163827</v>
      </c>
      <c r="X59" s="0" t="n">
        <v>0</v>
      </c>
    </row>
    <row r="60">
      <c r="A60" s="5" t="n">
        <v>42458</v>
      </c>
      <c r="B60" s="0" t="n">
        <v>-0.00617989574762756</v>
      </c>
      <c r="C60" s="0" t="n">
        <v>0.0110568755906572</v>
      </c>
      <c r="D60" s="0" t="n">
        <v>0.00111516367058417</v>
      </c>
      <c r="E60" s="0" t="n">
        <v>0.0112995982780552</v>
      </c>
      <c r="F60" s="0" t="n">
        <v>0.00446093429680249</v>
      </c>
      <c r="G60" s="0" t="n">
        <v>0.00157649465475362</v>
      </c>
      <c r="H60" s="0" t="n">
        <v>0.00798634374681239</v>
      </c>
      <c r="I60" s="0" t="n">
        <v>-0.00243611054348669</v>
      </c>
      <c r="J60" s="0" t="n">
        <v>0.00506329706666175</v>
      </c>
      <c r="K60" s="0" t="n">
        <v>0.0535407305578969</v>
      </c>
      <c r="L60" s="0" t="n">
        <v>0.028710079677787</v>
      </c>
      <c r="M60" s="0" t="n">
        <v>0.0006653512593763899</v>
      </c>
      <c r="N60" s="0" t="n">
        <v>0.00882453511801317</v>
      </c>
      <c r="O60" s="0" t="n">
        <v>-0.00202998880582194</v>
      </c>
      <c r="P60" s="0" t="n">
        <v>0.0102041606577725</v>
      </c>
      <c r="Q60" s="0" t="n">
        <v>-0.00570890428080339</v>
      </c>
      <c r="R60" s="0" t="n">
        <v>0.0153014974449554</v>
      </c>
      <c r="S60" s="0" t="n">
        <v>0.000969391753281367</v>
      </c>
      <c r="T60" s="0" t="n">
        <v>0.0127299705776549</v>
      </c>
      <c r="U60" s="0" t="n">
        <v>0.00882764819437031</v>
      </c>
      <c r="V60" s="0" t="n">
        <v>-0.0117529176782369</v>
      </c>
      <c r="W60" s="0" t="n">
        <v>0.0124097204581619</v>
      </c>
      <c r="X60" s="0" t="n">
        <v>0.00627621516019472</v>
      </c>
    </row>
    <row r="61">
      <c r="A61" s="5" t="n">
        <v>42459</v>
      </c>
      <c r="B61" s="0" t="n">
        <v>0.0202767787396291</v>
      </c>
      <c r="C61" s="0" t="n">
        <v>-0.00125747113496954</v>
      </c>
      <c r="D61" s="0" t="n">
        <v>0.0031991592132341</v>
      </c>
      <c r="E61" s="0" t="n">
        <v>0.0111732720236141</v>
      </c>
      <c r="F61" s="0" t="n">
        <v>0.00296303294764621</v>
      </c>
      <c r="G61" s="0" t="n">
        <v>0.00419177577604923</v>
      </c>
      <c r="H61" s="0" t="n">
        <v>-0.0241530530376148</v>
      </c>
      <c r="I61" s="0" t="n">
        <v>-0.0104199582480895</v>
      </c>
      <c r="J61" s="0" t="n">
        <v>-0.00252844391460582</v>
      </c>
      <c r="K61" s="0" t="n">
        <v>0</v>
      </c>
      <c r="L61" s="0" t="n">
        <v>-0.00710055850697122</v>
      </c>
      <c r="M61" s="0" t="n">
        <v>-0.0144032070158646</v>
      </c>
      <c r="N61" s="0" t="n">
        <v>0.00281993748977038</v>
      </c>
      <c r="O61" s="0" t="n">
        <v>-0.00509297689407972</v>
      </c>
      <c r="P61" s="0" t="n">
        <v>0.0300023011778756</v>
      </c>
      <c r="Q61" s="0" t="n">
        <v>-0.0115164315210809</v>
      </c>
      <c r="R61" s="0" t="n">
        <v>-0.00308018036340573</v>
      </c>
      <c r="S61" s="0" t="n">
        <v>-0.000969391753281367</v>
      </c>
      <c r="T61" s="0" t="n">
        <v>0.000351316678943725</v>
      </c>
      <c r="U61" s="0" t="n">
        <v>0.0012775155887148</v>
      </c>
      <c r="V61" s="0" t="n">
        <v>0.00691178438795514</v>
      </c>
      <c r="W61" s="0" t="n">
        <v>-0.00597880162883912</v>
      </c>
      <c r="X61" s="0" t="n">
        <v>-0.00522742334493209</v>
      </c>
    </row>
    <row r="62">
      <c r="A62" s="5" t="n">
        <v>42460</v>
      </c>
      <c r="B62" s="0" t="n">
        <v>0.00704024567884609</v>
      </c>
      <c r="C62" s="0" t="n">
        <v>0.00439421736227663</v>
      </c>
      <c r="D62" s="0" t="n">
        <v>0.0193913252027124</v>
      </c>
      <c r="E62" s="0" t="n">
        <v>-0.0300774261174519</v>
      </c>
      <c r="F62" s="0" t="n">
        <v>0.00295420898435638</v>
      </c>
      <c r="G62" s="0" t="n">
        <v>0.00182838486623726</v>
      </c>
      <c r="H62" s="0" t="n">
        <v>0.0207381413017757</v>
      </c>
      <c r="I62" s="0" t="n">
        <v>-0.0092850943155418</v>
      </c>
      <c r="J62" s="0" t="n">
        <v>0.00252844391460582</v>
      </c>
      <c r="K62" s="0" t="n">
        <v>-0.0288481415913175</v>
      </c>
      <c r="L62" s="0" t="n">
        <v>0.0257927852371193</v>
      </c>
      <c r="M62" s="0" t="n">
        <v>0.0134050775371479</v>
      </c>
      <c r="N62" s="0" t="n">
        <v>0.00686005879559958</v>
      </c>
      <c r="O62" s="0" t="n">
        <v>-0.00306824418319173</v>
      </c>
      <c r="P62" s="0" t="n">
        <v>0</v>
      </c>
      <c r="Q62" s="0" t="n">
        <v>0.0115164315210809</v>
      </c>
      <c r="R62" s="0" t="n">
        <v>0.0104531886566316</v>
      </c>
      <c r="S62" s="0" t="n">
        <v>-0.0365473602753163</v>
      </c>
      <c r="T62" s="0" t="n">
        <v>0.0076977714363049</v>
      </c>
      <c r="U62" s="0" t="n">
        <v>0.00636339280557063</v>
      </c>
      <c r="V62" s="0" t="n">
        <v>0.0159954113961742</v>
      </c>
      <c r="W62" s="0" t="n">
        <v>0.00185931571612751</v>
      </c>
      <c r="X62" s="0" t="n">
        <v>0.00209428949470824</v>
      </c>
    </row>
    <row r="63">
      <c r="A63" s="5" t="n">
        <v>42461</v>
      </c>
      <c r="B63" s="0" t="n">
        <v>-0.00295477368598984</v>
      </c>
      <c r="C63" s="0" t="n">
        <v>-0.0221668254455962</v>
      </c>
      <c r="D63" s="0" t="n">
        <v>-0.00327418936796597</v>
      </c>
      <c r="E63" s="0" t="n">
        <v>-0.0231670735001991</v>
      </c>
      <c r="F63" s="0" t="n">
        <v>-0.00369414454366534</v>
      </c>
      <c r="G63" s="0" t="n">
        <v>-0.00759665529704012</v>
      </c>
      <c r="H63" s="0" t="n">
        <v>-0.0526745927412286</v>
      </c>
      <c r="I63" s="0" t="n">
        <v>-0.0125157959805752</v>
      </c>
      <c r="J63" s="0" t="n">
        <v>-0.015267457310675</v>
      </c>
      <c r="K63" s="0" t="n">
        <v>0.0312150466705862</v>
      </c>
      <c r="L63" s="0" t="n">
        <v>-0.0620724824725158</v>
      </c>
      <c r="M63" s="0" t="n">
        <v>0.0223840285548537</v>
      </c>
      <c r="N63" s="0" t="n">
        <v>0.0015525305766797</v>
      </c>
      <c r="O63" s="0" t="n">
        <v>0.00790723094275902</v>
      </c>
      <c r="P63" s="0" t="n">
        <v>-0.0350913254040117</v>
      </c>
      <c r="Q63" s="0" t="n">
        <v>-0.0270809336224266</v>
      </c>
      <c r="R63" s="0" t="n">
        <v>-0.00324889280455664</v>
      </c>
      <c r="S63" s="0" t="n">
        <v>-0.0327227256720523</v>
      </c>
      <c r="T63" s="0" t="n">
        <v>-0.0193566186116167</v>
      </c>
      <c r="U63" s="0" t="n">
        <v>0.0026921889364182</v>
      </c>
      <c r="V63" s="0" t="n">
        <v>0.0161983602750543</v>
      </c>
      <c r="W63" s="0" t="n">
        <v>0.00103144385971809</v>
      </c>
      <c r="X63" s="0" t="n">
        <v>-0.00524387033147988</v>
      </c>
    </row>
    <row r="64">
      <c r="A64" s="5" t="n">
        <v>42464</v>
      </c>
      <c r="B64" s="0" t="n">
        <v>-0.0137056952195804</v>
      </c>
      <c r="C64" s="0" t="n">
        <v>-0.00803735092465451</v>
      </c>
      <c r="D64" s="0" t="n">
        <v>-0.00191491493995332</v>
      </c>
      <c r="E64" s="0" t="n">
        <v>-0.00234647993548264</v>
      </c>
      <c r="F64" s="0" t="n">
        <v>-0.0239712339977904</v>
      </c>
      <c r="G64" s="0" t="n">
        <v>0.00498368090924161</v>
      </c>
      <c r="H64" s="0" t="n">
        <v>-0.00966190173066294</v>
      </c>
      <c r="I64" s="0" t="n">
        <v>0.022416857614226</v>
      </c>
      <c r="J64" s="0" t="n">
        <v>-0.00772210011839469</v>
      </c>
      <c r="K64" s="0" t="n">
        <v>0.00236124577718155</v>
      </c>
      <c r="L64" s="0" t="n">
        <v>0.0170944751626742</v>
      </c>
      <c r="M64" s="0" t="n">
        <v>0.0206193290172187</v>
      </c>
      <c r="N64" s="0" t="n">
        <v>-0.00404169902351503</v>
      </c>
      <c r="O64" s="0" t="n">
        <v>-0.0043285105212858</v>
      </c>
      <c r="P64" s="0" t="n">
        <v>-0.0240976109166863</v>
      </c>
      <c r="Q64" s="0" t="n">
        <v>-0.00196266049037796</v>
      </c>
      <c r="R64" s="0" t="n">
        <v>-0.0125206588838295</v>
      </c>
      <c r="S64" s="0" t="n">
        <v>0.123081999164793</v>
      </c>
      <c r="T64" s="0" t="n">
        <v>-0.020101160397544</v>
      </c>
      <c r="U64" s="0" t="n">
        <v>-0.00475586244257186</v>
      </c>
      <c r="V64" s="0" t="n">
        <v>-0.00318832850551142</v>
      </c>
      <c r="W64" s="0" t="n">
        <v>-0.0206236180733134</v>
      </c>
      <c r="X64" s="0" t="n">
        <v>-0.0105709632430048</v>
      </c>
    </row>
    <row r="65">
      <c r="A65" s="5" t="n">
        <v>42465</v>
      </c>
      <c r="B65" s="0" t="n">
        <v>0.000133352924509999</v>
      </c>
      <c r="C65" s="0" t="n">
        <v>-0.00258566094850998</v>
      </c>
      <c r="D65" s="0" t="n">
        <v>0.0232757623405577</v>
      </c>
      <c r="E65" s="0" t="n">
        <v>0.0039077217966108</v>
      </c>
      <c r="F65" s="0" t="n">
        <v>0.00604694792426974</v>
      </c>
      <c r="G65" s="0" t="n">
        <v>0.0222519032776067</v>
      </c>
      <c r="H65" s="0" t="n">
        <v>-0.0220867660790591</v>
      </c>
      <c r="I65" s="0" t="n">
        <v>-0.0123916611236913</v>
      </c>
      <c r="J65" s="0" t="n">
        <v>0.0153849653973416</v>
      </c>
      <c r="K65" s="0" t="n">
        <v>-0.0238674586562605</v>
      </c>
      <c r="L65" s="0" t="n">
        <v>-0.00729048423269373</v>
      </c>
      <c r="M65" s="0" t="n">
        <v>0.0488508907107338</v>
      </c>
      <c r="N65" s="0" t="n">
        <v>0.0120764187412345</v>
      </c>
      <c r="O65" s="0" t="n">
        <v>-0.0141335836211968</v>
      </c>
      <c r="P65" s="0" t="n">
        <v>0.0308772913268149</v>
      </c>
      <c r="Q65" s="0" t="n">
        <v>-0.007889579483857821</v>
      </c>
      <c r="R65" s="0" t="n">
        <v>0.00203320092100423</v>
      </c>
      <c r="S65" s="0" t="n">
        <v>0.00275353391265831</v>
      </c>
      <c r="T65" s="0" t="n">
        <v>0.0151136405763261</v>
      </c>
      <c r="U65" s="0" t="n">
        <v>0.009961360886439501</v>
      </c>
      <c r="V65" s="0" t="n">
        <v>0.0117915011162024</v>
      </c>
      <c r="W65" s="0" t="n">
        <v>0.0119261484403274</v>
      </c>
      <c r="X65" s="0" t="n">
        <v>0.0137205440797765</v>
      </c>
    </row>
    <row r="66">
      <c r="A66" s="5" t="n">
        <v>42466</v>
      </c>
      <c r="B66" s="0" t="n">
        <v>-0.0118686091429305</v>
      </c>
      <c r="C66" s="0" t="n">
        <v>-0.00877624815759992</v>
      </c>
      <c r="D66" s="0" t="n">
        <v>-0.00227661029132164</v>
      </c>
      <c r="E66" s="0" t="n">
        <v>-0.0236790254533154</v>
      </c>
      <c r="F66" s="0" t="n">
        <v>-0.0321620418126591</v>
      </c>
      <c r="G66" s="0" t="n">
        <v>-0.0235610552424954</v>
      </c>
      <c r="H66" s="0" t="n">
        <v>-0.00497512977150793</v>
      </c>
      <c r="I66" s="0" t="n">
        <v>0.0197537089660215</v>
      </c>
      <c r="J66" s="0" t="n">
        <v>-0.0283890377249587</v>
      </c>
      <c r="K66" s="0" t="n">
        <v>-0.0419296668459042</v>
      </c>
      <c r="L66" s="0" t="n">
        <v>-0.00734390881816748</v>
      </c>
      <c r="M66" s="0" t="n">
        <v>-0.00517589790606498</v>
      </c>
      <c r="N66" s="0" t="n">
        <v>-0.0192672465797691</v>
      </c>
      <c r="O66" s="0" t="n">
        <v>-0.00129481404486364</v>
      </c>
      <c r="P66" s="0" t="n">
        <v>-0.00848184743929758</v>
      </c>
      <c r="Q66" s="0" t="n">
        <v>-0.007952320274777991</v>
      </c>
      <c r="R66" s="0" t="n">
        <v>-0.0239819345963878</v>
      </c>
      <c r="S66" s="0" t="n">
        <v>-0.0203711000751676</v>
      </c>
      <c r="T66" s="0" t="n">
        <v>-0.0143887236307325</v>
      </c>
      <c r="U66" s="0" t="n">
        <v>-0.002362787969159</v>
      </c>
      <c r="V66" s="0" t="n">
        <v>-0.0039151102083883</v>
      </c>
      <c r="W66" s="0" t="n">
        <v>-0.0242091920013383</v>
      </c>
      <c r="X66" s="0" t="n">
        <v>-0.0254790607932258</v>
      </c>
    </row>
    <row r="67">
      <c r="A67" s="5" t="n">
        <v>42467</v>
      </c>
      <c r="B67" s="0" t="n">
        <v>0.00739254765147823</v>
      </c>
      <c r="C67" s="0" t="n">
        <v>0.00521006086299591</v>
      </c>
      <c r="D67" s="0" t="n">
        <v>-0.0026848848720542</v>
      </c>
      <c r="E67" s="0" t="n">
        <v>0.00239327854124438</v>
      </c>
      <c r="F67" s="0" t="n">
        <v>0.00233188853378374</v>
      </c>
      <c r="G67" s="0" t="n">
        <v>-0.00472680740475617</v>
      </c>
      <c r="H67" s="0" t="n">
        <v>0.0893983903224586</v>
      </c>
      <c r="I67" s="0" t="n">
        <v>0.0448237550941614</v>
      </c>
      <c r="J67" s="0" t="n">
        <v>0.007822718386154779</v>
      </c>
      <c r="K67" s="0" t="n">
        <v>0.0322208330543969</v>
      </c>
      <c r="L67" s="0" t="n">
        <v>0.0959800090526232</v>
      </c>
      <c r="M67" s="0" t="n">
        <v>-0.0079681184139253</v>
      </c>
      <c r="N67" s="0" t="n">
        <v>0.000313672834986178</v>
      </c>
      <c r="O67" s="0" t="n">
        <v>-0.00233493820986696</v>
      </c>
      <c r="P67" s="0" t="n">
        <v>0.0202367595725927</v>
      </c>
      <c r="Q67" s="0" t="n">
        <v>0.0178045602490137</v>
      </c>
      <c r="R67" s="0" t="n">
        <v>0.00523689522235582</v>
      </c>
      <c r="S67" s="0" t="n">
        <v>-0.016030434960534</v>
      </c>
      <c r="T67" s="0" t="n">
        <v>0.00325556992542042</v>
      </c>
      <c r="U67" s="0" t="n">
        <v>0.00613160308687454</v>
      </c>
      <c r="V67" s="0" t="n">
        <v>-0.00317339271817651</v>
      </c>
      <c r="W67" s="0" t="n">
        <v>0.00297871262049209</v>
      </c>
      <c r="X67" s="0" t="n">
        <v>0.00322058601364583</v>
      </c>
    </row>
    <row r="68">
      <c r="A68" s="5" t="n">
        <v>42468</v>
      </c>
      <c r="B68" s="0" t="n">
        <v>-0.000669833256601748</v>
      </c>
      <c r="C68" s="0" t="n">
        <v>-0.00260163734356089</v>
      </c>
      <c r="D68" s="0" t="n">
        <v>-0.00593236810954334</v>
      </c>
      <c r="E68" s="0" t="n">
        <v>0.008726723887484409</v>
      </c>
      <c r="F68" s="0" t="n">
        <v>0.00696328935516898</v>
      </c>
      <c r="G68" s="0" t="n">
        <v>-0.0218210763338064</v>
      </c>
      <c r="H68" s="0" t="n">
        <v>0.0347373525374072</v>
      </c>
      <c r="I68" s="0" t="n">
        <v>0.0384111451284256</v>
      </c>
      <c r="J68" s="0" t="n">
        <v>-0.0104439494088148</v>
      </c>
      <c r="K68" s="0" t="n">
        <v>0.0217137683773971</v>
      </c>
      <c r="L68" s="0" t="n">
        <v>0.0855221926316949</v>
      </c>
      <c r="M68" s="0" t="n">
        <v>-0.0189476274530031</v>
      </c>
      <c r="N68" s="0" t="n">
        <v>0.0062540124788244</v>
      </c>
      <c r="O68" s="0" t="n">
        <v>-0.00286124817974453</v>
      </c>
      <c r="P68" s="0" t="n">
        <v>0.0440888477579</v>
      </c>
      <c r="Q68" s="0" t="n">
        <v>0.0136321822466036</v>
      </c>
      <c r="R68" s="0" t="n">
        <v>-0.00692254134169534</v>
      </c>
      <c r="S68" s="0" t="n">
        <v>0.016030434960534</v>
      </c>
      <c r="T68" s="0" t="n">
        <v>-0.00253117810375691</v>
      </c>
      <c r="U68" s="0" t="n">
        <v>-0.00770986214487656</v>
      </c>
      <c r="V68" s="0" t="n">
        <v>-0.00136306474433567</v>
      </c>
      <c r="W68" s="0" t="n">
        <v>-0.0008501789284882651</v>
      </c>
      <c r="X68" s="0" t="n">
        <v>0.00534476853667653</v>
      </c>
    </row>
    <row r="69">
      <c r="A69" s="5" t="n">
        <v>42471</v>
      </c>
      <c r="B69" s="0" t="n">
        <v>0.00254286055519337</v>
      </c>
      <c r="C69" s="0" t="n">
        <v>0.00325095828116106</v>
      </c>
      <c r="D69" s="0" t="n">
        <v>0.00834912957427569</v>
      </c>
      <c r="E69" s="0" t="n">
        <v>0.0117787440023313</v>
      </c>
      <c r="F69" s="0" t="n">
        <v>0.0228668639237064</v>
      </c>
      <c r="G69" s="0" t="n">
        <v>-0.000269025208134987</v>
      </c>
      <c r="H69" s="0" t="n">
        <v>0.0441644617357308</v>
      </c>
      <c r="I69" s="0" t="n">
        <v>-0.00281617443721771</v>
      </c>
      <c r="J69" s="0" t="n">
        <v>0.0130379821793755</v>
      </c>
      <c r="K69" s="0" t="n">
        <v>0.0259143059683427</v>
      </c>
      <c r="L69" s="0" t="n">
        <v>0.0863280923046652</v>
      </c>
      <c r="M69" s="0" t="n">
        <v>0.0021926303693478</v>
      </c>
      <c r="N69" s="0" t="n">
        <v>-0.00249693727635014</v>
      </c>
      <c r="O69" s="0" t="n">
        <v>0.00726706515442954</v>
      </c>
      <c r="P69" s="0" t="n">
        <v>0.100235558980114</v>
      </c>
      <c r="Q69" s="0" t="n">
        <v>0.00578588563021242</v>
      </c>
      <c r="R69" s="0" t="n">
        <v>0.00455452979262638</v>
      </c>
      <c r="S69" s="0" t="n">
        <v>-0.00281028136011674</v>
      </c>
      <c r="T69" s="0" t="n">
        <v>0.000723798451150337</v>
      </c>
      <c r="U69" s="0" t="n">
        <v>0.00802329982070837</v>
      </c>
      <c r="V69" s="0" t="n">
        <v>0.0129499322595201</v>
      </c>
      <c r="W69" s="0" t="n">
        <v>0.0156121669834137</v>
      </c>
      <c r="X69" s="0" t="n">
        <v>0.0200533983574087</v>
      </c>
    </row>
    <row r="70">
      <c r="A70" s="5" t="n">
        <v>42472</v>
      </c>
      <c r="B70" s="0" t="n">
        <v>0.0106362156833323</v>
      </c>
      <c r="C70" s="0" t="n">
        <v>0.00550252730551381</v>
      </c>
      <c r="D70" s="0" t="n">
        <v>0.0078809458062139</v>
      </c>
      <c r="E70" s="0" t="n">
        <v>0.0193280073125947</v>
      </c>
      <c r="F70" s="0" t="n">
        <v>0.0384378061986852</v>
      </c>
      <c r="G70" s="0" t="n">
        <v>0.0186622520630566</v>
      </c>
      <c r="H70" s="0" t="n">
        <v>0.0156824805201785</v>
      </c>
      <c r="I70" s="0" t="n">
        <v>-0.026287175602643</v>
      </c>
      <c r="J70" s="0" t="n">
        <v>0.0154245169656201</v>
      </c>
      <c r="K70" s="0" t="n">
        <v>0.0115608112481085</v>
      </c>
      <c r="L70" s="0" t="n">
        <v>0.058410706216472</v>
      </c>
      <c r="M70" s="0" t="n">
        <v>0.0179850376742987</v>
      </c>
      <c r="N70" s="0" t="n">
        <v>0.00591989984895091</v>
      </c>
      <c r="O70" s="0" t="n">
        <v>-0.0109204979958787</v>
      </c>
      <c r="P70" s="0" t="n">
        <v>-0.008708319454179931</v>
      </c>
      <c r="Q70" s="0" t="n">
        <v>0.00766286574561059</v>
      </c>
      <c r="R70" s="0" t="n">
        <v>-0.0009883980169558271</v>
      </c>
      <c r="S70" s="0" t="n">
        <v>0.011194136286452</v>
      </c>
      <c r="T70" s="0" t="n">
        <v>0.0211212492326087</v>
      </c>
      <c r="U70" s="0" t="n">
        <v>-0.027803840559355</v>
      </c>
      <c r="V70" s="0" t="n">
        <v>0.0108624441096418</v>
      </c>
      <c r="W70" s="0" t="n">
        <v>0.0260344937815455</v>
      </c>
      <c r="X70" s="0" t="n">
        <v>0.0339015450321817</v>
      </c>
    </row>
    <row r="71">
      <c r="A71" s="5" t="n">
        <v>42473</v>
      </c>
      <c r="B71" s="0" t="n">
        <v>-0.000462925803240032</v>
      </c>
      <c r="C71" s="0" t="n">
        <v>0.00129032767233505</v>
      </c>
      <c r="D71" s="0" t="n">
        <v>0.00623377028245553</v>
      </c>
      <c r="E71" s="0" t="n">
        <v>0.00229443560043707</v>
      </c>
      <c r="F71" s="0" t="n">
        <v>0.0250639957097451</v>
      </c>
      <c r="G71" s="0" t="n">
        <v>-0.0210871529722322</v>
      </c>
      <c r="H71" s="0" t="n">
        <v>-0.0337585307162255</v>
      </c>
      <c r="I71" s="0" t="n">
        <v>-0.0413771056437757</v>
      </c>
      <c r="J71" s="0" t="n">
        <v>-0.00768248866710319</v>
      </c>
      <c r="K71" s="0" t="n">
        <v>0.0227282295235065</v>
      </c>
      <c r="L71" s="0" t="n">
        <v>-0.0716559652336681</v>
      </c>
      <c r="M71" s="0" t="n">
        <v>0.00337477253052664</v>
      </c>
      <c r="N71" s="0" t="n">
        <v>-0.0031113427719136</v>
      </c>
      <c r="O71" s="0" t="n">
        <v>0.00443454940897103</v>
      </c>
      <c r="P71" s="0" t="n">
        <v>0</v>
      </c>
      <c r="Q71" s="0" t="n">
        <v>0.0170297692104819</v>
      </c>
      <c r="R71" s="0" t="n">
        <v>-0.000197751615336194</v>
      </c>
      <c r="S71" s="0" t="n">
        <v>-0.0301340784263741</v>
      </c>
      <c r="T71" s="0" t="n">
        <v>0.0007082315425561701</v>
      </c>
      <c r="U71" s="0" t="n">
        <v>-0.0077632533324925</v>
      </c>
      <c r="V71" s="0" t="n">
        <v>0.00443005813630037</v>
      </c>
      <c r="W71" s="0" t="n">
        <v>-0.00490693817367926</v>
      </c>
      <c r="X71" s="0" t="n">
        <v>0.00904985114111944</v>
      </c>
    </row>
    <row r="72">
      <c r="A72" s="5" t="n">
        <v>42474</v>
      </c>
      <c r="B72" s="0" t="n">
        <v>0.00369782215846381</v>
      </c>
      <c r="C72" s="0" t="n">
        <v>0.000322305956432344</v>
      </c>
      <c r="D72" s="0" t="n">
        <v>-0.00132308138837355</v>
      </c>
      <c r="E72" s="0" t="n">
        <v>-0.0115253349337582</v>
      </c>
      <c r="F72" s="0" t="n">
        <v>-0.009950355133419461</v>
      </c>
      <c r="G72" s="0" t="n">
        <v>-0.00432549602236731</v>
      </c>
      <c r="H72" s="0" t="n">
        <v>-0.00322407287302972</v>
      </c>
      <c r="I72" s="0" t="n">
        <v>0.0119977901105952</v>
      </c>
      <c r="J72" s="0" t="n">
        <v>0.00256739299077923</v>
      </c>
      <c r="K72" s="0" t="n">
        <v>-0.0412902852491784</v>
      </c>
      <c r="L72" s="0" t="n">
        <v>0.00759016205552764</v>
      </c>
      <c r="M72" s="0" t="n">
        <v>-0.00460481312117</v>
      </c>
      <c r="N72" s="0" t="n">
        <v>0.00528356079094871</v>
      </c>
      <c r="O72" s="0" t="n">
        <v>0.00156050421984454</v>
      </c>
      <c r="P72" s="0" t="n">
        <v>-0.0280875898346297</v>
      </c>
      <c r="Q72" s="0" t="n">
        <v>0.00187445768292238</v>
      </c>
      <c r="R72" s="0" t="n">
        <v>0.0111139305951333</v>
      </c>
      <c r="S72" s="0" t="n">
        <v>-0.0271334211833642</v>
      </c>
      <c r="T72" s="0" t="n">
        <v>-0.0124667824378801</v>
      </c>
      <c r="U72" s="0" t="n">
        <v>0.00146021202637136</v>
      </c>
      <c r="V72" s="0" t="n">
        <v>0.00264862275934607</v>
      </c>
      <c r="W72" s="0" t="n">
        <v>-0.0111295648074021</v>
      </c>
      <c r="X72" s="0" t="n">
        <v>-0.00602406095957963</v>
      </c>
    </row>
    <row r="73">
      <c r="A73" s="5" t="n">
        <v>42475</v>
      </c>
      <c r="B73" s="0" t="n">
        <v>0.00532456514234436</v>
      </c>
      <c r="C73" s="0" t="n">
        <v>0.000966358915727827</v>
      </c>
      <c r="D73" s="0" t="n">
        <v>0.0221285944806863</v>
      </c>
      <c r="E73" s="0" t="n">
        <v>0.0236742957873521</v>
      </c>
      <c r="F73" s="0" t="n">
        <v>0.0120697294715186</v>
      </c>
      <c r="G73" s="0" t="n">
        <v>-0.0062508571996398</v>
      </c>
      <c r="H73" s="0" t="n">
        <v>-0.0261737704084108</v>
      </c>
      <c r="I73" s="0" t="n">
        <v>0.00357140053780469</v>
      </c>
      <c r="J73" s="0" t="n">
        <v>-0.0129034540598569</v>
      </c>
      <c r="K73" s="0" t="n">
        <v>0.0185620557256719</v>
      </c>
      <c r="L73" s="0" t="n">
        <v>-0.00378787972504657</v>
      </c>
      <c r="M73" s="0" t="n">
        <v>0.00337891918223487</v>
      </c>
      <c r="N73" s="0" t="n">
        <v>-0.0012406050323821</v>
      </c>
      <c r="O73" s="0" t="n">
        <v>0.00440820061147206</v>
      </c>
      <c r="P73" s="0" t="n">
        <v>0.00149809048483806</v>
      </c>
      <c r="Q73" s="0" t="n">
        <v>-0.0208143998228447</v>
      </c>
      <c r="R73" s="0" t="n">
        <v>0.00253982884351167</v>
      </c>
      <c r="S73" s="0" t="n">
        <v>-0.0278903224921029</v>
      </c>
      <c r="T73" s="0" t="n">
        <v>0.0103406489163826</v>
      </c>
      <c r="U73" s="0" t="n">
        <v>0.00791280462606103</v>
      </c>
      <c r="V73" s="0" t="n">
        <v>0.0118326928307457</v>
      </c>
      <c r="W73" s="0" t="n">
        <v>0.0121538245817491</v>
      </c>
      <c r="X73" s="0" t="n">
        <v>0.00301656663673632</v>
      </c>
    </row>
    <row r="74">
      <c r="A74" s="5" t="n">
        <v>42478</v>
      </c>
      <c r="B74" s="0" t="n">
        <v>-0.0575479904328046</v>
      </c>
      <c r="C74" s="0" t="n">
        <v>0.00289342257185198</v>
      </c>
      <c r="D74" s="0" t="n">
        <v>0.000388409133643463</v>
      </c>
      <c r="E74" s="0" t="n">
        <v>0.014237751441291</v>
      </c>
      <c r="F74" s="0" t="n">
        <v>0.0195673422720195</v>
      </c>
      <c r="G74" s="0" t="n">
        <v>-0.0123441634361629</v>
      </c>
      <c r="H74" s="0" t="n">
        <v>0.0261737704084108</v>
      </c>
      <c r="I74" s="0" t="n">
        <v>0.0310057407212003</v>
      </c>
      <c r="J74" s="0" t="n">
        <v>0.0205663193388039</v>
      </c>
      <c r="K74" s="0" t="n">
        <v>-0.035091356513638</v>
      </c>
      <c r="L74" s="0" t="n">
        <v>0.0854288115225765</v>
      </c>
      <c r="M74" s="0" t="n">
        <v>0.008549633125678909</v>
      </c>
      <c r="N74" s="0" t="n">
        <v>0.0150933979257428</v>
      </c>
      <c r="O74" s="0" t="n">
        <v>0.00696139575834431</v>
      </c>
      <c r="P74" s="0" t="n">
        <v>0.0581559350789042</v>
      </c>
      <c r="Q74" s="0" t="n">
        <v>0.0282771137214692</v>
      </c>
      <c r="R74" s="0" t="n">
        <v>0.00932225714781154</v>
      </c>
      <c r="S74" s="0" t="n">
        <v>-0.0101523134689807</v>
      </c>
      <c r="T74" s="0" t="n">
        <v>0.00495398707842831</v>
      </c>
      <c r="U74" s="0" t="n">
        <v>-0.00742656133185093</v>
      </c>
      <c r="V74" s="0" t="n">
        <v>0.00072589173844495</v>
      </c>
      <c r="W74" s="0" t="n">
        <v>0.021070489858789</v>
      </c>
      <c r="X74" s="0" t="n">
        <v>0.0149479236471261</v>
      </c>
    </row>
    <row r="75">
      <c r="A75" s="5" t="n">
        <v>42479</v>
      </c>
      <c r="B75" s="0" t="n">
        <v>0.014546467285335</v>
      </c>
      <c r="C75" s="0" t="n">
        <v>0</v>
      </c>
      <c r="D75" s="0" t="n">
        <v>-0.00220304847643948</v>
      </c>
      <c r="E75" s="0" t="n">
        <v>0.0147713737120835</v>
      </c>
      <c r="F75" s="0" t="n">
        <v>0.0326782306327428</v>
      </c>
      <c r="G75" s="0" t="n">
        <v>0.0196781757700468</v>
      </c>
      <c r="H75" s="0" t="n">
        <v>-0.0184687313740947</v>
      </c>
      <c r="I75" s="0" t="n">
        <v>-0.0186051692614048</v>
      </c>
      <c r="J75" s="0" t="n">
        <v>0</v>
      </c>
      <c r="K75" s="0" t="n">
        <v>0.112478012111803</v>
      </c>
      <c r="L75" s="0" t="n">
        <v>0.0558994628951092</v>
      </c>
      <c r="M75" s="0" t="n">
        <v>0.0102844269472828</v>
      </c>
      <c r="N75" s="0" t="n">
        <v>0.0027476785686753</v>
      </c>
      <c r="O75" s="0" t="n">
        <v>-0.00515191633637757</v>
      </c>
      <c r="P75" s="0" t="n">
        <v>0.0154172827616472</v>
      </c>
      <c r="Q75" s="0" t="n">
        <v>0.00185696470490515</v>
      </c>
      <c r="R75" s="0" t="n">
        <v>-0.00922468009172483</v>
      </c>
      <c r="S75" s="0" t="n">
        <v>0.00813011820359799</v>
      </c>
      <c r="T75" s="0" t="n">
        <v>0.00387531256405626</v>
      </c>
      <c r="U75" s="0" t="n">
        <v>-0.00373406627234906</v>
      </c>
      <c r="V75" s="0" t="n">
        <v>0.00463298466703143</v>
      </c>
      <c r="W75" s="0" t="n">
        <v>0.0113626196967695</v>
      </c>
      <c r="X75" s="0" t="n">
        <v>0.0166752349778036</v>
      </c>
    </row>
    <row r="76">
      <c r="A76" s="5" t="n">
        <v>42480</v>
      </c>
      <c r="B76" s="0" t="n">
        <v>0.0215979581242491</v>
      </c>
      <c r="C76" s="0" t="n">
        <v>-0.00547241511634721</v>
      </c>
      <c r="D76" s="0" t="n">
        <v>0.00375527675926257</v>
      </c>
      <c r="E76" s="0" t="n">
        <v>0.000732816098862443</v>
      </c>
      <c r="F76" s="0" t="n">
        <v>-0.00201144464212132</v>
      </c>
      <c r="G76" s="0" t="n">
        <v>-0.013075629750078</v>
      </c>
      <c r="H76" s="0" t="n">
        <v>-0.00660067774679129</v>
      </c>
      <c r="I76" s="0" t="n">
        <v>0.0306293097005672</v>
      </c>
      <c r="J76" s="0" t="n">
        <v>0.00254129496506627</v>
      </c>
      <c r="K76" s="0" t="n">
        <v>-0.09594871132383739</v>
      </c>
      <c r="L76" s="0" t="n">
        <v>-0.0931707798774295</v>
      </c>
      <c r="M76" s="0" t="n">
        <v>0.000300951891748724</v>
      </c>
      <c r="N76" s="0" t="n">
        <v>-0.0439391407200266</v>
      </c>
      <c r="O76" s="0" t="n">
        <v>-0.0224611320323453</v>
      </c>
      <c r="P76" s="0" t="n">
        <v>-0.0140058176256943</v>
      </c>
      <c r="Q76" s="0" t="n">
        <v>0</v>
      </c>
      <c r="R76" s="0" t="n">
        <v>-0.0126639977887172</v>
      </c>
      <c r="S76" s="0" t="n">
        <v>-0.00711020699121123</v>
      </c>
      <c r="T76" s="0" t="n">
        <v>-0.0070572191932765</v>
      </c>
      <c r="U76" s="0" t="n">
        <v>-0.0213718349517133</v>
      </c>
      <c r="V76" s="0" t="n">
        <v>0.013344057080955</v>
      </c>
      <c r="W76" s="0" t="n">
        <v>-0.007960271404618521</v>
      </c>
      <c r="X76" s="0" t="n">
        <v>-0.00585362314783211</v>
      </c>
    </row>
    <row r="77">
      <c r="A77" s="5" t="n">
        <v>42481</v>
      </c>
      <c r="B77" s="0" t="n">
        <v>-0.00537276674283049</v>
      </c>
      <c r="C77" s="0" t="n">
        <v>-0.00712668535545812</v>
      </c>
      <c r="D77" s="0" t="n">
        <v>0.0059278404369536</v>
      </c>
      <c r="E77" s="0" t="n">
        <v>-0.00293470224686576</v>
      </c>
      <c r="F77" s="0" t="n">
        <v>0.013995566213671</v>
      </c>
      <c r="G77" s="0" t="n">
        <v>-0.0247063045913003</v>
      </c>
      <c r="H77" s="0" t="n">
        <v>-0.0234516383680238</v>
      </c>
      <c r="I77" s="0" t="n">
        <v>-0.0282847009363007</v>
      </c>
      <c r="J77" s="0" t="n">
        <v>0.00506329706666175</v>
      </c>
      <c r="K77" s="0" t="n">
        <v>0.00233922197958358</v>
      </c>
      <c r="L77" s="0" t="n">
        <v>-0.0200920239463413</v>
      </c>
      <c r="M77" s="0" t="n">
        <v>0.000902083306800527</v>
      </c>
      <c r="N77" s="0" t="n">
        <v>0</v>
      </c>
      <c r="O77" s="0" t="n">
        <v>0.00553140047577693</v>
      </c>
      <c r="P77" s="0" t="n">
        <v>0.0522096089923316</v>
      </c>
      <c r="Q77" s="0" t="n">
        <v>-0.011194136286452</v>
      </c>
      <c r="R77" s="0" t="n">
        <v>0.00217113691057324</v>
      </c>
      <c r="S77" s="0" t="n">
        <v>0.0370227247486969</v>
      </c>
      <c r="T77" s="0" t="n">
        <v>-0.0031920634857836</v>
      </c>
      <c r="U77" s="0" t="n">
        <v>0.00563382021104796</v>
      </c>
      <c r="V77" s="0" t="n">
        <v>0.00738425150873833</v>
      </c>
      <c r="W77" s="0" t="n">
        <v>0.0113242434986373</v>
      </c>
      <c r="X77" s="0" t="n">
        <v>0.00293109468079544</v>
      </c>
    </row>
    <row r="78">
      <c r="A78" s="5" t="n">
        <v>42482</v>
      </c>
      <c r="B78" s="0" t="n">
        <v>0.00208534979300711</v>
      </c>
      <c r="C78" s="0" t="n">
        <v>-0.00260417805957668</v>
      </c>
      <c r="D78" s="0" t="n">
        <v>0.00141234673710677</v>
      </c>
      <c r="E78" s="0" t="n">
        <v>-0.00220667492516346</v>
      </c>
      <c r="F78" s="0" t="n">
        <v>-0.00997677846682654</v>
      </c>
      <c r="G78" s="0" t="n">
        <v>0.0328985740618397</v>
      </c>
      <c r="H78" s="0" t="n">
        <v>-0.00680274064752906</v>
      </c>
      <c r="I78" s="0" t="n">
        <v>-0.00882096972278123</v>
      </c>
      <c r="J78" s="0" t="n">
        <v>0.00252206700624291</v>
      </c>
      <c r="K78" s="0" t="n">
        <v>-0.0188685227675496</v>
      </c>
      <c r="L78" s="0" t="n">
        <v>-0.062817968987523</v>
      </c>
      <c r="M78" s="0" t="n">
        <v>-0.00180509596860423</v>
      </c>
      <c r="N78" s="0" t="n">
        <v>-0.00671247799254226</v>
      </c>
      <c r="O78" s="0" t="n">
        <v>0.00367067512016516</v>
      </c>
      <c r="P78" s="0" t="n">
        <v>-0.0479872617072101</v>
      </c>
      <c r="Q78" s="0" t="n">
        <v>0.00561277612842192</v>
      </c>
      <c r="R78" s="0" t="n">
        <v>0.00501495233018989</v>
      </c>
      <c r="S78" s="0" t="n">
        <v>-0.0228525090991826</v>
      </c>
      <c r="T78" s="0" t="n">
        <v>0.00283788501551685</v>
      </c>
      <c r="U78" s="0" t="n">
        <v>0.0115000569728831</v>
      </c>
      <c r="V78" s="0" t="n">
        <v>-0.000707707235280352</v>
      </c>
      <c r="W78" s="0" t="n">
        <v>-0.00217543076674653</v>
      </c>
      <c r="X78" s="0" t="n">
        <v>-0.008819278452574681</v>
      </c>
    </row>
    <row r="79">
      <c r="A79" s="5" t="n">
        <v>42485</v>
      </c>
      <c r="B79" s="0" t="n">
        <v>0.0018127788576594</v>
      </c>
      <c r="C79" s="0" t="n">
        <v>0.00714520246652483</v>
      </c>
      <c r="D79" s="0" t="n">
        <v>-0.0216596990724067</v>
      </c>
      <c r="E79" s="0" t="n">
        <v>0.0124407076001413</v>
      </c>
      <c r="F79" s="0" t="n">
        <v>0.008652307795349749</v>
      </c>
      <c r="G79" s="0" t="n">
        <v>-0.0101134912001157</v>
      </c>
      <c r="H79" s="0" t="n">
        <v>0.0455887284791971</v>
      </c>
      <c r="I79" s="0" t="n">
        <v>0.036536343622882</v>
      </c>
      <c r="J79" s="0" t="n">
        <v>0</v>
      </c>
      <c r="K79" s="0" t="n">
        <v>0.035091356513638</v>
      </c>
      <c r="L79" s="0" t="n">
        <v>0.0290435941128046</v>
      </c>
      <c r="M79" s="0" t="n">
        <v>-0.00482946460753952</v>
      </c>
      <c r="N79" s="0" t="n">
        <v>0.00766776183849238</v>
      </c>
      <c r="O79" s="0" t="n">
        <v>-0.00314545300190038</v>
      </c>
      <c r="P79" s="0" t="n">
        <v>0.07179795095405379</v>
      </c>
      <c r="Q79" s="0" t="n">
        <v>0.0111318295358144</v>
      </c>
      <c r="R79" s="0" t="n">
        <v>0.00878913417640614</v>
      </c>
      <c r="S79" s="0" t="n">
        <v>0.00100454342535583</v>
      </c>
      <c r="T79" s="0" t="n">
        <v>0.00776296133929799</v>
      </c>
      <c r="U79" s="0" t="n">
        <v>0.002121192828338</v>
      </c>
      <c r="V79" s="0" t="n">
        <v>0.00325116351688503</v>
      </c>
      <c r="W79" s="0" t="n">
        <v>0.00808443448019025</v>
      </c>
      <c r="X79" s="0" t="n">
        <v>0.00979443491895182</v>
      </c>
    </row>
    <row r="80">
      <c r="A80" s="5" t="n">
        <v>42486</v>
      </c>
      <c r="B80" s="0" t="n">
        <v>0.009280649989967129</v>
      </c>
      <c r="C80" s="0" t="n">
        <v>0.000970422531386905</v>
      </c>
      <c r="D80" s="0" t="n">
        <v>0.00314184700236008</v>
      </c>
      <c r="E80" s="0" t="n">
        <v>-0.00656698114035281</v>
      </c>
      <c r="F80" s="0" t="n">
        <v>-0.00464960607868203</v>
      </c>
      <c r="G80" s="0" t="n">
        <v>-0.00247559331491098</v>
      </c>
      <c r="H80" s="0" t="n">
        <v>0.0341914157726419</v>
      </c>
      <c r="I80" s="0" t="n">
        <v>0.016940051828906</v>
      </c>
      <c r="J80" s="0" t="n">
        <v>0.00251572218297346</v>
      </c>
      <c r="K80" s="0" t="n">
        <v>-0.0279738389232622</v>
      </c>
      <c r="L80" s="0" t="n">
        <v>0.0646578598103788</v>
      </c>
      <c r="M80" s="0" t="n">
        <v>-0.00151398174681371</v>
      </c>
      <c r="N80" s="0" t="n">
        <v>0.00507937115592982</v>
      </c>
      <c r="O80" s="0" t="n">
        <v>0.0164045094383036</v>
      </c>
      <c r="P80" s="0" t="n">
        <v>0.0181351946809655</v>
      </c>
      <c r="Q80" s="0" t="n">
        <v>0.005519744150001</v>
      </c>
      <c r="R80" s="0" t="n">
        <v>-0.00145951404375566</v>
      </c>
      <c r="S80" s="0" t="n">
        <v>0.0413038133363552</v>
      </c>
      <c r="T80" s="0" t="n">
        <v>0.00665613339209469</v>
      </c>
      <c r="U80" s="0" t="n">
        <v>0.0032546939498026</v>
      </c>
      <c r="V80" s="0" t="n">
        <v>-0.00893049008074342</v>
      </c>
      <c r="W80" s="0" t="n">
        <v>0.000196409158811583</v>
      </c>
      <c r="X80" s="0" t="n">
        <v>0.000974206462570403</v>
      </c>
    </row>
    <row r="81">
      <c r="A81" s="5" t="n">
        <v>42487</v>
      </c>
      <c r="B81" s="0" t="n">
        <v>-0.0228550231702646</v>
      </c>
      <c r="C81" s="0" t="n">
        <v>-0.000970422531386905</v>
      </c>
      <c r="D81" s="0" t="n">
        <v>-0.000653762870364005</v>
      </c>
      <c r="E81" s="0" t="n">
        <v>0.0309934937678777</v>
      </c>
      <c r="F81" s="0" t="n">
        <v>-0.0154314026694626</v>
      </c>
      <c r="G81" s="0" t="n">
        <v>-0.0107990307894456</v>
      </c>
      <c r="H81" s="0" t="n">
        <v>-0.00315623304632328</v>
      </c>
      <c r="I81" s="0" t="n">
        <v>0.0587125063326996</v>
      </c>
      <c r="J81" s="0" t="n">
        <v>-0.0151901508235674</v>
      </c>
      <c r="K81" s="0" t="n">
        <v>0.00471699932735225</v>
      </c>
      <c r="L81" s="0" t="n">
        <v>0.00535232907885774</v>
      </c>
      <c r="M81" s="0" t="n">
        <v>-0.00273100314775209</v>
      </c>
      <c r="N81" s="0" t="n">
        <v>-0.0069907914666536</v>
      </c>
      <c r="O81" s="0" t="n">
        <v>-0.00206830038632999</v>
      </c>
      <c r="P81" s="0" t="n">
        <v>-0.0207529946905657</v>
      </c>
      <c r="Q81" s="0" t="n">
        <v>0.0145722797963403</v>
      </c>
      <c r="R81" s="0" t="n">
        <v>-0.0146145300642555</v>
      </c>
      <c r="S81" s="0" t="n">
        <v>0.00576365349844199</v>
      </c>
      <c r="T81" s="0" t="n">
        <v>-0.0240294361598603</v>
      </c>
      <c r="U81" s="0" t="n">
        <v>0.0103443527985929</v>
      </c>
      <c r="V81" s="0" t="n">
        <v>0.0284951373125386</v>
      </c>
      <c r="W81" s="0" t="n">
        <v>-0.010262581820974</v>
      </c>
      <c r="X81" s="0" t="n">
        <v>-0.0147134159624364</v>
      </c>
    </row>
    <row r="82">
      <c r="A82" s="5" t="n">
        <v>42488</v>
      </c>
      <c r="B82" s="0" t="n">
        <v>-0.00771311864681401</v>
      </c>
      <c r="C82" s="0" t="n">
        <v>-0.00486615990201455</v>
      </c>
      <c r="D82" s="0" t="n">
        <v>-0.0122378041308026</v>
      </c>
      <c r="E82" s="0" t="n">
        <v>-0.0383410232826717</v>
      </c>
      <c r="F82" s="0" t="n">
        <v>-0.0156732025550998</v>
      </c>
      <c r="G82" s="0" t="n">
        <v>-0.0148649153471569</v>
      </c>
      <c r="H82" s="0" t="n">
        <v>0.00420610086850836</v>
      </c>
      <c r="I82" s="0" t="n">
        <v>0.0619281535059199</v>
      </c>
      <c r="J82" s="0" t="n">
        <v>0.00762391771974524</v>
      </c>
      <c r="K82" s="0" t="n">
        <v>0.0255530223147825</v>
      </c>
      <c r="L82" s="0" t="n">
        <v>0.00885748765293614</v>
      </c>
      <c r="M82" s="0" t="n">
        <v>-0.00609574475765484</v>
      </c>
      <c r="N82" s="0" t="n">
        <v>-0.0131601911636343</v>
      </c>
      <c r="O82" s="0" t="n">
        <v>0.00464757633109202</v>
      </c>
      <c r="P82" s="0" t="n">
        <v>0.00392410353723438</v>
      </c>
      <c r="Q82" s="0" t="n">
        <v>0.0107914609893191</v>
      </c>
      <c r="R82" s="0" t="n">
        <v>-0.00703982965586025</v>
      </c>
      <c r="S82" s="0" t="n">
        <v>-0.0450614978060532</v>
      </c>
      <c r="T82" s="0" t="n">
        <v>-0.0169525907702752</v>
      </c>
      <c r="U82" s="0" t="n">
        <v>0.008326716921932761</v>
      </c>
      <c r="V82" s="0" t="n">
        <v>-0.00110775183998068</v>
      </c>
      <c r="W82" s="0" t="n">
        <v>-0.00856664881973356</v>
      </c>
      <c r="X82" s="0" t="n">
        <v>-0.00594644616793438</v>
      </c>
    </row>
    <row r="83">
      <c r="A83" s="5" t="n">
        <v>42489</v>
      </c>
      <c r="B83" s="0" t="n">
        <v>-0.00460148577103414</v>
      </c>
      <c r="C83" s="0" t="n">
        <v>0.00454249774636039</v>
      </c>
      <c r="D83" s="0" t="n">
        <v>0.0160234743037817</v>
      </c>
      <c r="E83" s="0" t="n">
        <v>0.00441497886151598</v>
      </c>
      <c r="F83" s="0" t="n">
        <v>0.0143200559477212</v>
      </c>
      <c r="G83" s="0" t="n">
        <v>0.00112965037993539</v>
      </c>
      <c r="H83" s="0" t="n">
        <v>-0.0538923825108663</v>
      </c>
      <c r="I83" s="0" t="n">
        <v>-0.0327898038914908</v>
      </c>
      <c r="J83" s="0" t="n">
        <v>0.00505051092084873</v>
      </c>
      <c r="K83" s="0" t="n">
        <v>-0.00229618271887255</v>
      </c>
      <c r="L83" s="0" t="n">
        <v>-0.00353356915784197</v>
      </c>
      <c r="M83" s="0" t="n">
        <v>0.0027476785686753</v>
      </c>
      <c r="N83" s="0" t="n">
        <v>0.0169793852264756</v>
      </c>
      <c r="O83" s="0" t="n">
        <v>0.00718685808672203</v>
      </c>
      <c r="P83" s="0" t="n">
        <v>-0.0304861282065616</v>
      </c>
      <c r="Q83" s="0" t="n">
        <v>-0.00718135233860439</v>
      </c>
      <c r="R83" s="0" t="n">
        <v>0.00940830869129527</v>
      </c>
      <c r="S83" s="0" t="n">
        <v>-0.023315759445512</v>
      </c>
      <c r="T83" s="0" t="n">
        <v>-0.00437474013603544</v>
      </c>
      <c r="U83" s="0" t="n">
        <v>0.00651674966009441</v>
      </c>
      <c r="V83" s="0" t="n">
        <v>-0.00305260708301879</v>
      </c>
      <c r="W83" s="0" t="n">
        <v>0.0121310150721427</v>
      </c>
      <c r="X83" s="0" t="n">
        <v>0.0128395996723749</v>
      </c>
    </row>
    <row r="84">
      <c r="A84" s="5" t="n">
        <v>42492</v>
      </c>
      <c r="B84" s="0" t="n">
        <v>-0.00787840532242878</v>
      </c>
      <c r="C84" s="0" t="n">
        <v>-0.008452586001945759</v>
      </c>
      <c r="D84" s="0" t="n">
        <v>-0.00653597097978586</v>
      </c>
      <c r="E84" s="0" t="n">
        <v>-0.0140482590603649</v>
      </c>
      <c r="F84" s="0" t="n">
        <v>-0.028151587824281</v>
      </c>
      <c r="G84" s="0" t="n">
        <v>-0.00651282321239854</v>
      </c>
      <c r="H84" s="0" t="n">
        <v>-0.06994256318189571</v>
      </c>
      <c r="I84" s="0" t="n">
        <v>-0.019156725987556</v>
      </c>
      <c r="J84" s="0" t="n">
        <v>-0.00505051092084873</v>
      </c>
      <c r="K84" s="0" t="n">
        <v>-0.0518984736273427</v>
      </c>
      <c r="L84" s="0" t="n">
        <v>-0.0810756989503895</v>
      </c>
      <c r="M84" s="0" t="n">
        <v>0.0270693678677202</v>
      </c>
      <c r="N84" s="0" t="n">
        <v>-0.0290062110017701</v>
      </c>
      <c r="O84" s="0" t="n">
        <v>-0.00487114489138118</v>
      </c>
      <c r="P84" s="0" t="n">
        <v>-0.126060756858861</v>
      </c>
      <c r="Q84" s="0" t="n">
        <v>-0.0181823884470551</v>
      </c>
      <c r="R84" s="0" t="n">
        <v>0.0240553185520697</v>
      </c>
      <c r="S84" s="0" t="n">
        <v>-0.0103094091894035</v>
      </c>
      <c r="T84" s="0" t="n">
        <v>-0.0188093398965856</v>
      </c>
      <c r="U84" s="0" t="n">
        <v>0.00126665360899824</v>
      </c>
      <c r="V84" s="0" t="n">
        <v>-0.0116012462277366</v>
      </c>
      <c r="W84" s="0" t="n">
        <v>-0.0117309258918658</v>
      </c>
      <c r="X84" s="0" t="n">
        <v>-0.0178221898629216</v>
      </c>
    </row>
    <row r="85">
      <c r="A85" s="5" t="n">
        <v>42493</v>
      </c>
      <c r="B85" s="0" t="n">
        <v>0.000832201415362554</v>
      </c>
      <c r="C85" s="0" t="n">
        <v>-0.0184519287331199</v>
      </c>
      <c r="D85" s="0" t="n">
        <v>-0.0182641025602476</v>
      </c>
      <c r="E85" s="0" t="n">
        <v>-0.00897536932514109</v>
      </c>
      <c r="F85" s="0" t="n">
        <v>-0.0161463349162271</v>
      </c>
      <c r="G85" s="0" t="n">
        <v>-0.00569804278905383</v>
      </c>
      <c r="H85" s="0" t="n">
        <v>0.0327132577676607</v>
      </c>
      <c r="I85" s="0" t="n">
        <v>-0.0356515601026372</v>
      </c>
      <c r="J85" s="0" t="n">
        <v>-0.0178804078545937</v>
      </c>
      <c r="K85" s="0" t="n">
        <v>-0.0319830009330851</v>
      </c>
      <c r="L85" s="0" t="n">
        <v>-0.0695413977026495</v>
      </c>
      <c r="M85" s="0" t="n">
        <v>-0.008941914329818159</v>
      </c>
      <c r="N85" s="0" t="n">
        <v>0.0123498211442099</v>
      </c>
      <c r="O85" s="0" t="n">
        <v>-0.000771276010564481</v>
      </c>
      <c r="P85" s="0" t="n">
        <v>-0.0405040141193391</v>
      </c>
      <c r="Q85" s="0" t="n">
        <v>0.00548953076255798</v>
      </c>
      <c r="R85" s="0" t="n">
        <v>-0.000192441951280208</v>
      </c>
      <c r="S85" s="0" t="n">
        <v>-0.0177736078407302</v>
      </c>
      <c r="T85" s="0" t="n">
        <v>-0.0157601786361936</v>
      </c>
      <c r="U85" s="0" t="n">
        <v>0.00047455160622345</v>
      </c>
      <c r="V85" s="0" t="n">
        <v>-0.00493269246099448</v>
      </c>
      <c r="W85" s="0" t="n">
        <v>-0.021427975474328</v>
      </c>
      <c r="X85" s="0" t="n">
        <v>-0.0150984823976556</v>
      </c>
    </row>
    <row r="86">
      <c r="A86" s="5" t="n">
        <v>42494</v>
      </c>
      <c r="B86" s="0" t="n">
        <v>0.0152727322761583</v>
      </c>
      <c r="C86" s="0" t="n">
        <v>-0.00600401046407039</v>
      </c>
      <c r="D86" s="0" t="n">
        <v>0.00532829152060632</v>
      </c>
      <c r="E86" s="0" t="n">
        <v>0.000750978267704649</v>
      </c>
      <c r="F86" s="0" t="n">
        <v>-0.00567779544039082</v>
      </c>
      <c r="G86" s="0" t="n">
        <v>-0.00228838295371458</v>
      </c>
      <c r="H86" s="0" t="n">
        <v>-0.022081153318842</v>
      </c>
      <c r="I86" s="0" t="n">
        <v>0.0145203125363573</v>
      </c>
      <c r="J86" s="0" t="n">
        <v>0</v>
      </c>
      <c r="K86" s="0" t="n">
        <v>0.00498755151928154</v>
      </c>
      <c r="L86" s="0" t="n">
        <v>-0.0484815725690985</v>
      </c>
      <c r="M86" s="0" t="n">
        <v>0.00507685623356346</v>
      </c>
      <c r="N86" s="0" t="n">
        <v>-0.0933740141515713</v>
      </c>
      <c r="O86" s="0" t="n">
        <v>-0.00360730575903556</v>
      </c>
      <c r="P86" s="0" t="n">
        <v>0</v>
      </c>
      <c r="Q86" s="0" t="n">
        <v>-0.0240085613582605</v>
      </c>
      <c r="R86" s="0" t="n">
        <v>0.0119590038689425</v>
      </c>
      <c r="S86" s="0" t="n">
        <v>0.00735690648525366</v>
      </c>
      <c r="T86" s="0" t="n">
        <v>-0.008737052777481489</v>
      </c>
      <c r="U86" s="0" t="n">
        <v>-0.00618704901524491</v>
      </c>
      <c r="V86" s="0" t="n">
        <v>0.00521388831092917</v>
      </c>
      <c r="W86" s="0" t="n">
        <v>0.000408589550755955</v>
      </c>
      <c r="X86" s="0" t="n">
        <v>0.00101370805577394</v>
      </c>
    </row>
    <row r="87">
      <c r="A87" s="5" t="n">
        <v>42495</v>
      </c>
      <c r="B87" s="0" t="n">
        <v>0.00558274925444202</v>
      </c>
      <c r="C87" s="0" t="n">
        <v>0.00766540625490375</v>
      </c>
      <c r="D87" s="0" t="n">
        <v>-0.00894111769230576</v>
      </c>
      <c r="E87" s="0" t="n">
        <v>0.00896866167237409</v>
      </c>
      <c r="F87" s="0" t="n">
        <v>0.00426133217765745</v>
      </c>
      <c r="G87" s="0" t="n">
        <v>-0.010652150404204</v>
      </c>
      <c r="H87" s="0" t="n">
        <v>0.0116823651164075</v>
      </c>
      <c r="I87" s="0" t="n">
        <v>0.0242628458337388</v>
      </c>
      <c r="J87" s="0" t="n">
        <v>0.0128042597374715</v>
      </c>
      <c r="K87" s="0" t="n">
        <v>-0.06420691532944341</v>
      </c>
      <c r="L87" s="0" t="n">
        <v>0.0318836975809206</v>
      </c>
      <c r="M87" s="0" t="n">
        <v>0.000297904276311378</v>
      </c>
      <c r="N87" s="0" t="n">
        <v>0.0119846391287752</v>
      </c>
      <c r="O87" s="0" t="n">
        <v>0.00643254473785104</v>
      </c>
      <c r="P87" s="0" t="n">
        <v>-0.009584728786731</v>
      </c>
      <c r="Q87" s="0" t="n">
        <v>-0.00374531921853482</v>
      </c>
      <c r="R87" s="0" t="n">
        <v>-0.00285717386519923</v>
      </c>
      <c r="S87" s="0" t="n">
        <v>0.00209199911119029</v>
      </c>
      <c r="T87" s="0" t="n">
        <v>0.0121352116266439</v>
      </c>
      <c r="U87" s="0" t="n">
        <v>0.00143118657267304</v>
      </c>
      <c r="V87" s="0" t="n">
        <v>0.000983349007719347</v>
      </c>
      <c r="W87" s="0" t="n">
        <v>0.00122476793369674</v>
      </c>
      <c r="X87" s="0" t="n">
        <v>0.00101268149229971</v>
      </c>
    </row>
    <row r="88">
      <c r="A88" s="5" t="n">
        <v>42496</v>
      </c>
      <c r="B88" s="0" t="n">
        <v>0.000339429481036823</v>
      </c>
      <c r="C88" s="0" t="n">
        <v>-0.00833478607127347</v>
      </c>
      <c r="D88" s="0" t="n">
        <v>0.0131834641015018</v>
      </c>
      <c r="E88" s="0" t="n">
        <v>-0.00896866167237409</v>
      </c>
      <c r="F88" s="0" t="n">
        <v>-0.008540969215846239</v>
      </c>
      <c r="G88" s="0" t="n">
        <v>0.0366570642327093</v>
      </c>
      <c r="H88" s="0" t="n">
        <v>0.00232018453796944</v>
      </c>
      <c r="I88" s="0" t="n">
        <v>-0.0507723657517646</v>
      </c>
      <c r="J88" s="0" t="n">
        <v>0</v>
      </c>
      <c r="K88" s="0" t="n">
        <v>-0.0489228170160068</v>
      </c>
      <c r="L88" s="0" t="n">
        <v>-0.103502699556876</v>
      </c>
      <c r="M88" s="0" t="n">
        <v>0.00712162826937889</v>
      </c>
      <c r="N88" s="0" t="n">
        <v>-0.011630151567529</v>
      </c>
      <c r="O88" s="0" t="n">
        <v>-0.00333978638743737</v>
      </c>
      <c r="P88" s="0" t="n">
        <v>-0.0443058483831593</v>
      </c>
      <c r="Q88" s="0" t="n">
        <v>-0.00187788824296353</v>
      </c>
      <c r="R88" s="0" t="n">
        <v>0.008452487809674549</v>
      </c>
      <c r="S88" s="0" t="n">
        <v>0.00936045885251246</v>
      </c>
      <c r="T88" s="0" t="n">
        <v>-0.000754165096772396</v>
      </c>
      <c r="U88" s="0" t="n">
        <v>0.0115334170687368</v>
      </c>
      <c r="V88" s="0" t="n">
        <v>0.00168343360803557</v>
      </c>
      <c r="W88" s="0" t="n">
        <v>-0.00286005072314621</v>
      </c>
      <c r="X88" s="0" t="n">
        <v>-0.00915107069697063</v>
      </c>
    </row>
    <row r="89">
      <c r="A89" s="5" t="n">
        <v>42499</v>
      </c>
      <c r="B89" s="0" t="n">
        <v>0.0176924658333907</v>
      </c>
      <c r="C89" s="0" t="n">
        <v>0.020216093993203</v>
      </c>
      <c r="D89" s="0" t="n">
        <v>0.0169217780793875</v>
      </c>
      <c r="E89" s="0" t="n">
        <v>0.012682011051738</v>
      </c>
      <c r="F89" s="0" t="n">
        <v>0.0219167782869624</v>
      </c>
      <c r="G89" s="0" t="n">
        <v>-0.0168827436666352</v>
      </c>
      <c r="H89" s="0" t="n">
        <v>0.075844604113914</v>
      </c>
      <c r="I89" s="0" t="n">
        <v>0.0222291535378444</v>
      </c>
      <c r="J89" s="0" t="n">
        <v>0.0126423812209444</v>
      </c>
      <c r="K89" s="0" t="n">
        <v>0.0247605589295863</v>
      </c>
      <c r="L89" s="0" t="n">
        <v>0.0541893840431606</v>
      </c>
      <c r="M89" s="0" t="n">
        <v>-0.000591554530104954</v>
      </c>
      <c r="N89" s="0" t="n">
        <v>0.0182653644979948</v>
      </c>
      <c r="O89" s="0" t="n">
        <v>0.0115135147129548</v>
      </c>
      <c r="P89" s="0" t="n">
        <v>0.0264915903469808</v>
      </c>
      <c r="Q89" s="0" t="n">
        <v>0.0204657667116017</v>
      </c>
      <c r="R89" s="0" t="n">
        <v>0.0033988006337875</v>
      </c>
      <c r="S89" s="0" t="n">
        <v>0.00824746172670298</v>
      </c>
      <c r="T89" s="0" t="n">
        <v>0.0194253567567188</v>
      </c>
      <c r="U89" s="0" t="n">
        <v>0.0146579677111118</v>
      </c>
      <c r="V89" s="0" t="n">
        <v>0.00265979645712199</v>
      </c>
      <c r="W89" s="0" t="n">
        <v>0.0105821183669889</v>
      </c>
      <c r="X89" s="0" t="n">
        <v>0.0202231171034728</v>
      </c>
    </row>
    <row r="90">
      <c r="A90" s="5" t="n">
        <v>42500</v>
      </c>
      <c r="B90" s="0" t="n">
        <v>-0.00682462356241764</v>
      </c>
      <c r="C90" s="0" t="n">
        <v>-0.00460374192576651</v>
      </c>
      <c r="D90" s="0" t="n">
        <v>-0.00744176962818965</v>
      </c>
      <c r="E90" s="0" t="n">
        <v>-0.012682011051738</v>
      </c>
      <c r="F90" s="0" t="n">
        <v>-0.00701759942878155</v>
      </c>
      <c r="G90" s="0" t="n">
        <v>-0.0151540452003464</v>
      </c>
      <c r="H90" s="0" t="n">
        <v>0.00749066479182913</v>
      </c>
      <c r="I90" s="0" t="n">
        <v>0.00481413896104721</v>
      </c>
      <c r="J90" s="0" t="n">
        <v>-0.0126423812209444</v>
      </c>
      <c r="K90" s="0" t="n">
        <v>0.0268112321697584</v>
      </c>
      <c r="L90" s="0" t="n">
        <v>0.0109290078803903</v>
      </c>
      <c r="M90" s="0" t="n">
        <v>-0.0191164542512702</v>
      </c>
      <c r="N90" s="0" t="n">
        <v>-0.0147267767987191</v>
      </c>
      <c r="O90" s="0" t="n">
        <v>-0.00331255406320529</v>
      </c>
      <c r="P90" s="0" t="n">
        <v>0.134348071230575</v>
      </c>
      <c r="Q90" s="0" t="n">
        <v>0.00183996905398764</v>
      </c>
      <c r="R90" s="0" t="n">
        <v>-0.0184538176196618</v>
      </c>
      <c r="S90" s="0" t="n">
        <v>-0.00205544821083458</v>
      </c>
      <c r="T90" s="0" t="n">
        <v>-0.0122837917107303</v>
      </c>
      <c r="U90" s="0" t="n">
        <v>0.000154819848638965</v>
      </c>
      <c r="V90" s="0" t="n">
        <v>-0.0101167258692687</v>
      </c>
      <c r="W90" s="0" t="n">
        <v>-0.00649879793185048</v>
      </c>
      <c r="X90" s="0" t="n">
        <v>-0.00200395899239014</v>
      </c>
    </row>
    <row r="91">
      <c r="A91" s="5" t="n">
        <v>42501</v>
      </c>
      <c r="B91" s="0" t="n">
        <v>-0.000738779796733979</v>
      </c>
      <c r="C91" s="0" t="n">
        <v>-0.0082740985751526</v>
      </c>
      <c r="D91" s="0" t="n">
        <v>-0.00459708541694414</v>
      </c>
      <c r="E91" s="0" t="n">
        <v>0.00224977121962144</v>
      </c>
      <c r="F91" s="0" t="n">
        <v>-0.00423426642650426</v>
      </c>
      <c r="G91" s="0" t="n">
        <v>0.00517243420786428</v>
      </c>
      <c r="H91" s="0" t="n">
        <v>0</v>
      </c>
      <c r="I91" s="0" t="n">
        <v>-0.0391779870134496</v>
      </c>
      <c r="J91" s="0" t="n">
        <v>-0.00510204691887827</v>
      </c>
      <c r="K91" s="0" t="n">
        <v>-0.0571584092021765</v>
      </c>
      <c r="L91" s="0" t="n">
        <v>-0.0354018934313746</v>
      </c>
      <c r="M91" s="0" t="n">
        <v>0.00090425868970323</v>
      </c>
      <c r="N91" s="0" t="n">
        <v>0.00528448023360983</v>
      </c>
      <c r="O91" s="0" t="n">
        <v>0.00939925461769286</v>
      </c>
      <c r="P91" s="0" t="n">
        <v>-0.0245854866430312</v>
      </c>
      <c r="Q91" s="0" t="n">
        <v>0.0109690208521073</v>
      </c>
      <c r="R91" s="0" t="n">
        <v>0.00660252917619974</v>
      </c>
      <c r="S91" s="0" t="n">
        <v>-0.0218417453196577</v>
      </c>
      <c r="T91" s="0" t="n">
        <v>-0.00112425292612661</v>
      </c>
      <c r="U91" s="0" t="n">
        <v>0.00632565622973313</v>
      </c>
      <c r="V91" s="0" t="n">
        <v>0.00661556685167585</v>
      </c>
      <c r="W91" s="0" t="n">
        <v>0.00244198185489885</v>
      </c>
      <c r="X91" s="0" t="n">
        <v>-0.00805643040822623</v>
      </c>
    </row>
    <row r="92">
      <c r="A92" s="5" t="n">
        <v>42502</v>
      </c>
      <c r="B92" s="0" t="n">
        <v>-0.00755328062609539</v>
      </c>
      <c r="C92" s="0" t="n">
        <v>-0.0150680648588181</v>
      </c>
      <c r="D92" s="0" t="n">
        <v>0.00485919590771288</v>
      </c>
      <c r="E92" s="0" t="n">
        <v>-0.00978555879837861</v>
      </c>
      <c r="F92" s="0" t="n">
        <v>-0.0185587214249967</v>
      </c>
      <c r="G92" s="0" t="n">
        <v>-0.000860180104561347</v>
      </c>
      <c r="H92" s="0" t="n">
        <v>-0.0615578344175506</v>
      </c>
      <c r="I92" s="0" t="n">
        <v>-0.00333526568513908</v>
      </c>
      <c r="J92" s="0" t="n">
        <v>-0.00512821135084795</v>
      </c>
      <c r="K92" s="0" t="n">
        <v>0.0518533460687852</v>
      </c>
      <c r="L92" s="0" t="n">
        <v>-0.0723769546490176</v>
      </c>
      <c r="M92" s="0" t="n">
        <v>0</v>
      </c>
      <c r="N92" s="0" t="n">
        <v>-0.0205900047020954</v>
      </c>
      <c r="O92" s="0" t="n">
        <v>-0.0101652135111511</v>
      </c>
      <c r="P92" s="0" t="n">
        <v>-0.0162365390987049</v>
      </c>
      <c r="Q92" s="0" t="n">
        <v>-0.040821954783826</v>
      </c>
      <c r="R92" s="0" t="n">
        <v>-0.0113179831222769</v>
      </c>
      <c r="S92" s="0" t="n">
        <v>0.00105099626290305</v>
      </c>
      <c r="T92" s="0" t="n">
        <v>-0.00526314702308949</v>
      </c>
      <c r="U92" s="0" t="n">
        <v>-0.00679006956310424</v>
      </c>
      <c r="V92" s="0" t="n">
        <v>-0.00140388166766136</v>
      </c>
      <c r="W92" s="0" t="n">
        <v>-0.0197050517921444</v>
      </c>
      <c r="X92" s="0" t="n">
        <v>-0.0224958629937916</v>
      </c>
    </row>
    <row r="93">
      <c r="A93" s="5" t="n">
        <v>42503</v>
      </c>
      <c r="B93" s="0" t="n">
        <v>0.0117102451749824</v>
      </c>
      <c r="C93" s="0" t="n">
        <v>0.0107383327558632</v>
      </c>
      <c r="D93" s="0" t="n">
        <v>0.0253538228148322</v>
      </c>
      <c r="E93" s="0" t="n">
        <v>0.00753578757875716</v>
      </c>
      <c r="F93" s="0" t="n">
        <v>0.00359584637584209</v>
      </c>
      <c r="G93" s="0" t="n">
        <v>-0.00287280549064261</v>
      </c>
      <c r="H93" s="0" t="n">
        <v>0</v>
      </c>
      <c r="I93" s="0" t="n">
        <v>0.0290830211222088</v>
      </c>
      <c r="J93" s="0" t="n">
        <v>0.00512821135084795</v>
      </c>
      <c r="K93" s="0" t="n">
        <v>-0.0324352618170663</v>
      </c>
      <c r="L93" s="0" t="n">
        <v>0.0239245628846787</v>
      </c>
      <c r="M93" s="0" t="n">
        <v>0.00570836587711509</v>
      </c>
      <c r="N93" s="0" t="n">
        <v>-0.00215438026505188</v>
      </c>
      <c r="O93" s="0" t="n">
        <v>0.00331499099729404</v>
      </c>
      <c r="P93" s="0" t="n">
        <v>0.0564141392799695</v>
      </c>
      <c r="Q93" s="0" t="n">
        <v>0.00754719816612925</v>
      </c>
      <c r="R93" s="0" t="n">
        <v>0.008452695391418351</v>
      </c>
      <c r="S93" s="0" t="n">
        <v>0.0187309689582568</v>
      </c>
      <c r="T93" s="0" t="n">
        <v>0.016448917660536</v>
      </c>
      <c r="U93" s="0" t="n">
        <v>0.00278336811290902</v>
      </c>
      <c r="V93" s="0" t="n">
        <v>0.0229160990018852</v>
      </c>
      <c r="W93" s="0" t="n">
        <v>0.000621671942783397</v>
      </c>
      <c r="X93" s="0" t="n">
        <v>0.0113111393882072</v>
      </c>
    </row>
    <row r="94">
      <c r="A94" s="5" t="n">
        <v>42506</v>
      </c>
      <c r="B94" s="0" t="n">
        <v>-0.009816569658857679</v>
      </c>
      <c r="C94" s="0" t="n">
        <v>-0.00837941802968256</v>
      </c>
      <c r="D94" s="0" t="n">
        <v>-0.0245681030505471</v>
      </c>
      <c r="E94" s="0" t="n">
        <v>-0.0136056030166207</v>
      </c>
      <c r="F94" s="0" t="n">
        <v>0.00572656698642548</v>
      </c>
      <c r="G94" s="0" t="n">
        <v>-0.00866804757792749</v>
      </c>
      <c r="H94" s="0" t="n">
        <v>-0.0171530622496665</v>
      </c>
      <c r="I94" s="0" t="n">
        <v>-0.00108227598546228</v>
      </c>
      <c r="J94" s="0" t="n">
        <v>-0.00512821135084795</v>
      </c>
      <c r="K94" s="0" t="n">
        <v>-0.0565121559976777</v>
      </c>
      <c r="L94" s="0" t="n">
        <v>0.0187358932721626</v>
      </c>
      <c r="M94" s="0" t="n">
        <v>-0.010540747787056</v>
      </c>
      <c r="N94" s="0" t="n">
        <v>-0.013388979776316</v>
      </c>
      <c r="O94" s="0" t="n">
        <v>-0.00433724803585544</v>
      </c>
      <c r="P94" s="0" t="n">
        <v>0.0386254542996618</v>
      </c>
      <c r="Q94" s="0" t="n">
        <v>-0.00944297668671501</v>
      </c>
      <c r="R94" s="0" t="n">
        <v>-0.0236147855192605</v>
      </c>
      <c r="S94" s="0" t="n">
        <v>0.00308798330533743</v>
      </c>
      <c r="T94" s="0" t="n">
        <v>-0.0119359753942425</v>
      </c>
      <c r="U94" s="0" t="n">
        <v>-0.013681821728853</v>
      </c>
      <c r="V94" s="0" t="n">
        <v>-0.0224947382340037</v>
      </c>
      <c r="W94" s="0" t="n">
        <v>-0.0135574405270553</v>
      </c>
      <c r="X94" s="0" t="n">
        <v>-0.00102294383446688</v>
      </c>
    </row>
    <row r="95">
      <c r="A95" s="5" t="n">
        <v>42507</v>
      </c>
      <c r="B95" s="0" t="n">
        <v>-0.00446945736426851</v>
      </c>
      <c r="C95" s="0" t="n">
        <v>-0.00337159365358852</v>
      </c>
      <c r="D95" s="0" t="n">
        <v>-0.000785719764285097</v>
      </c>
      <c r="E95" s="0" t="n">
        <v>0.00152087511781928</v>
      </c>
      <c r="F95" s="0" t="n">
        <v>0.0473955849350513</v>
      </c>
      <c r="G95" s="0" t="n">
        <v>-0.00261514474717694</v>
      </c>
      <c r="H95" s="0" t="n">
        <v>-0.00578379160062536</v>
      </c>
      <c r="I95" s="0" t="n">
        <v>-0.08058418190558959</v>
      </c>
      <c r="J95" s="0" t="n">
        <v>0</v>
      </c>
      <c r="K95" s="0" t="n">
        <v>-0.0324991884662491</v>
      </c>
      <c r="L95" s="0" t="n">
        <v>-0.0426604561568413</v>
      </c>
      <c r="M95" s="0" t="n">
        <v>0.00422959531153699</v>
      </c>
      <c r="N95" s="0" t="n">
        <v>-0.0209837113158588</v>
      </c>
      <c r="O95" s="0" t="n">
        <v>-0.0170194885794141</v>
      </c>
      <c r="P95" s="0" t="n">
        <v>0.0107672541647234</v>
      </c>
      <c r="Q95" s="0" t="n">
        <v>-0.024977305442505</v>
      </c>
      <c r="R95" s="0" t="n">
        <v>-0.0057948792054292</v>
      </c>
      <c r="S95" s="0" t="n">
        <v>0.0071685559879806</v>
      </c>
      <c r="T95" s="0" t="n">
        <v>0.00262318667284144</v>
      </c>
      <c r="U95" s="0" t="n">
        <v>-0.014030329787066</v>
      </c>
      <c r="V95" s="0" t="n">
        <v>-0.00168661670962499</v>
      </c>
      <c r="W95" s="0" t="n">
        <v>0.0213990213676855</v>
      </c>
      <c r="X95" s="0" t="n">
        <v>0.0518560332300697</v>
      </c>
    </row>
    <row r="96">
      <c r="A96" s="5" t="n">
        <v>42508</v>
      </c>
      <c r="B96" s="0" t="n">
        <v>-0.0164919997016728</v>
      </c>
      <c r="C96" s="0" t="n">
        <v>-0.00847888657135254</v>
      </c>
      <c r="D96" s="0" t="n">
        <v>-0.0268205704840083</v>
      </c>
      <c r="E96" s="0" t="n">
        <v>-0.00533332272370934</v>
      </c>
      <c r="F96" s="0" t="n">
        <v>-0.0109515024165656</v>
      </c>
      <c r="G96" s="0" t="n">
        <v>0.013295077164324</v>
      </c>
      <c r="H96" s="0" t="n">
        <v>-0.0140189082935986</v>
      </c>
      <c r="I96" s="0" t="n">
        <v>0.0145647775171622</v>
      </c>
      <c r="J96" s="0" t="n">
        <v>0.00512821135084795</v>
      </c>
      <c r="K96" s="0" t="n">
        <v>-0.0398215294259043</v>
      </c>
      <c r="L96" s="0" t="n">
        <v>-0.0024242990980936</v>
      </c>
      <c r="M96" s="0" t="n">
        <v>0.00631115247551905</v>
      </c>
      <c r="N96" s="0" t="n">
        <v>0.00148702317715843</v>
      </c>
      <c r="O96" s="0" t="n">
        <v>-0.000260167417513113</v>
      </c>
      <c r="P96" s="0" t="n">
        <v>0.00932720590265256</v>
      </c>
      <c r="Q96" s="0" t="n">
        <v>0.009680654711425429</v>
      </c>
      <c r="R96" s="0" t="n">
        <v>-0.00563047581095332</v>
      </c>
      <c r="S96" s="0" t="n">
        <v>-0.0071685559879806</v>
      </c>
      <c r="T96" s="0" t="n">
        <v>0.0313158909959465</v>
      </c>
      <c r="U96" s="0" t="n">
        <v>0.00569887240026467</v>
      </c>
      <c r="V96" s="0" t="n">
        <v>-0.0107481520725709</v>
      </c>
      <c r="W96" s="0" t="n">
        <v>-0.00556531273693039</v>
      </c>
      <c r="X96" s="0" t="n">
        <v>-0.00682593523514762</v>
      </c>
    </row>
    <row r="97">
      <c r="A97" s="5" t="n">
        <v>42509</v>
      </c>
      <c r="B97" s="0" t="n">
        <v>0.0158810058335223</v>
      </c>
      <c r="C97" s="0" t="n">
        <v>0.00678885082693137</v>
      </c>
      <c r="D97" s="0" t="n">
        <v>0.00670603393452129</v>
      </c>
      <c r="E97" s="0" t="n">
        <v>0.00761034333734045</v>
      </c>
      <c r="F97" s="0" t="n">
        <v>-0.000688418281361347</v>
      </c>
      <c r="G97" s="0" t="n">
        <v>-0.00604761805358844</v>
      </c>
      <c r="H97" s="0" t="n">
        <v>0.00352319475189455</v>
      </c>
      <c r="I97" s="0" t="n">
        <v>0.00461627592165747</v>
      </c>
      <c r="J97" s="0" t="n">
        <v>0.00764334188394455</v>
      </c>
      <c r="K97" s="0" t="n">
        <v>0.0368139574136603</v>
      </c>
      <c r="L97" s="0" t="n">
        <v>-0.0345713114958332</v>
      </c>
      <c r="M97" s="0" t="n">
        <v>0.0107271766325629</v>
      </c>
      <c r="N97" s="0" t="n">
        <v>0.00518709539596207</v>
      </c>
      <c r="O97" s="0" t="n">
        <v>0.000260167417513113</v>
      </c>
      <c r="P97" s="0" t="n">
        <v>-0.0160431094990922</v>
      </c>
      <c r="Q97" s="0" t="n">
        <v>0.00576365349844221</v>
      </c>
      <c r="R97" s="0" t="n">
        <v>-0.014869770446845</v>
      </c>
      <c r="S97" s="0" t="n">
        <v>0.0213531293022355</v>
      </c>
      <c r="T97" s="0" t="n">
        <v>0.0144042686979308</v>
      </c>
      <c r="U97" s="0" t="n">
        <v>-0.00617529311292663</v>
      </c>
      <c r="V97" s="0" t="n">
        <v>0.00623665829816388</v>
      </c>
      <c r="W97" s="0" t="n">
        <v>0.00761867018435546</v>
      </c>
      <c r="X97" s="0" t="n">
        <v>0.0009779243127305819</v>
      </c>
    </row>
    <row r="98">
      <c r="A98" s="5" t="n">
        <v>42510</v>
      </c>
      <c r="B98" s="0" t="n">
        <v>-0.00326505779868213</v>
      </c>
      <c r="C98" s="0" t="n">
        <v>-0.00237083188352382</v>
      </c>
      <c r="D98" s="0" t="n">
        <v>-0.009805918194371261</v>
      </c>
      <c r="E98" s="0" t="n">
        <v>-0.00455923788528522</v>
      </c>
      <c r="F98" s="0" t="n">
        <v>-0.00344948182572046</v>
      </c>
      <c r="G98" s="0" t="n">
        <v>0.00518584596136673</v>
      </c>
      <c r="H98" s="0" t="n">
        <v>-0.017741430499399</v>
      </c>
      <c r="I98" s="0" t="n">
        <v>-0.000575884177414831</v>
      </c>
      <c r="J98" s="0" t="n">
        <v>-0.00764334188394455</v>
      </c>
      <c r="K98" s="0" t="n">
        <v>-0.0060422366587356</v>
      </c>
      <c r="L98" s="0" t="n">
        <v>0.00501253703121107</v>
      </c>
      <c r="M98" s="0" t="n">
        <v>-0.00207694807430725</v>
      </c>
      <c r="N98" s="0" t="n">
        <v>-0.00555864393807814</v>
      </c>
      <c r="O98" s="0" t="n">
        <v>-0.00338677065524928</v>
      </c>
      <c r="P98" s="0" t="n">
        <v>-0.0135687160372643</v>
      </c>
      <c r="Q98" s="0" t="n">
        <v>-0.0232568406705926</v>
      </c>
      <c r="R98" s="0" t="n">
        <v>-0.0140740377891983</v>
      </c>
      <c r="S98" s="0" t="n">
        <v>-0.00100646966373441</v>
      </c>
      <c r="T98" s="0" t="n">
        <v>-0.00107310972124974</v>
      </c>
      <c r="U98" s="0" t="n">
        <v>0.00443744931475631</v>
      </c>
      <c r="V98" s="0" t="n">
        <v>-0.00524184981486364</v>
      </c>
      <c r="W98" s="0" t="n">
        <v>-0.00102615168920428</v>
      </c>
      <c r="X98" s="0" t="n">
        <v>-0.00293683362562369</v>
      </c>
    </row>
    <row r="99">
      <c r="A99" s="5" t="n">
        <v>42513</v>
      </c>
      <c r="B99" s="0" t="n">
        <v>0.010437896559349</v>
      </c>
      <c r="C99" s="0" t="n">
        <v>0.0121335961897219</v>
      </c>
      <c r="D99" s="0" t="n">
        <v>0.0122091277712419</v>
      </c>
      <c r="E99" s="0" t="n">
        <v>0.0121121728241098</v>
      </c>
      <c r="F99" s="0" t="n">
        <v>0.0144084848775576</v>
      </c>
      <c r="G99" s="0" t="n">
        <v>0.0204785661545794</v>
      </c>
      <c r="H99" s="0" t="n">
        <v>0.00119260486607686</v>
      </c>
      <c r="I99" s="0" t="n">
        <v>-0.0568874328209005</v>
      </c>
      <c r="J99" s="0" t="n">
        <v>0.0127066389506063</v>
      </c>
      <c r="K99" s="0" t="n">
        <v>0.0953101551743069</v>
      </c>
      <c r="L99" s="0" t="n">
        <v>-0.0227569651710337</v>
      </c>
      <c r="M99" s="0" t="n">
        <v>0.0126901607516849</v>
      </c>
      <c r="N99" s="0" t="n">
        <v>0.0107190422826857</v>
      </c>
      <c r="O99" s="0" t="n">
        <v>0.00468629615495652</v>
      </c>
      <c r="P99" s="0" t="n">
        <v>-0.008230491061099739</v>
      </c>
      <c r="Q99" s="0" t="n">
        <v>0.0174931871721504</v>
      </c>
      <c r="R99" s="0" t="n">
        <v>-0.00706068374264479</v>
      </c>
      <c r="S99" s="0" t="n">
        <v>0.00802410740265946</v>
      </c>
      <c r="T99" s="0" t="n">
        <v>0.018791504228472</v>
      </c>
      <c r="U99" s="0" t="n">
        <v>0.008659413723580469</v>
      </c>
      <c r="V99" s="0" t="n">
        <v>0.0117208402799349</v>
      </c>
      <c r="W99" s="0" t="n">
        <v>0.0102145932505099</v>
      </c>
      <c r="X99" s="0" t="n">
        <v>0.0174931871721506</v>
      </c>
    </row>
    <row r="100">
      <c r="A100" s="5" t="n">
        <v>42514</v>
      </c>
      <c r="B100" s="0" t="n">
        <v>0.0225343194059259</v>
      </c>
      <c r="C100" s="0" t="n">
        <v>0.00800801522444905</v>
      </c>
      <c r="D100" s="0" t="n">
        <v>-0.00601883649295054</v>
      </c>
      <c r="E100" s="0" t="n">
        <v>0.0171582346182748</v>
      </c>
      <c r="F100" s="0" t="n">
        <v>0.0162165559142395</v>
      </c>
      <c r="G100" s="0" t="n">
        <v>-0.0164636656098151</v>
      </c>
      <c r="H100" s="0" t="n">
        <v>-0.00597729848639216</v>
      </c>
      <c r="I100" s="0" t="n">
        <v>0.0229064303897272</v>
      </c>
      <c r="J100" s="0" t="n">
        <v>0.0100503262204274</v>
      </c>
      <c r="K100" s="0" t="n">
        <v>0</v>
      </c>
      <c r="L100" s="0" t="n">
        <v>0.0401056456828883</v>
      </c>
      <c r="M100" s="0" t="n">
        <v>0.00730463470455822</v>
      </c>
      <c r="N100" s="0" t="n">
        <v>-0.000735581400244544</v>
      </c>
      <c r="O100" s="0" t="n">
        <v>0.00311200804958033</v>
      </c>
      <c r="P100" s="0" t="n">
        <v>0.0378423165974564</v>
      </c>
      <c r="Q100" s="0" t="n">
        <v>0.0152966507310796</v>
      </c>
      <c r="R100" s="0" t="n">
        <v>0.00174427580338853</v>
      </c>
      <c r="S100" s="0" t="n">
        <v>0.00498259019054669</v>
      </c>
      <c r="T100" s="0" t="n">
        <v>0.0156825227569337</v>
      </c>
      <c r="U100" s="0" t="n">
        <v>0.00203582020590964</v>
      </c>
      <c r="V100" s="0" t="n">
        <v>-0.00760997039868804</v>
      </c>
      <c r="W100" s="0" t="n">
        <v>0.0260796972761525</v>
      </c>
      <c r="X100" s="0" t="n">
        <v>0.0228581162749326</v>
      </c>
    </row>
    <row r="101">
      <c r="A101" s="5" t="n">
        <v>42515</v>
      </c>
      <c r="B101" s="0" t="n">
        <v>0.00493211132289328</v>
      </c>
      <c r="C101" s="0" t="n">
        <v>-0.00232902383276512</v>
      </c>
      <c r="D101" s="0" t="n">
        <v>0.0130615710528472</v>
      </c>
      <c r="E101" s="0" t="n">
        <v>-0.00444777742239654</v>
      </c>
      <c r="F101" s="0" t="n">
        <v>-0.0148551190796202</v>
      </c>
      <c r="G101" s="0" t="n">
        <v>0.0184324384078373</v>
      </c>
      <c r="H101" s="0" t="n">
        <v>0.00954660292032216</v>
      </c>
      <c r="I101" s="0" t="n">
        <v>0.00712585739732407</v>
      </c>
      <c r="J101" s="0" t="n">
        <v>-0.00501253703121107</v>
      </c>
      <c r="K101" s="0" t="n">
        <v>0.0244910286155601</v>
      </c>
      <c r="L101" s="0" t="n">
        <v>-0.00246008211181303</v>
      </c>
      <c r="M101" s="0" t="n">
        <v>0.00232631196724497</v>
      </c>
      <c r="N101" s="0" t="n">
        <v>-0.0204430516396958</v>
      </c>
      <c r="O101" s="0" t="n">
        <v>0.00568039800843234</v>
      </c>
      <c r="P101" s="0" t="n">
        <v>0.0157897868718253</v>
      </c>
      <c r="Q101" s="0" t="n">
        <v>0.00944297668671501</v>
      </c>
      <c r="R101" s="0" t="n">
        <v>-0.00616974814214277</v>
      </c>
      <c r="S101" s="0" t="n">
        <v>0.00890646152157748</v>
      </c>
      <c r="T101" s="0" t="n">
        <v>-0.000691818009925349</v>
      </c>
      <c r="U101" s="0" t="n">
        <v>0.00125081054769005</v>
      </c>
      <c r="V101" s="0" t="n">
        <v>0.000565703789479066</v>
      </c>
      <c r="W101" s="0" t="n">
        <v>0.000989594092397627</v>
      </c>
      <c r="X101" s="0" t="n">
        <v>-0.0151805427540967</v>
      </c>
    </row>
    <row r="102">
      <c r="A102" s="5" t="n">
        <v>42516</v>
      </c>
      <c r="B102" s="0" t="n">
        <v>0.00262050659710499</v>
      </c>
      <c r="C102" s="0" t="n">
        <v>0.00332555641175469</v>
      </c>
      <c r="D102" s="0" t="n">
        <v>-0.00704273455989667</v>
      </c>
      <c r="E102" s="0" t="n">
        <v>-0.000743235183863433</v>
      </c>
      <c r="F102" s="0" t="n">
        <v>0.0121705562863381</v>
      </c>
      <c r="G102" s="0" t="n">
        <v>0.00336603215903208</v>
      </c>
      <c r="H102" s="0" t="n">
        <v>-0.021609463920776</v>
      </c>
      <c r="I102" s="0" t="n">
        <v>-0.0179108810142532</v>
      </c>
      <c r="J102" s="0" t="n">
        <v>-0.00503778918921637</v>
      </c>
      <c r="K102" s="0" t="n">
        <v>-0.00539085946106132</v>
      </c>
      <c r="L102" s="0" t="n">
        <v>-0.0199011354312526</v>
      </c>
      <c r="M102" s="0" t="n">
        <v>0.00521438906828297</v>
      </c>
      <c r="N102" s="0" t="n">
        <v>0.00673656401652245</v>
      </c>
      <c r="O102" s="0" t="n">
        <v>0.00385459869140181</v>
      </c>
      <c r="P102" s="0" t="n">
        <v>-0.0026143781296879</v>
      </c>
      <c r="Q102" s="0" t="n">
        <v>0.00562320746149835</v>
      </c>
      <c r="R102" s="0" t="n">
        <v>-0.000103094609070097</v>
      </c>
      <c r="S102" s="0" t="n">
        <v>-0.00791299147954083</v>
      </c>
      <c r="T102" s="0" t="n">
        <v>0.000691818009925349</v>
      </c>
      <c r="U102" s="0" t="n">
        <v>-0.000625209707979301</v>
      </c>
      <c r="V102" s="0" t="n">
        <v>0.008166677294552111</v>
      </c>
      <c r="W102" s="0" t="n">
        <v>0.00591716211340509</v>
      </c>
      <c r="X102" s="0" t="n">
        <v>0.0114069569352901</v>
      </c>
    </row>
    <row r="103">
      <c r="A103" s="5" t="n">
        <v>42517</v>
      </c>
      <c r="B103" s="0" t="n">
        <v>0.00587130103291855</v>
      </c>
      <c r="C103" s="0" t="n">
        <v>0.00364543616349743</v>
      </c>
      <c r="D103" s="0" t="n">
        <v>0.00053327446167728</v>
      </c>
      <c r="E103" s="0" t="n">
        <v>0.00296956138606896</v>
      </c>
      <c r="F103" s="0" t="n">
        <v>-0.00606676295240005</v>
      </c>
      <c r="G103" s="0" t="n">
        <v>0.00139916739980705</v>
      </c>
      <c r="H103" s="0" t="n">
        <v>-0.0283095554239733</v>
      </c>
      <c r="I103" s="0" t="n">
        <v>0.0131659180585748</v>
      </c>
      <c r="J103" s="0" t="n">
        <v>0.0150378629868181</v>
      </c>
      <c r="K103" s="0" t="n">
        <v>0.016086090623167</v>
      </c>
      <c r="L103" s="0" t="n">
        <v>-0.0126423812209444</v>
      </c>
      <c r="M103" s="0" t="n">
        <v>0.00259703365716656</v>
      </c>
      <c r="N103" s="0" t="n">
        <v>0.0114965616896007</v>
      </c>
      <c r="O103" s="0" t="n">
        <v>0.00409521536885382</v>
      </c>
      <c r="P103" s="0" t="n">
        <v>0.0410314189459031</v>
      </c>
      <c r="Q103" s="0" t="n">
        <v>-0.0169654728189523</v>
      </c>
      <c r="R103" s="0" t="n">
        <v>-0.00506754789103425</v>
      </c>
      <c r="S103" s="0" t="n">
        <v>0.0157638587913218</v>
      </c>
      <c r="T103" s="0" t="n">
        <v>0.00448505710627644</v>
      </c>
      <c r="U103" s="0" t="n">
        <v>-0.00501567977279648</v>
      </c>
      <c r="V103" s="0" t="n">
        <v>0.00545416923901243</v>
      </c>
      <c r="W103" s="0" t="n">
        <v>-0.00255975829065624</v>
      </c>
      <c r="X103" s="0" t="n">
        <v>-0.0123634590603254</v>
      </c>
    </row>
    <row r="104">
      <c r="A104" s="5" t="n">
        <v>42521</v>
      </c>
      <c r="B104" s="0" t="n">
        <v>-0.00803276800149976</v>
      </c>
      <c r="C104" s="0" t="n">
        <v>-0.00397748140018583</v>
      </c>
      <c r="D104" s="0" t="n">
        <v>-0.00120019134441662</v>
      </c>
      <c r="E104" s="0" t="n">
        <v>-0.0285733816651312</v>
      </c>
      <c r="F104" s="0" t="n">
        <v>0.00472174204232578</v>
      </c>
      <c r="G104" s="0" t="n">
        <v>0.0182881206550629</v>
      </c>
      <c r="H104" s="0" t="n">
        <v>0.019778128555437</v>
      </c>
      <c r="I104" s="0" t="n">
        <v>0.000594367268327289</v>
      </c>
      <c r="J104" s="0" t="n">
        <v>0</v>
      </c>
      <c r="K104" s="0" t="n">
        <v>0.0890041378325627</v>
      </c>
      <c r="L104" s="0" t="n">
        <v>0.0251269851524804</v>
      </c>
      <c r="M104" s="0" t="n">
        <v>0.0014398630712602</v>
      </c>
      <c r="N104" s="0" t="n">
        <v>-0.00814522159061592</v>
      </c>
      <c r="O104" s="0" t="n">
        <v>-0.0107859797047025</v>
      </c>
      <c r="P104" s="0" t="n">
        <v>-0.00125709997419143</v>
      </c>
      <c r="Q104" s="0" t="n">
        <v>0.0225573251819644</v>
      </c>
      <c r="R104" s="0" t="n">
        <v>0.00134699169342855</v>
      </c>
      <c r="S104" s="0" t="n">
        <v>0.00195317036806486</v>
      </c>
      <c r="T104" s="0" t="n">
        <v>-0.00517687511620179</v>
      </c>
      <c r="U104" s="0" t="n">
        <v>0.0110947164510575</v>
      </c>
      <c r="V104" s="0" t="n">
        <v>0.0023682646536205</v>
      </c>
      <c r="W104" s="0" t="n">
        <v>0.00550529852786496</v>
      </c>
      <c r="X104" s="0" t="n">
        <v>0.00572524650770933</v>
      </c>
    </row>
    <row r="105">
      <c r="A105" s="5" t="n">
        <v>42522</v>
      </c>
      <c r="B105" s="0" t="n">
        <v>0.00647043537754576</v>
      </c>
      <c r="C105" s="0" t="n">
        <v>-0.00199472211458973</v>
      </c>
      <c r="D105" s="0" t="n">
        <v>0.00691487645985944</v>
      </c>
      <c r="E105" s="0" t="n">
        <v>0.00759884983421343</v>
      </c>
      <c r="F105" s="0" t="n">
        <v>0.00536913543208372</v>
      </c>
      <c r="G105" s="0" t="n">
        <v>0.000549010682010742</v>
      </c>
      <c r="H105" s="0" t="n">
        <v>0.0157865908473104</v>
      </c>
      <c r="I105" s="0" t="n">
        <v>0.00710487516813218</v>
      </c>
      <c r="J105" s="0" t="n">
        <v>-0.0024905994900406</v>
      </c>
      <c r="K105" s="0" t="n">
        <v>-0.0371790411456141</v>
      </c>
      <c r="L105" s="0" t="n">
        <v>0.0293419292024952</v>
      </c>
      <c r="M105" s="0" t="n">
        <v>0.00344725804540635</v>
      </c>
      <c r="N105" s="0" t="n">
        <v>0.00814522159061592</v>
      </c>
      <c r="O105" s="0" t="n">
        <v>0.00283616564444688</v>
      </c>
      <c r="P105" s="0" t="n">
        <v>0.0137417039057274</v>
      </c>
      <c r="Q105" s="0" t="n">
        <v>-0.00372439545312497</v>
      </c>
      <c r="R105" s="0" t="n">
        <v>-0.00186548195921965</v>
      </c>
      <c r="S105" s="0" t="n">
        <v>0.00292252846703666</v>
      </c>
      <c r="T105" s="0" t="n">
        <v>0.00620906812298827</v>
      </c>
      <c r="U105" s="0" t="n">
        <v>-0.00062180814627144</v>
      </c>
      <c r="V105" s="0" t="n">
        <v>0.0156004714520667</v>
      </c>
      <c r="W105" s="0" t="n">
        <v>0.00215455199778302</v>
      </c>
      <c r="X105" s="0" t="n">
        <v>0.0047461113481555</v>
      </c>
    </row>
    <row r="106">
      <c r="A106" s="5" t="n">
        <v>42523</v>
      </c>
      <c r="B106" s="0" t="n">
        <v>-0.00398186244682552</v>
      </c>
      <c r="C106" s="0" t="n">
        <v>-0.00366724642647753</v>
      </c>
      <c r="D106" s="0" t="n">
        <v>-0.00451583094094587</v>
      </c>
      <c r="E106" s="0" t="n">
        <v>-0.0129525678488429</v>
      </c>
      <c r="F106" s="0" t="n">
        <v>-0.0354260144702318</v>
      </c>
      <c r="G106" s="0" t="n">
        <v>-0.00522765340471131</v>
      </c>
      <c r="H106" s="0" t="n">
        <v>0.0179109097393828</v>
      </c>
      <c r="I106" s="0" t="n">
        <v>0.0744450088637886</v>
      </c>
      <c r="J106" s="0" t="n">
        <v>-0.00249693727635014</v>
      </c>
      <c r="K106" s="0" t="n">
        <v>-0.038614798794878</v>
      </c>
      <c r="L106" s="0" t="n">
        <v>0.105119528747755</v>
      </c>
      <c r="M106" s="0" t="n">
        <v>-0.00517540866206855</v>
      </c>
      <c r="N106" s="0" t="n">
        <v>0.008445048798316529</v>
      </c>
      <c r="O106" s="0" t="n">
        <v>0.00948114560315582</v>
      </c>
      <c r="P106" s="0" t="n">
        <v>0.0012398358856136</v>
      </c>
      <c r="Q106" s="0" t="n">
        <v>0.0294138568415482</v>
      </c>
      <c r="R106" s="0" t="n">
        <v>-0.00166116797560444</v>
      </c>
      <c r="S106" s="0" t="n">
        <v>-0.0107580164891225</v>
      </c>
      <c r="T106" s="0" t="n">
        <v>0.00171789211967787</v>
      </c>
      <c r="U106" s="0" t="n">
        <v>0.015276980833125</v>
      </c>
      <c r="V106" s="0" t="n">
        <v>-0.00150799412786728</v>
      </c>
      <c r="W106" s="0" t="n">
        <v>-0.0181644084171122</v>
      </c>
      <c r="X106" s="0" t="n">
        <v>-0.0191211143224703</v>
      </c>
    </row>
    <row r="107">
      <c r="A107" s="5" t="n">
        <v>42524</v>
      </c>
      <c r="B107" s="0" t="n">
        <v>-0.00104707597201869</v>
      </c>
      <c r="C107" s="0" t="n">
        <v>0.00599401377775565</v>
      </c>
      <c r="D107" s="0" t="n">
        <v>-0.00373441898922699</v>
      </c>
      <c r="E107" s="0" t="n">
        <v>0.0106789986556954</v>
      </c>
      <c r="F107" s="0" t="n">
        <v>0.0069109037754278</v>
      </c>
      <c r="G107" s="0" t="n">
        <v>-0.00636502884427647</v>
      </c>
      <c r="H107" s="0" t="n">
        <v>-0.001184131658015</v>
      </c>
      <c r="I107" s="0" t="n">
        <v>-0.00439078216574495</v>
      </c>
      <c r="J107" s="0" t="n">
        <v>-0.00250312782795725</v>
      </c>
      <c r="K107" s="0" t="n">
        <v>0.0684677486636666</v>
      </c>
      <c r="L107" s="0" t="n">
        <v>0.0569173573455967</v>
      </c>
      <c r="M107" s="0" t="n">
        <v>0.00689464616138302</v>
      </c>
      <c r="N107" s="0" t="n">
        <v>-0.00733951048620085</v>
      </c>
      <c r="O107" s="0" t="n">
        <v>0.00331002388470169</v>
      </c>
      <c r="P107" s="0" t="n">
        <v>0.0376944836846511</v>
      </c>
      <c r="Q107" s="0" t="n">
        <v>0.00361663703979497</v>
      </c>
      <c r="R107" s="0" t="n">
        <v>0.000727080753800457</v>
      </c>
      <c r="S107" s="0" t="n">
        <v>-0.0158576013698841</v>
      </c>
      <c r="T107" s="0" t="n">
        <v>-0.00103035487503611</v>
      </c>
      <c r="U107" s="0" t="n">
        <v>-0.00153266089030168</v>
      </c>
      <c r="V107" s="0" t="n">
        <v>0.0190249184668864</v>
      </c>
      <c r="W107" s="0" t="n">
        <v>0.0059595538093764</v>
      </c>
      <c r="X107" s="0" t="n">
        <v>0.016276097094948</v>
      </c>
    </row>
    <row r="108">
      <c r="A108" s="5" t="n">
        <v>42527</v>
      </c>
      <c r="B108" s="0" t="n">
        <v>0.00392084478181153</v>
      </c>
      <c r="C108" s="0" t="n">
        <v>0.000663825708479226</v>
      </c>
      <c r="D108" s="0" t="n">
        <v>-0.00187240118812059</v>
      </c>
      <c r="E108" s="0" t="n">
        <v>0.0150605110243944</v>
      </c>
      <c r="F108" s="0" t="n">
        <v>-0.0117770721341869</v>
      </c>
      <c r="G108" s="0" t="n">
        <v>0.00746789399665992</v>
      </c>
      <c r="H108" s="0" t="n">
        <v>0.0291906943897994</v>
      </c>
      <c r="I108" s="0" t="n">
        <v>-0.00717646302490404</v>
      </c>
      <c r="J108" s="0" t="n">
        <v>0</v>
      </c>
      <c r="K108" s="0" t="n">
        <v>0.0024480230724263</v>
      </c>
      <c r="L108" s="0" t="n">
        <v>-0.016529285665789</v>
      </c>
      <c r="M108" s="0" t="n">
        <v>-0.00257991119154432</v>
      </c>
      <c r="N108" s="0" t="n">
        <v>0.00514333593884108</v>
      </c>
      <c r="O108" s="0" t="n">
        <v>0.0113738306082087</v>
      </c>
      <c r="P108" s="0" t="n">
        <v>0.0317113486928146</v>
      </c>
      <c r="Q108" s="0" t="n">
        <v>-0.00724640163503198</v>
      </c>
      <c r="R108" s="0" t="n">
        <v>0.003213657329586</v>
      </c>
      <c r="S108" s="0" t="n">
        <v>0.008950845424045889</v>
      </c>
      <c r="T108" s="0" t="n">
        <v>-0.00103148321355028</v>
      </c>
      <c r="U108" s="0" t="n">
        <v>-0.00153489635098225</v>
      </c>
      <c r="V108" s="0" t="n">
        <v>-0.00512817914238983</v>
      </c>
      <c r="W108" s="0" t="n">
        <v>-0.00436684330378867</v>
      </c>
      <c r="X108" s="0" t="n">
        <v>-0.0114614328179634</v>
      </c>
    </row>
    <row r="109">
      <c r="A109" s="5" t="n">
        <v>42528</v>
      </c>
      <c r="B109" s="0" t="n">
        <v>0.00436012902341076</v>
      </c>
      <c r="C109" s="0" t="n">
        <v>0.00562443729008288</v>
      </c>
      <c r="D109" s="0" t="n">
        <v>0.00280739056132706</v>
      </c>
      <c r="E109" s="0" t="n">
        <v>-0.00149592084252692</v>
      </c>
      <c r="F109" s="0" t="n">
        <v>0.00555942514559593</v>
      </c>
      <c r="G109" s="0" t="n">
        <v>0.00631782180830242</v>
      </c>
      <c r="H109" s="0" t="n">
        <v>0.0394861965677146</v>
      </c>
      <c r="I109" s="0" t="n">
        <v>0.0192050013721138</v>
      </c>
      <c r="J109" s="0" t="n">
        <v>-0.00250940920325382</v>
      </c>
      <c r="K109" s="0" t="n">
        <v>0.0265395012788415</v>
      </c>
      <c r="L109" s="0" t="n">
        <v>0.0507723234062733</v>
      </c>
      <c r="M109" s="0" t="n">
        <v>0.0116993728943</v>
      </c>
      <c r="N109" s="0" t="n">
        <v>-0.009203083235312709</v>
      </c>
      <c r="O109" s="0" t="n">
        <v>0.00175768264921316</v>
      </c>
      <c r="P109" s="0" t="n">
        <v>0.021727617067385</v>
      </c>
      <c r="Q109" s="0" t="n">
        <v>0.0322031102725608</v>
      </c>
      <c r="R109" s="0" t="n">
        <v>0.0173399389921788</v>
      </c>
      <c r="S109" s="0" t="n">
        <v>0.007889579483857821</v>
      </c>
      <c r="T109" s="0" t="n">
        <v>0.00240507574874726</v>
      </c>
      <c r="U109" s="0" t="n">
        <v>0.007956043613299711</v>
      </c>
      <c r="V109" s="0" t="n">
        <v>-0.00678797033662981</v>
      </c>
      <c r="W109" s="0" t="n">
        <v>-0.00538548138243832</v>
      </c>
      <c r="X109" s="0" t="n">
        <v>-0.00578031140070312</v>
      </c>
    </row>
    <row r="110">
      <c r="A110" s="5" t="n">
        <v>42529</v>
      </c>
      <c r="B110" s="0" t="n">
        <v>-0.0037733558173949</v>
      </c>
      <c r="C110" s="0" t="n">
        <v>-0.00231209946113208</v>
      </c>
      <c r="D110" s="0" t="n">
        <v>-0.00642835137458863</v>
      </c>
      <c r="E110" s="0" t="n">
        <v>-0.00751314039189843</v>
      </c>
      <c r="F110" s="0" t="n">
        <v>-0.0167719323338277</v>
      </c>
      <c r="G110" s="0" t="n">
        <v>0.00164162475751838</v>
      </c>
      <c r="H110" s="0" t="n">
        <v>-0.0122427677228074</v>
      </c>
      <c r="I110" s="0" t="n">
        <v>0.0151028052548403</v>
      </c>
      <c r="J110" s="0" t="n">
        <v>0.00250940920325382</v>
      </c>
      <c r="K110" s="0" t="n">
        <v>-0.0563183621346073</v>
      </c>
      <c r="L110" s="0" t="n">
        <v>-0.08683138824114441</v>
      </c>
      <c r="M110" s="0" t="n">
        <v>0.00170071957442718</v>
      </c>
      <c r="N110" s="0" t="n">
        <v>-0.00148041902869344</v>
      </c>
      <c r="O110" s="0" t="n">
        <v>0.00575360036351835</v>
      </c>
      <c r="P110" s="0" t="n">
        <v>-0.0182653300798669</v>
      </c>
      <c r="Q110" s="0" t="n">
        <v>-0.00706716067378554</v>
      </c>
      <c r="R110" s="0" t="n">
        <v>-0.0135178681648939</v>
      </c>
      <c r="S110" s="0" t="n">
        <v>0.00782782095044343</v>
      </c>
      <c r="T110" s="0" t="n">
        <v>0</v>
      </c>
      <c r="U110" s="0" t="n">
        <v>0.00365071682680451</v>
      </c>
      <c r="V110" s="0" t="n">
        <v>-0.009306215685835889</v>
      </c>
      <c r="W110" s="0" t="n">
        <v>-0.0173496507557797</v>
      </c>
      <c r="X110" s="0" t="n">
        <v>-0.0175443390060245</v>
      </c>
    </row>
    <row r="111">
      <c r="A111" s="5" t="n">
        <v>42530</v>
      </c>
      <c r="B111" s="0" t="n">
        <v>-0.00686750516073253</v>
      </c>
      <c r="C111" s="0" t="n">
        <v>-0.00663574974566127</v>
      </c>
      <c r="D111" s="0" t="n">
        <v>-0.00646994258303745</v>
      </c>
      <c r="E111" s="0" t="n">
        <v>-0.0121397426918581</v>
      </c>
      <c r="F111" s="0" t="n">
        <v>-0.0256973214405418</v>
      </c>
      <c r="G111" s="0" t="n">
        <v>0.00626789167959351</v>
      </c>
      <c r="H111" s="0" t="n">
        <v>-0.0623759058080026</v>
      </c>
      <c r="I111" s="0" t="n">
        <v>-0.033753930720187</v>
      </c>
      <c r="J111" s="0" t="n">
        <v>-0.0176995600268212</v>
      </c>
      <c r="K111" s="0" t="n">
        <v>-0.00758542435659759</v>
      </c>
      <c r="L111" s="0" t="n">
        <v>-0.0486822379570779</v>
      </c>
      <c r="M111" s="0" t="n">
        <v>-0.000566585202558478</v>
      </c>
      <c r="N111" s="0" t="n">
        <v>-0.00148261391895276</v>
      </c>
      <c r="O111" s="0" t="n">
        <v>0.00596872382652868</v>
      </c>
      <c r="P111" s="0" t="n">
        <v>-0.07534944870651469</v>
      </c>
      <c r="Q111" s="0" t="n">
        <v>-0.0416349771835964</v>
      </c>
      <c r="R111" s="0" t="n">
        <v>-0.00330476084496389</v>
      </c>
      <c r="S111" s="0" t="n">
        <v>-0.0438317707613835</v>
      </c>
      <c r="T111" s="0" t="n">
        <v>-0.00378197813206782</v>
      </c>
      <c r="U111" s="0" t="n">
        <v>0.00409117393787106</v>
      </c>
      <c r="V111" s="0" t="n">
        <v>-0.00110058930311218</v>
      </c>
      <c r="W111" s="0" t="n">
        <v>-0.0164139762404738</v>
      </c>
      <c r="X111" s="0" t="n">
        <v>-0.021869685561163</v>
      </c>
    </row>
    <row r="112">
      <c r="A112" s="5" t="n">
        <v>42531</v>
      </c>
      <c r="B112" s="0" t="n">
        <v>-0.00717932515446406</v>
      </c>
      <c r="C112" s="0" t="n">
        <v>-0.00701523870705278</v>
      </c>
      <c r="D112" s="0" t="n">
        <v>-0.0012177302009082</v>
      </c>
      <c r="E112" s="0" t="n">
        <v>-0.00920258331783552</v>
      </c>
      <c r="F112" s="0" t="n">
        <v>-0.0167703193688617</v>
      </c>
      <c r="G112" s="0" t="n">
        <v>-0.0183693164229317</v>
      </c>
      <c r="H112" s="0" t="n">
        <v>-0.00597729848639216</v>
      </c>
      <c r="I112" s="0" t="n">
        <v>-0.000553875906767142</v>
      </c>
      <c r="J112" s="0" t="n">
        <v>-0.00511509567632395</v>
      </c>
      <c r="K112" s="0" t="n">
        <v>-0.0361796533926428</v>
      </c>
      <c r="L112" s="0" t="n">
        <v>-0.009111671938679899</v>
      </c>
      <c r="M112" s="0" t="n">
        <v>-0.0157078545020823</v>
      </c>
      <c r="N112" s="0" t="n">
        <v>-0.00259980450269026</v>
      </c>
      <c r="O112" s="0" t="n">
        <v>-0.00347747999593694</v>
      </c>
      <c r="P112" s="0" t="n">
        <v>-0.00623057344440791</v>
      </c>
      <c r="Q112" s="0" t="n">
        <v>0</v>
      </c>
      <c r="R112" s="0" t="n">
        <v>-0.00924921536562362</v>
      </c>
      <c r="S112" s="0" t="n">
        <v>-0.0112648050575496</v>
      </c>
      <c r="T112" s="0" t="n">
        <v>-0.00656648398191039</v>
      </c>
      <c r="U112" s="0" t="n">
        <v>-0.0196998197651945</v>
      </c>
      <c r="V112" s="0" t="n">
        <v>-0.00593637826756765</v>
      </c>
      <c r="W112" s="0" t="n">
        <v>-0.00768353747070049</v>
      </c>
      <c r="X112" s="0" t="n">
        <v>-0.00908639820637668</v>
      </c>
    </row>
    <row r="113">
      <c r="A113" s="5" t="n">
        <v>42534</v>
      </c>
      <c r="B113" s="0" t="n">
        <v>-0.00145532355756738</v>
      </c>
      <c r="C113" s="0" t="n">
        <v>0.020242929966618</v>
      </c>
      <c r="D113" s="0" t="n">
        <v>0.00620867271129732</v>
      </c>
      <c r="E113" s="0" t="n">
        <v>-0.0108443658634893</v>
      </c>
      <c r="F113" s="0" t="n">
        <v>-0.0253178187724607</v>
      </c>
      <c r="G113" s="0" t="n">
        <v>-0.0105703649072284</v>
      </c>
      <c r="H113" s="0" t="n">
        <v>-0.0193710473035231</v>
      </c>
      <c r="I113" s="0" t="n">
        <v>-0.017887548243253</v>
      </c>
      <c r="J113" s="0" t="n">
        <v>0.00256081836006871</v>
      </c>
      <c r="K113" s="0" t="n">
        <v>0.0361796533926428</v>
      </c>
      <c r="L113" s="0" t="n">
        <v>-0.0325609853523602</v>
      </c>
      <c r="M113" s="0" t="n">
        <v>0.00717054522143145</v>
      </c>
      <c r="N113" s="0" t="n">
        <v>-0.00784021509689036</v>
      </c>
      <c r="O113" s="0" t="n">
        <v>0.00471646504514078</v>
      </c>
      <c r="P113" s="0" t="n">
        <v>0.00995032141084806</v>
      </c>
      <c r="Q113" s="0" t="n">
        <v>-0.0186572401757376</v>
      </c>
      <c r="R113" s="0" t="n">
        <v>0.00634857329417393</v>
      </c>
      <c r="S113" s="0" t="n">
        <v>0.0203880467126702</v>
      </c>
      <c r="T113" s="0" t="n">
        <v>0.00415221819641109</v>
      </c>
      <c r="U113" s="0" t="n">
        <v>0.00706944262850317</v>
      </c>
      <c r="V113" s="0" t="n">
        <v>0.012111313130001</v>
      </c>
      <c r="W113" s="0" t="n">
        <v>-0.0229846729084068</v>
      </c>
      <c r="X113" s="0" t="n">
        <v>-0.0393018658151693</v>
      </c>
    </row>
    <row r="114">
      <c r="A114" s="5" t="n">
        <v>42535</v>
      </c>
      <c r="B114" s="0" t="n">
        <v>-0.00251875850740113</v>
      </c>
      <c r="C114" s="0" t="n">
        <v>0.00491566023394662</v>
      </c>
      <c r="D114" s="0" t="n">
        <v>-0.00824162761881197</v>
      </c>
      <c r="E114" s="0" t="n">
        <v>0.0131529999715689</v>
      </c>
      <c r="F114" s="0" t="n">
        <v>0.00601504990706036</v>
      </c>
      <c r="G114" s="0" t="n">
        <v>-0.00139916739980705</v>
      </c>
      <c r="H114" s="0" t="n">
        <v>0.0024420013096118</v>
      </c>
      <c r="I114" s="0" t="n">
        <v>0.0267127491959171</v>
      </c>
      <c r="J114" s="0" t="n">
        <v>0</v>
      </c>
      <c r="K114" s="0" t="n">
        <v>-0.0361796533926428</v>
      </c>
      <c r="L114" s="0" t="n">
        <v>0.0233655268272645</v>
      </c>
      <c r="M114" s="0" t="n">
        <v>-0.00573233886982604</v>
      </c>
      <c r="N114" s="0" t="n">
        <v>0.0204050573888672</v>
      </c>
      <c r="O114" s="0" t="n">
        <v>-0.00223131740958759</v>
      </c>
      <c r="P114" s="0" t="n">
        <v>-0.0149628584420589</v>
      </c>
      <c r="Q114" s="0" t="n">
        <v>-0.00188496793208092</v>
      </c>
      <c r="R114" s="0" t="n">
        <v>-0.00384598732175334</v>
      </c>
      <c r="S114" s="0" t="n">
        <v>0.0130327775195526</v>
      </c>
      <c r="T114" s="0" t="n">
        <v>-0.010762106058078</v>
      </c>
      <c r="U114" s="0" t="n">
        <v>0.000459293863628751</v>
      </c>
      <c r="V114" s="0" t="n">
        <v>-0.00727673679709095</v>
      </c>
      <c r="W114" s="0" t="n">
        <v>-0.00213543299130414</v>
      </c>
      <c r="X114" s="0" t="n">
        <v>-0.00211188088338554</v>
      </c>
    </row>
    <row r="115">
      <c r="A115" s="5" t="n">
        <v>42536</v>
      </c>
      <c r="B115" s="0" t="n">
        <v>0.00251875850740113</v>
      </c>
      <c r="C115" s="0" t="n">
        <v>0.00163317674139351</v>
      </c>
      <c r="D115" s="0" t="n">
        <v>0.00729931490227819</v>
      </c>
      <c r="E115" s="0" t="n">
        <v>0.00841946467613619</v>
      </c>
      <c r="F115" s="0" t="n">
        <v>-0.00225138799240687</v>
      </c>
      <c r="G115" s="0" t="n">
        <v>-0.00674343276789768</v>
      </c>
      <c r="H115" s="0" t="n">
        <v>0.0205197107433392</v>
      </c>
      <c r="I115" s="0" t="n">
        <v>-0.0312350816971496</v>
      </c>
      <c r="J115" s="0" t="n">
        <v>0.00764334188394455</v>
      </c>
      <c r="K115" s="0" t="n">
        <v>-0.0132452142016742</v>
      </c>
      <c r="L115" s="0" t="n">
        <v>0.0205721889561305</v>
      </c>
      <c r="M115" s="0" t="n">
        <v>-0.00115044346886827</v>
      </c>
      <c r="N115" s="0" t="n">
        <v>0.000367183004231552</v>
      </c>
      <c r="O115" s="0" t="n">
        <v>0.004951749571235</v>
      </c>
      <c r="P115" s="0" t="n">
        <v>-0.0203052464998916</v>
      </c>
      <c r="Q115" s="0" t="n">
        <v>0.0149815388994534</v>
      </c>
      <c r="R115" s="0" t="n">
        <v>-0.00511614663831938</v>
      </c>
      <c r="S115" s="0" t="n">
        <v>0.0265372282647544</v>
      </c>
      <c r="T115" s="0" t="n">
        <v>0.00764959289831335</v>
      </c>
      <c r="U115" s="0" t="n">
        <v>0.0094454560090762</v>
      </c>
      <c r="V115" s="0" t="n">
        <v>-0.0116424921468665</v>
      </c>
      <c r="W115" s="0" t="n">
        <v>0.00149524105349607</v>
      </c>
      <c r="X115" s="0" t="n">
        <v>-0.0159832507356507</v>
      </c>
    </row>
    <row r="116">
      <c r="A116" s="5" t="n">
        <v>42537</v>
      </c>
      <c r="B116" s="0" t="n">
        <v>0.00613767262651343</v>
      </c>
      <c r="C116" s="0" t="n">
        <v>-0.00130634090709769</v>
      </c>
      <c r="D116" s="0" t="n">
        <v>-0.00526635999476354</v>
      </c>
      <c r="E116" s="0" t="n">
        <v>0.0106142272254778</v>
      </c>
      <c r="F116" s="0" t="n">
        <v>0.00673901455553194</v>
      </c>
      <c r="G116" s="0" t="n">
        <v>-0.008209555216509561</v>
      </c>
      <c r="H116" s="0" t="n">
        <v>0.00476758501259722</v>
      </c>
      <c r="I116" s="0" t="n">
        <v>0.0129469610420862</v>
      </c>
      <c r="J116" s="0" t="n">
        <v>-0.00508906456768931</v>
      </c>
      <c r="K116" s="0" t="n">
        <v>0.0106102005004893</v>
      </c>
      <c r="L116" s="0" t="n">
        <v>0.009009061234425349</v>
      </c>
      <c r="M116" s="0" t="n">
        <v>-0.0153692678745414</v>
      </c>
      <c r="N116" s="0" t="n">
        <v>0.00804389412053119</v>
      </c>
      <c r="O116" s="0" t="n">
        <v>0.00590983892341157</v>
      </c>
      <c r="P116" s="0" t="n">
        <v>0.0475684297734746</v>
      </c>
      <c r="Q116" s="0" t="n">
        <v>0.00371057578562505</v>
      </c>
      <c r="R116" s="0" t="n">
        <v>-0.00724909892004888</v>
      </c>
      <c r="S116" s="0" t="n">
        <v>-0.0285311973871236</v>
      </c>
      <c r="T116" s="0" t="n">
        <v>0.00276720762846105</v>
      </c>
      <c r="U116" s="0" t="n">
        <v>-0.00837455109487717</v>
      </c>
      <c r="V116" s="0" t="n">
        <v>-0.0148879881450847</v>
      </c>
      <c r="W116" s="0" t="n">
        <v>-0.00535046772755976</v>
      </c>
      <c r="X116" s="0" t="n">
        <v>-0.00107471569225081</v>
      </c>
    </row>
    <row r="117">
      <c r="A117" s="5" t="n">
        <v>42538</v>
      </c>
      <c r="B117" s="0" t="n">
        <v>0.0106021613844546</v>
      </c>
      <c r="C117" s="0" t="n">
        <v>0.00748821321679926</v>
      </c>
      <c r="D117" s="0" t="n">
        <v>-0.00788371398023723</v>
      </c>
      <c r="E117" s="0" t="n">
        <v>0.0119941352098384</v>
      </c>
      <c r="F117" s="0" t="n">
        <v>0.0103935861777997</v>
      </c>
      <c r="G117" s="0" t="n">
        <v>-0.0134499444868847</v>
      </c>
      <c r="H117" s="0" t="n">
        <v>0.0269810839269333</v>
      </c>
      <c r="I117" s="0" t="n">
        <v>-0.00617105488133962</v>
      </c>
      <c r="J117" s="0" t="n">
        <v>0.0151901508235674</v>
      </c>
      <c r="K117" s="0" t="n">
        <v>-0.0240332079451394</v>
      </c>
      <c r="L117" s="0" t="n">
        <v>0.03524590573778</v>
      </c>
      <c r="M117" s="0" t="n">
        <v>0.00814901990105454</v>
      </c>
      <c r="N117" s="0" t="n">
        <v>0.00399784696715466</v>
      </c>
      <c r="O117" s="0" t="n">
        <v>0.00122682479110025</v>
      </c>
      <c r="P117" s="0" t="n">
        <v>0.0181712590976061</v>
      </c>
      <c r="Q117" s="0" t="n">
        <v>0.00921660244706545</v>
      </c>
      <c r="R117" s="0" t="n">
        <v>-0.0171216282680388</v>
      </c>
      <c r="S117" s="0" t="n">
        <v>0.0119048906795815</v>
      </c>
      <c r="T117" s="0" t="n">
        <v>-0.00519486972175142</v>
      </c>
      <c r="U117" s="0" t="n">
        <v>0.00731258182412375</v>
      </c>
      <c r="V117" s="0" t="n">
        <v>0.00409519630647015</v>
      </c>
      <c r="W117" s="0" t="n">
        <v>0.00705662792169592</v>
      </c>
      <c r="X117" s="0" t="n">
        <v>-0.0021529026448821</v>
      </c>
    </row>
    <row r="118">
      <c r="A118" s="5" t="n">
        <v>42541</v>
      </c>
      <c r="B118" s="0" t="n">
        <v>0.00286031811841525</v>
      </c>
      <c r="C118" s="0" t="n">
        <v>0.0035616329428505</v>
      </c>
      <c r="D118" s="0" t="n">
        <v>-0.00973609462302338</v>
      </c>
      <c r="E118" s="0" t="n">
        <v>-0.0150152826062375</v>
      </c>
      <c r="F118" s="0" t="n">
        <v>0.00589102765217441</v>
      </c>
      <c r="G118" s="0" t="n">
        <v>-0.00693838755495557</v>
      </c>
      <c r="H118" s="0" t="n">
        <v>-0.00580384151929647</v>
      </c>
      <c r="I118" s="0" t="n">
        <v>-0.0141685562907278</v>
      </c>
      <c r="J118" s="0" t="n">
        <v>0</v>
      </c>
      <c r="K118" s="0" t="n">
        <v>0.0449216603344413</v>
      </c>
      <c r="L118" s="0" t="n">
        <v>0.00216221249251757</v>
      </c>
      <c r="M118" s="0" t="n">
        <v>0.00722024797348686</v>
      </c>
      <c r="N118" s="0" t="n">
        <v>0.018329362474009</v>
      </c>
      <c r="O118" s="0" t="n">
        <v>0.00708618532540095</v>
      </c>
      <c r="P118" s="0" t="n">
        <v>0.0107463902954596</v>
      </c>
      <c r="Q118" s="0" t="n">
        <v>-0.00367647134559923</v>
      </c>
      <c r="R118" s="0" t="n">
        <v>-0.000214592064747165</v>
      </c>
      <c r="S118" s="0" t="n">
        <v>-0.00494318253309389</v>
      </c>
      <c r="T118" s="0" t="n">
        <v>-0.00104216717634431</v>
      </c>
      <c r="U118" s="0" t="n">
        <v>0.00454344348600699</v>
      </c>
      <c r="V118" s="0" t="n">
        <v>0.00407849404945626</v>
      </c>
      <c r="W118" s="0" t="n">
        <v>0.00637213790668989</v>
      </c>
      <c r="X118" s="0" t="n">
        <v>-0.00215744464810407</v>
      </c>
    </row>
    <row r="119">
      <c r="A119" s="5" t="n">
        <v>42542</v>
      </c>
      <c r="B119" s="0" t="n">
        <v>-0.0073623479985807</v>
      </c>
      <c r="C119" s="0" t="n">
        <v>-0.00518473656367257</v>
      </c>
      <c r="D119" s="0" t="n">
        <v>0.00686627254185623</v>
      </c>
      <c r="E119" s="0" t="n">
        <v>-0.00303030239357005</v>
      </c>
      <c r="F119" s="0" t="n">
        <v>-0.000734500881347077</v>
      </c>
      <c r="G119" s="0" t="n">
        <v>-0.00727911180600715</v>
      </c>
      <c r="H119" s="0" t="n">
        <v>-0.00818238762971734</v>
      </c>
      <c r="I119" s="0" t="n">
        <v>0.0298025308744667</v>
      </c>
      <c r="J119" s="0" t="n">
        <v>-0.00503778918921637</v>
      </c>
      <c r="K119" s="0" t="n">
        <v>-0.0288355697112743</v>
      </c>
      <c r="L119" s="0" t="n">
        <v>0.0128757018433089</v>
      </c>
      <c r="M119" s="0" t="n">
        <v>-0.00809015606853424</v>
      </c>
      <c r="N119" s="0" t="n">
        <v>-0.00571429581382654</v>
      </c>
      <c r="O119" s="0" t="n">
        <v>0.00558456095603476</v>
      </c>
      <c r="P119" s="0" t="n">
        <v>-0.033819615123583</v>
      </c>
      <c r="Q119" s="0" t="n">
        <v>-0.011111215122715</v>
      </c>
      <c r="R119" s="0" t="n">
        <v>0.00556334232246147</v>
      </c>
      <c r="S119" s="0" t="n">
        <v>0.0128017614154192</v>
      </c>
      <c r="T119" s="0" t="n">
        <v>-0.00173947320284906</v>
      </c>
      <c r="U119" s="0" t="n">
        <v>-0.000453393476848695</v>
      </c>
      <c r="V119" s="0" t="n">
        <v>0.0147675792750483</v>
      </c>
      <c r="W119" s="0" t="n">
        <v>-0.00552014818790391</v>
      </c>
      <c r="X119" s="0" t="n">
        <v>-0.00432900684493686</v>
      </c>
    </row>
    <row r="120">
      <c r="A120" s="5" t="n">
        <v>42543</v>
      </c>
      <c r="B120" s="0" t="n">
        <v>0.015765778273586</v>
      </c>
      <c r="C120" s="0" t="n">
        <v>0.0132324367150808</v>
      </c>
      <c r="D120" s="0" t="n">
        <v>0.0118361049005928</v>
      </c>
      <c r="E120" s="0" t="n">
        <v>0.0165541262601545</v>
      </c>
      <c r="F120" s="0" t="n">
        <v>0.0311056044430415</v>
      </c>
      <c r="G120" s="0" t="n">
        <v>0.0130644027468638</v>
      </c>
      <c r="H120" s="0" t="n">
        <v>0.0525835817839397</v>
      </c>
      <c r="I120" s="0" t="n">
        <v>-0.0252467187922533</v>
      </c>
      <c r="J120" s="0" t="n">
        <v>0.0100503262204274</v>
      </c>
      <c r="K120" s="0" t="n">
        <v>0</v>
      </c>
      <c r="L120" s="0" t="n">
        <v>0.0559731537690457</v>
      </c>
      <c r="M120" s="0" t="n">
        <v>0.00347521141814022</v>
      </c>
      <c r="N120" s="0" t="n">
        <v>0.021262330969952</v>
      </c>
      <c r="O120" s="0" t="n">
        <v>0.0139459300126434</v>
      </c>
      <c r="P120" s="0" t="n">
        <v>0.0218719959616442</v>
      </c>
      <c r="Q120" s="0" t="n">
        <v>0.031166606663842</v>
      </c>
      <c r="R120" s="0" t="n">
        <v>0.00308914531819493</v>
      </c>
      <c r="S120" s="0" t="n">
        <v>0.0184202570654372</v>
      </c>
      <c r="T120" s="0" t="n">
        <v>0.0172596625516381</v>
      </c>
      <c r="U120" s="0" t="n">
        <v>0.00241576493478845</v>
      </c>
      <c r="V120" s="0" t="n">
        <v>0.00455332746681236</v>
      </c>
      <c r="W120" s="0" t="n">
        <v>0.0198151216822455</v>
      </c>
      <c r="X120" s="0" t="n">
        <v>0.0225210624771787</v>
      </c>
    </row>
    <row r="121">
      <c r="A121" s="5" t="n">
        <v>42544</v>
      </c>
      <c r="B121" s="0" t="n">
        <v>-0.0580411258079065</v>
      </c>
      <c r="C121" s="0" t="n">
        <v>-0.0449182461936659</v>
      </c>
      <c r="D121" s="0" t="n">
        <v>0.00526067684409525</v>
      </c>
      <c r="E121" s="0" t="n">
        <v>-0.06792727625443</v>
      </c>
      <c r="F121" s="0" t="n">
        <v>-0.0769610384191072</v>
      </c>
      <c r="G121" s="0" t="n">
        <v>0.0134653585066879</v>
      </c>
      <c r="H121" s="0" t="n">
        <v>-0.05141056220417</v>
      </c>
      <c r="I121" s="0" t="n">
        <v>0.0433641475488766</v>
      </c>
      <c r="J121" s="0" t="n">
        <v>-0.030459177989627</v>
      </c>
      <c r="K121" s="0" t="n">
        <v>-0.0296917294383732</v>
      </c>
      <c r="L121" s="0" t="n">
        <v>-0.0862784735451496</v>
      </c>
      <c r="M121" s="0" t="n">
        <v>-0.0180868092531749</v>
      </c>
      <c r="N121" s="0" t="n">
        <v>-0.0209042207131782</v>
      </c>
      <c r="O121" s="0" t="n">
        <v>-0.008633161623750491</v>
      </c>
      <c r="P121" s="0" t="n">
        <v>-0.0632572616283035</v>
      </c>
      <c r="Q121" s="0" t="n">
        <v>-0.0163789201955277</v>
      </c>
      <c r="R121" s="0" t="n">
        <v>-0.00511832780623144</v>
      </c>
      <c r="S121" s="0" t="n">
        <v>-0.0624274112258924</v>
      </c>
      <c r="T121" s="0" t="n">
        <v>-0.0516175426309479</v>
      </c>
      <c r="U121" s="0" t="n">
        <v>0.0106503536579234</v>
      </c>
      <c r="V121" s="0" t="n">
        <v>-0.0283439397183835</v>
      </c>
      <c r="W121" s="0" t="n">
        <v>-0.0470071753955303</v>
      </c>
      <c r="X121" s="0" t="n">
        <v>-0.09097185044283621</v>
      </c>
    </row>
    <row r="122">
      <c r="A122" s="5" t="n">
        <v>42545</v>
      </c>
      <c r="B122" s="0" t="n">
        <v>-0.0213045141202767</v>
      </c>
      <c r="C122" s="0" t="n">
        <v>-0.0169093960630846</v>
      </c>
      <c r="D122" s="0" t="n">
        <v>0.00750569873997264</v>
      </c>
      <c r="E122" s="0" t="n">
        <v>-0.0291755382448708</v>
      </c>
      <c r="F122" s="0" t="n">
        <v>-0.0651540701243034</v>
      </c>
      <c r="G122" s="0" t="n">
        <v>0.0412544446890148</v>
      </c>
      <c r="H122" s="0" t="n">
        <v>-0.0443451507044379</v>
      </c>
      <c r="I122" s="0" t="n">
        <v>0.00108757261549063</v>
      </c>
      <c r="J122" s="0" t="n">
        <v>-0.0314162282648282</v>
      </c>
      <c r="K122" s="0" t="n">
        <v>-0.00549453033929259</v>
      </c>
      <c r="L122" s="0" t="n">
        <v>-0.0380785243661905</v>
      </c>
      <c r="M122" s="0" t="n">
        <v>-0.00501703819043264</v>
      </c>
      <c r="N122" s="0" t="n">
        <v>-0.0405535244086685</v>
      </c>
      <c r="O122" s="0" t="n">
        <v>0.0122083700906405</v>
      </c>
      <c r="P122" s="0" t="n">
        <v>-0.0634294510349222</v>
      </c>
      <c r="Q122" s="0" t="n">
        <v>0.0036630043997714</v>
      </c>
      <c r="R122" s="0" t="n">
        <v>-0.00321237082882852</v>
      </c>
      <c r="S122" s="0" t="n">
        <v>-0.0698696652052728</v>
      </c>
      <c r="T122" s="0" t="n">
        <v>-0.0159829242622171</v>
      </c>
      <c r="U122" s="0" t="n">
        <v>0.0134867354750856</v>
      </c>
      <c r="V122" s="0" t="n">
        <v>-0.00411553713513068</v>
      </c>
      <c r="W122" s="0" t="n">
        <v>-0.0154324223007487</v>
      </c>
      <c r="X122" s="0" t="n">
        <v>-0.0622955286330575</v>
      </c>
    </row>
    <row r="123">
      <c r="A123" s="5" t="n">
        <v>42548</v>
      </c>
      <c r="B123" s="0" t="n">
        <v>0.0152146570559938</v>
      </c>
      <c r="C123" s="0" t="n">
        <v>0.0209254810483603</v>
      </c>
      <c r="D123" s="0" t="n">
        <v>0.00346577439212492</v>
      </c>
      <c r="E123" s="0" t="n">
        <v>0.0187378593610416</v>
      </c>
      <c r="F123" s="0" t="n">
        <v>0.0418066911088188</v>
      </c>
      <c r="G123" s="0" t="n">
        <v>-0.0156876675112376</v>
      </c>
      <c r="H123" s="0" t="n">
        <v>0.0698095562972289</v>
      </c>
      <c r="I123" s="0" t="n">
        <v>-0.0027210485937692</v>
      </c>
      <c r="J123" s="0" t="n">
        <v>0.018445828407029</v>
      </c>
      <c r="K123" s="0" t="n">
        <v>-0.00829877818467728</v>
      </c>
      <c r="L123" s="0" t="n">
        <v>0.0705137176177084</v>
      </c>
      <c r="M123" s="0" t="n">
        <v>0.0187578597678452</v>
      </c>
      <c r="N123" s="0" t="n">
        <v>0.0373259744722376</v>
      </c>
      <c r="O123" s="0" t="n">
        <v>-0.000237913662608502</v>
      </c>
      <c r="P123" s="0" t="n">
        <v>0.0518388313693278</v>
      </c>
      <c r="Q123" s="0" t="n">
        <v>0.0270530654647458</v>
      </c>
      <c r="R123" s="0" t="n">
        <v>0.00492136541846122</v>
      </c>
      <c r="S123" s="0" t="n">
        <v>0.0119892073816685</v>
      </c>
      <c r="T123" s="0" t="n">
        <v>0.017423360768674</v>
      </c>
      <c r="U123" s="0" t="n">
        <v>-0.000294414644093521</v>
      </c>
      <c r="V123" s="0" t="n">
        <v>0.0237487788894155</v>
      </c>
      <c r="W123" s="0" t="n">
        <v>0.0239282668894111</v>
      </c>
      <c r="X123" s="0" t="n">
        <v>0.0340251208969371</v>
      </c>
    </row>
    <row r="124">
      <c r="A124" s="5" t="n">
        <v>42549</v>
      </c>
      <c r="B124" s="0" t="n">
        <v>0.0187659146571386</v>
      </c>
      <c r="C124" s="0" t="n">
        <v>0.0201693015296662</v>
      </c>
      <c r="D124" s="0" t="n">
        <v>0.0391439398890609</v>
      </c>
      <c r="E124" s="0" t="n">
        <v>0.0128309574250735</v>
      </c>
      <c r="F124" s="0" t="n">
        <v>0.0378569564699255</v>
      </c>
      <c r="G124" s="0" t="n">
        <v>0.0110346368182017</v>
      </c>
      <c r="H124" s="0" t="n">
        <v>0.0414160635888989</v>
      </c>
      <c r="I124" s="0" t="n">
        <v>0.0236952668604328</v>
      </c>
      <c r="J124" s="0" t="n">
        <v>0.0232268899926477</v>
      </c>
      <c r="K124" s="0" t="n">
        <v>0</v>
      </c>
      <c r="L124" s="0" t="n">
        <v>0.0314162171518774</v>
      </c>
      <c r="M124" s="0" t="n">
        <v>0.0164150473394322</v>
      </c>
      <c r="N124" s="0" t="n">
        <v>0.0216743464420861</v>
      </c>
      <c r="O124" s="0" t="n">
        <v>0.0122991249828534</v>
      </c>
      <c r="P124" s="0" t="n">
        <v>0.0480497719139827</v>
      </c>
      <c r="Q124" s="0" t="n">
        <v>0.0383991794257521</v>
      </c>
      <c r="R124" s="0" t="n">
        <v>0.00754888185892443</v>
      </c>
      <c r="S124" s="0" t="n">
        <v>0.0224969367869247</v>
      </c>
      <c r="T124" s="0" t="n">
        <v>0.0167711086566257</v>
      </c>
      <c r="U124" s="0" t="n">
        <v>-0.00117875109887144</v>
      </c>
      <c r="V124" s="0" t="n">
        <v>0.013654413221869</v>
      </c>
      <c r="W124" s="0" t="n">
        <v>0.0186962091246223</v>
      </c>
      <c r="X124" s="0" t="n">
        <v>0.0165880986522815</v>
      </c>
    </row>
    <row r="125">
      <c r="A125" s="5" t="n">
        <v>42550</v>
      </c>
      <c r="B125" s="0" t="n">
        <v>0.0221164890203757</v>
      </c>
      <c r="C125" s="0" t="n">
        <v>0.0299877088487723</v>
      </c>
      <c r="D125" s="0" t="n">
        <v>0.00764820131325461</v>
      </c>
      <c r="E125" s="0" t="n">
        <v>0.00159231754826105</v>
      </c>
      <c r="F125" s="0" t="n">
        <v>0.00604694792426974</v>
      </c>
      <c r="G125" s="0" t="n">
        <v>0.009284614616114959</v>
      </c>
      <c r="H125" s="0" t="n">
        <v>0.0344861439027384</v>
      </c>
      <c r="I125" s="0" t="n">
        <v>0.0179328774325919</v>
      </c>
      <c r="J125" s="0" t="n">
        <v>0.00762391771974524</v>
      </c>
      <c r="K125" s="0" t="n">
        <v>0.021978868925976</v>
      </c>
      <c r="L125" s="0" t="n">
        <v>0.0423877867049793</v>
      </c>
      <c r="M125" s="0" t="n">
        <v>0.00569642014097127</v>
      </c>
      <c r="N125" s="0" t="n">
        <v>0.0194924186338774</v>
      </c>
      <c r="O125" s="0" t="n">
        <v>0.0156270974623282</v>
      </c>
      <c r="P125" s="0" t="n">
        <v>-0.0390232537876786</v>
      </c>
      <c r="Q125" s="0" t="n">
        <v>0.0119149826312137</v>
      </c>
      <c r="R125" s="0" t="n">
        <v>0.0139891231176845</v>
      </c>
      <c r="S125" s="0" t="n">
        <v>0.00948875393981119</v>
      </c>
      <c r="T125" s="0" t="n">
        <v>0.0151012632525122</v>
      </c>
      <c r="U125" s="0" t="n">
        <v>0.0165220111264794</v>
      </c>
      <c r="V125" s="0" t="n">
        <v>0.00750604739134352</v>
      </c>
      <c r="W125" s="0" t="n">
        <v>0.00763525657723507</v>
      </c>
      <c r="X125" s="0" t="n">
        <v>0.0492935727675152</v>
      </c>
    </row>
    <row r="126">
      <c r="A126" s="5" t="n">
        <v>42551</v>
      </c>
      <c r="B126" s="0" t="n">
        <v>0.00374844956099185</v>
      </c>
      <c r="C126" s="0" t="n">
        <v>0.000317660028949617</v>
      </c>
      <c r="D126" s="0" t="n">
        <v>0.0025364243415975</v>
      </c>
      <c r="E126" s="0" t="n">
        <v>0.0118625805807561</v>
      </c>
      <c r="F126" s="0" t="n">
        <v>-0.0128936235133156</v>
      </c>
      <c r="G126" s="0" t="n">
        <v>-0.00654492867997458</v>
      </c>
      <c r="H126" s="0" t="n">
        <v>0.0136772950668349</v>
      </c>
      <c r="I126" s="0" t="n">
        <v>0.0283451675488617</v>
      </c>
      <c r="J126" s="0" t="n">
        <v>0.00505051092084873</v>
      </c>
      <c r="K126" s="0" t="n">
        <v>-0.07913731198388679</v>
      </c>
      <c r="L126" s="0" t="n">
        <v>0.0195700779311911</v>
      </c>
      <c r="M126" s="0" t="n">
        <v>0.0101724702157319</v>
      </c>
      <c r="N126" s="0" t="n">
        <v>0.0123331677619704</v>
      </c>
      <c r="O126" s="0" t="n">
        <v>0.00599914432622439</v>
      </c>
      <c r="P126" s="0" t="n">
        <v>0.0315882234604854</v>
      </c>
      <c r="Q126" s="0" t="n">
        <v>0</v>
      </c>
      <c r="R126" s="0" t="n">
        <v>-0.00775927005099053</v>
      </c>
      <c r="S126" s="0" t="n">
        <v>0</v>
      </c>
      <c r="T126" s="0" t="n">
        <v>0.00382671204290829</v>
      </c>
      <c r="U126" s="0" t="n">
        <v>0.000869655953513515</v>
      </c>
      <c r="V126" s="0" t="n">
        <v>0.00312218708361822</v>
      </c>
      <c r="W126" s="0" t="n">
        <v>-0.00635871260401721</v>
      </c>
      <c r="X126" s="0" t="n">
        <v>-0.012380536272873</v>
      </c>
    </row>
    <row r="127">
      <c r="A127" s="5" t="n">
        <v>42552</v>
      </c>
      <c r="B127" s="0" t="n">
        <v>-0.00440755527477243</v>
      </c>
      <c r="C127" s="0" t="n">
        <v>-0.0012710567935934</v>
      </c>
      <c r="D127" s="0" t="n">
        <v>0.00870176948477396</v>
      </c>
      <c r="E127" s="0" t="n">
        <v>-0.0254791370575038</v>
      </c>
      <c r="F127" s="0" t="n">
        <v>-0.0278656271485218</v>
      </c>
      <c r="G127" s="0" t="n">
        <v>0.0211161766550476</v>
      </c>
      <c r="H127" s="0" t="n">
        <v>-0.0307717126192335</v>
      </c>
      <c r="I127" s="0" t="n">
        <v>0.015128843178306</v>
      </c>
      <c r="J127" s="0" t="n">
        <v>-0.00758536407290466</v>
      </c>
      <c r="K127" s="0" t="n">
        <v>0.0818509829596915</v>
      </c>
      <c r="L127" s="0" t="n">
        <v>-0.0496626391927088</v>
      </c>
      <c r="M127" s="0" t="n">
        <v>0.00672464497893265</v>
      </c>
      <c r="N127" s="0" t="n">
        <v>-0.0150946442482307</v>
      </c>
      <c r="O127" s="0" t="n">
        <v>-0.00276440505470976</v>
      </c>
      <c r="P127" s="0" t="n">
        <v>-0.0549658890280322</v>
      </c>
      <c r="Q127" s="0" t="n">
        <v>-0.0170652445842087</v>
      </c>
      <c r="R127" s="0" t="n">
        <v>-0.000210513135981749</v>
      </c>
      <c r="S127" s="0" t="n">
        <v>-0.0169316056095127</v>
      </c>
      <c r="T127" s="0" t="n">
        <v>-0.0164540495015659</v>
      </c>
      <c r="U127" s="0" t="n">
        <v>0.008511974915991869</v>
      </c>
      <c r="V127" s="0" t="n">
        <v>0</v>
      </c>
      <c r="W127" s="0" t="n">
        <v>-0.0175894649312629</v>
      </c>
      <c r="X127" s="0" t="n">
        <v>-0.0369130364946421</v>
      </c>
    </row>
    <row r="128">
      <c r="A128" s="5" t="n">
        <v>42556</v>
      </c>
      <c r="B128" s="0" t="n">
        <v>0.00453875121609836</v>
      </c>
      <c r="C128" s="0" t="n">
        <v>0.00917868855193759</v>
      </c>
      <c r="D128" s="0" t="n">
        <v>0.00476008994579224</v>
      </c>
      <c r="E128" s="0" t="n">
        <v>0.0136165564767476</v>
      </c>
      <c r="F128" s="0" t="n">
        <v>0.00937505993411491</v>
      </c>
      <c r="G128" s="0" t="n">
        <v>0.00667470073251985</v>
      </c>
      <c r="H128" s="0" t="n">
        <v>-0.00323799224910348</v>
      </c>
      <c r="I128" s="0" t="n">
        <v>0.00598808373431047</v>
      </c>
      <c r="J128" s="0" t="n">
        <v>0.0126104954591319</v>
      </c>
      <c r="K128" s="0" t="n">
        <v>0.008097266898456801</v>
      </c>
      <c r="L128" s="0" t="n">
        <v>0</v>
      </c>
      <c r="M128" s="0" t="n">
        <v>0.00139526283767432</v>
      </c>
      <c r="N128" s="0" t="n">
        <v>0.0195111338089652</v>
      </c>
      <c r="O128" s="0" t="n">
        <v>-0.00578370632101954</v>
      </c>
      <c r="P128" s="0" t="n">
        <v>0.00654877441421541</v>
      </c>
      <c r="Q128" s="0" t="n">
        <v>-0.0103807062059446</v>
      </c>
      <c r="R128" s="0" t="n">
        <v>0.0113065923566884</v>
      </c>
      <c r="S128" s="0" t="n">
        <v>0.0074428516697016</v>
      </c>
      <c r="T128" s="0" t="n">
        <v>0.0136724091223725</v>
      </c>
      <c r="U128" s="0" t="n">
        <v>0.00157899421173635</v>
      </c>
      <c r="V128" s="0" t="n">
        <v>0.00108374206469274</v>
      </c>
      <c r="W128" s="0" t="n">
        <v>0.00947675493258515</v>
      </c>
      <c r="X128" s="0" t="n">
        <v>0.00117442508843801</v>
      </c>
    </row>
    <row r="129">
      <c r="A129" s="5" t="n">
        <v>42557</v>
      </c>
      <c r="B129" s="0" t="n">
        <v>0.00150841741167973</v>
      </c>
      <c r="C129" s="0" t="n">
        <v>0.00251731747458849</v>
      </c>
      <c r="D129" s="0" t="n">
        <v>-0.008786261673710881</v>
      </c>
      <c r="E129" s="0" t="n">
        <v>0.0142182732803841</v>
      </c>
      <c r="F129" s="0" t="n">
        <v>0.0115966180046509</v>
      </c>
      <c r="G129" s="0" t="n">
        <v>-0.00694267490762712</v>
      </c>
      <c r="H129" s="0" t="n">
        <v>-0.00324851091147615</v>
      </c>
      <c r="I129" s="0" t="n">
        <v>-0.0231515621942675</v>
      </c>
      <c r="J129" s="0" t="n">
        <v>0.009975194728282229</v>
      </c>
      <c r="K129" s="0" t="n">
        <v>-0.0244910286155601</v>
      </c>
      <c r="L129" s="0" t="n">
        <v>-0.0184999470525635</v>
      </c>
      <c r="M129" s="0" t="n">
        <v>-0.00251291912904205</v>
      </c>
      <c r="N129" s="0" t="n">
        <v>-0.0040761211648288</v>
      </c>
      <c r="O129" s="0" t="n">
        <v>-0.0187358936906401</v>
      </c>
      <c r="P129" s="0" t="n">
        <v>-0.0304861282065616</v>
      </c>
      <c r="Q129" s="0" t="n">
        <v>-0.0140107236138762</v>
      </c>
      <c r="R129" s="0" t="n">
        <v>-0.00584672333456293</v>
      </c>
      <c r="S129" s="0" t="n">
        <v>0.0343605772022126</v>
      </c>
      <c r="T129" s="0" t="n">
        <v>0.000696152415248008</v>
      </c>
      <c r="U129" s="0" t="n">
        <v>-0.00604228792770467</v>
      </c>
      <c r="V129" s="0" t="n">
        <v>0.00297419736713866</v>
      </c>
      <c r="W129" s="0" t="n">
        <v>0.00321022661903658</v>
      </c>
      <c r="X129" s="0" t="n">
        <v>0.00701751003844908</v>
      </c>
    </row>
    <row r="130">
      <c r="A130" s="5" t="n">
        <v>42558</v>
      </c>
      <c r="B130" s="0" t="n">
        <v>0.0121150477606395</v>
      </c>
      <c r="C130" s="0" t="n">
        <v>0.0118714440833489</v>
      </c>
      <c r="D130" s="0" t="n">
        <v>0.00427732392104918</v>
      </c>
      <c r="E130" s="0" t="n">
        <v>0.0263173199742023</v>
      </c>
      <c r="F130" s="0" t="n">
        <v>0.0122232114310238</v>
      </c>
      <c r="G130" s="0" t="n">
        <v>0.0143657941005828</v>
      </c>
      <c r="H130" s="0" t="n">
        <v>0.0517812783938433</v>
      </c>
      <c r="I130" s="0" t="n">
        <v>0.0146578776877297</v>
      </c>
      <c r="J130" s="0" t="n">
        <v>0.0220867075642972</v>
      </c>
      <c r="K130" s="0" t="n">
        <v>-0.0450780611793799</v>
      </c>
      <c r="L130" s="0" t="n">
        <v>0.0266135743714006</v>
      </c>
      <c r="M130" s="0" t="n">
        <v>0.00973713290914224</v>
      </c>
      <c r="N130" s="0" t="n">
        <v>0.028189791942089</v>
      </c>
      <c r="O130" s="0" t="n">
        <v>0.00730191382012135</v>
      </c>
      <c r="P130" s="0" t="n">
        <v>0.0278717500768737</v>
      </c>
      <c r="Q130" s="0" t="n">
        <v>0.0397632358802622</v>
      </c>
      <c r="R130" s="0" t="n">
        <v>0.0129006978259686</v>
      </c>
      <c r="S130" s="0" t="n">
        <v>0.0232685800853462</v>
      </c>
      <c r="T130" s="0" t="n">
        <v>0.0179315307273224</v>
      </c>
      <c r="U130" s="0" t="n">
        <v>0.00761879284678279</v>
      </c>
      <c r="V130" s="0" t="n">
        <v>0.0160688640064359</v>
      </c>
      <c r="W130" s="0" t="n">
        <v>0.0209332451258905</v>
      </c>
      <c r="X130" s="0" t="n">
        <v>0.016185363935655</v>
      </c>
    </row>
    <row r="131">
      <c r="A131" s="5" t="n">
        <v>42559</v>
      </c>
      <c r="B131" s="0" t="n">
        <v>0.00561669118015295</v>
      </c>
      <c r="C131" s="0" t="n">
        <v>0.000310496582366592</v>
      </c>
      <c r="D131" s="0" t="n">
        <v>-0.00654919548026811</v>
      </c>
      <c r="E131" s="0" t="n">
        <v>0.0136572912616101</v>
      </c>
      <c r="F131" s="0" t="n">
        <v>0.00303259987376858</v>
      </c>
      <c r="G131" s="0" t="n">
        <v>-0.008488106356042909</v>
      </c>
      <c r="H131" s="0" t="n">
        <v>0.00308483235633771</v>
      </c>
      <c r="I131" s="0" t="n">
        <v>0.00550417236457478</v>
      </c>
      <c r="J131" s="0" t="n">
        <v>0.00484262000285373</v>
      </c>
      <c r="K131" s="0" t="n">
        <v>-0.0145140288211058</v>
      </c>
      <c r="L131" s="0" t="n">
        <v>0.0337668786513718</v>
      </c>
      <c r="M131" s="0" t="n">
        <v>0.000830291836936947</v>
      </c>
      <c r="N131" s="0" t="n">
        <v>0.00363338506199362</v>
      </c>
      <c r="O131" s="0" t="n">
        <v>-0.00234967894930759</v>
      </c>
      <c r="P131" s="0" t="n">
        <v>-0.00262123102266009</v>
      </c>
      <c r="Q131" s="0" t="n">
        <v>-0.0119353797996841</v>
      </c>
      <c r="R131" s="0" t="n">
        <v>0.00103314894112216</v>
      </c>
      <c r="S131" s="0" t="n">
        <v>0</v>
      </c>
      <c r="T131" s="0" t="n">
        <v>0.00579316920060479</v>
      </c>
      <c r="U131" s="0" t="n">
        <v>0.000572668794700526</v>
      </c>
      <c r="V131" s="0" t="n">
        <v>0.00146015306606805</v>
      </c>
      <c r="W131" s="0" t="n">
        <v>0.00604989656308507</v>
      </c>
      <c r="X131" s="0" t="n">
        <v>0.0147982335803034</v>
      </c>
    </row>
    <row r="132">
      <c r="A132" s="5" t="n">
        <v>42562</v>
      </c>
      <c r="B132" s="0" t="n">
        <v>0.0109486094276372</v>
      </c>
      <c r="C132" s="0" t="n">
        <v>0.00155109992344293</v>
      </c>
      <c r="D132" s="0" t="n">
        <v>0.00667465216430951</v>
      </c>
      <c r="E132" s="0" t="n">
        <v>0.0134732090265696</v>
      </c>
      <c r="F132" s="0" t="n">
        <v>0.0246741432448067</v>
      </c>
      <c r="G132" s="0" t="n">
        <v>-0.00400378288131397</v>
      </c>
      <c r="H132" s="0" t="n">
        <v>0.00205128078420413</v>
      </c>
      <c r="I132" s="0" t="n">
        <v>-0.0293692921904282</v>
      </c>
      <c r="J132" s="0" t="n">
        <v>-0.00970880513745386</v>
      </c>
      <c r="K132" s="0" t="n">
        <v>0.0457222556667922</v>
      </c>
      <c r="L132" s="0" t="n">
        <v>0.0439421263825525</v>
      </c>
      <c r="M132" s="0" t="n">
        <v>0.00248653667566189</v>
      </c>
      <c r="N132" s="0" t="n">
        <v>0.0134274114796886</v>
      </c>
      <c r="O132" s="0" t="n">
        <v>-0.00235512299807538</v>
      </c>
      <c r="P132" s="0" t="n">
        <v>0.0598523952516352</v>
      </c>
      <c r="Q132" s="0" t="n">
        <v>0</v>
      </c>
      <c r="R132" s="0" t="n">
        <v>-0.00393168910421337</v>
      </c>
      <c r="S132" s="0" t="n">
        <v>0.00498756048963189</v>
      </c>
      <c r="T132" s="0" t="n">
        <v>0.00609759011159249</v>
      </c>
      <c r="U132" s="0" t="n">
        <v>-0.0144157024369686</v>
      </c>
      <c r="V132" s="0" t="n">
        <v>0.0106867905155967</v>
      </c>
      <c r="W132" s="0" t="n">
        <v>0.00559986202982543</v>
      </c>
      <c r="X132" s="0" t="n">
        <v>0.0278569533187926</v>
      </c>
    </row>
    <row r="133">
      <c r="A133" s="5" t="n">
        <v>42563</v>
      </c>
      <c r="B133" s="0" t="n">
        <v>0.00622112711644451</v>
      </c>
      <c r="C133" s="0" t="n">
        <v>0.00309506201884568</v>
      </c>
      <c r="D133" s="0" t="n">
        <v>-0.00389860974174638</v>
      </c>
      <c r="E133" s="0" t="n">
        <v>0.00222797965861376</v>
      </c>
      <c r="F133" s="0" t="n">
        <v>-0.00741296079325293</v>
      </c>
      <c r="G133" s="0" t="n">
        <v>0.00240417249157909</v>
      </c>
      <c r="H133" s="0" t="n">
        <v>0.0202846517467252</v>
      </c>
      <c r="I133" s="0" t="n">
        <v>0.00102724500399498</v>
      </c>
      <c r="J133" s="0" t="n">
        <v>-0.00244194308765033</v>
      </c>
      <c r="K133" s="0" t="n">
        <v>-0.00279725195742575</v>
      </c>
      <c r="L133" s="0" t="n">
        <v>0.0203522536612117</v>
      </c>
      <c r="M133" s="0" t="n">
        <v>0.00192969575744683</v>
      </c>
      <c r="N133" s="0" t="n">
        <v>0.00454396731461104</v>
      </c>
      <c r="O133" s="0" t="n">
        <v>0.0042353076292616</v>
      </c>
      <c r="P133" s="0" t="n">
        <v>-0.0352237934066654</v>
      </c>
      <c r="Q133" s="0" t="n">
        <v>-0.00515903683826657</v>
      </c>
      <c r="R133" s="0" t="n">
        <v>0.0120563899554557</v>
      </c>
      <c r="S133" s="0" t="n">
        <v>-0.00398803729123065</v>
      </c>
      <c r="T133" s="0" t="n">
        <v>0.00471696926511766</v>
      </c>
      <c r="U133" s="0" t="n">
        <v>0.00304457034748928</v>
      </c>
      <c r="V133" s="0" t="n">
        <v>0.00497454731621438</v>
      </c>
      <c r="W133" s="0" t="n">
        <v>-0.00165593118447615</v>
      </c>
      <c r="X133" s="0" t="n">
        <v>-0.0022002712317688</v>
      </c>
    </row>
    <row r="134">
      <c r="A134" s="5" t="n">
        <v>42564</v>
      </c>
      <c r="B134" s="0" t="n">
        <v>0.0142006438198212</v>
      </c>
      <c r="C134" s="0" t="n">
        <v>0.00830900426896619</v>
      </c>
      <c r="D134" s="0" t="n">
        <v>0.0153800562276416</v>
      </c>
      <c r="E134" s="0" t="n">
        <v>0.00812716786557521</v>
      </c>
      <c r="F134" s="0" t="n">
        <v>0.015504189810946</v>
      </c>
      <c r="G134" s="0" t="n">
        <v>-0.00481413896104721</v>
      </c>
      <c r="H134" s="0" t="n">
        <v>0.0296757404288852</v>
      </c>
      <c r="I134" s="0" t="n">
        <v>-0.00154116542509363</v>
      </c>
      <c r="J134" s="0" t="n">
        <v>0.0121507482251042</v>
      </c>
      <c r="K134" s="0" t="n">
        <v>0.00836830810644206</v>
      </c>
      <c r="L134" s="0" t="n">
        <v>-0.0222231151968241</v>
      </c>
      <c r="M134" s="0" t="n">
        <v>0.0166601367919194</v>
      </c>
      <c r="N134" s="0" t="n">
        <v>0.0135093751917168</v>
      </c>
      <c r="O134" s="0" t="n">
        <v>0.0042174454238939</v>
      </c>
      <c r="P134" s="0" t="n">
        <v>0.0215334573268473</v>
      </c>
      <c r="Q134" s="0" t="n">
        <v>0.0136988309355821</v>
      </c>
      <c r="R134" s="0" t="n">
        <v>-0.00174276708353549</v>
      </c>
      <c r="S134" s="0" t="n">
        <v>0.007960233295755339</v>
      </c>
      <c r="T134" s="0" t="n">
        <v>0.000336085664174312</v>
      </c>
      <c r="U134" s="0" t="n">
        <v>-0.00231889469286894</v>
      </c>
      <c r="V134" s="0" t="n">
        <v>0.00247792515315303</v>
      </c>
      <c r="W134" s="0" t="n">
        <v>0.0137847707980172</v>
      </c>
      <c r="X134" s="0" t="n">
        <v>0.0163848147087772</v>
      </c>
    </row>
    <row r="135">
      <c r="A135" s="5" t="n">
        <v>42565</v>
      </c>
      <c r="B135" s="0" t="n">
        <v>-0.00312441673788121</v>
      </c>
      <c r="C135" s="0" t="n">
        <v>0.0076324735050024</v>
      </c>
      <c r="D135" s="0" t="n">
        <v>-0.00460165133633161</v>
      </c>
      <c r="E135" s="0" t="n">
        <v>-0.00147278803323258</v>
      </c>
      <c r="F135" s="0" t="n">
        <v>0.000732349287759337</v>
      </c>
      <c r="G135" s="0" t="n">
        <v>-0.0159441336263399</v>
      </c>
      <c r="H135" s="0" t="n">
        <v>0.00389105191932759</v>
      </c>
      <c r="I135" s="0" t="n">
        <v>-0.008260234911255269</v>
      </c>
      <c r="J135" s="0" t="n">
        <v>0.00481928200602332</v>
      </c>
      <c r="K135" s="0" t="n">
        <v>-0.0139863119332426</v>
      </c>
      <c r="L135" s="0" t="n">
        <v>0.00373831844549954</v>
      </c>
      <c r="M135" s="0" t="n">
        <v>-0.00407105227689275</v>
      </c>
      <c r="N135" s="0" t="n">
        <v>0.000638788207758977</v>
      </c>
      <c r="O135" s="0" t="n">
        <v>0.00280175135643023</v>
      </c>
      <c r="P135" s="0" t="n">
        <v>0.00250312782795703</v>
      </c>
      <c r="Q135" s="0" t="n">
        <v>-0.0171530623899685</v>
      </c>
      <c r="R135" s="0" t="n">
        <v>-0.00380368235813755</v>
      </c>
      <c r="S135" s="0" t="n">
        <v>-0.00895975649415659</v>
      </c>
      <c r="T135" s="0" t="n">
        <v>0.00201408144684966</v>
      </c>
      <c r="U135" s="0" t="n">
        <v>0.0070846170201344</v>
      </c>
      <c r="V135" s="0" t="n">
        <v>-0.0100805548263211</v>
      </c>
      <c r="W135" s="0" t="n">
        <v>-0.0254540296152248</v>
      </c>
      <c r="X135" s="0" t="n">
        <v>0.00324507445578658</v>
      </c>
    </row>
    <row r="136">
      <c r="A136" s="5" t="n">
        <v>42566</v>
      </c>
      <c r="B136" s="0" t="n">
        <v>0.000500574601915104</v>
      </c>
      <c r="C136" s="0" t="n">
        <v>0.000911951025893031</v>
      </c>
      <c r="D136" s="0" t="n">
        <v>-0.00337147444971641</v>
      </c>
      <c r="E136" s="0" t="n">
        <v>0.00587804232669464</v>
      </c>
      <c r="F136" s="0" t="n">
        <v>0.0324118985606198</v>
      </c>
      <c r="G136" s="0" t="n">
        <v>-0.0101301054023674</v>
      </c>
      <c r="H136" s="0" t="n">
        <v>0.0154146245980477</v>
      </c>
      <c r="I136" s="0" t="n">
        <v>0.00671659241292843</v>
      </c>
      <c r="J136" s="0" t="n">
        <v>0.00240101651323021</v>
      </c>
      <c r="K136" s="0" t="n">
        <v>-0.0699993831559813</v>
      </c>
      <c r="L136" s="0" t="n">
        <v>0.0148150713942039</v>
      </c>
      <c r="M136" s="0" t="n">
        <v>-0.003541784614697</v>
      </c>
      <c r="N136" s="0" t="n">
        <v>-0.0128536351921195</v>
      </c>
      <c r="O136" s="0" t="n">
        <v>-0.000933074864150285</v>
      </c>
      <c r="P136" s="0" t="n">
        <v>-0.011313779190778</v>
      </c>
      <c r="Q136" s="0" t="n">
        <v>0.008613268292652959</v>
      </c>
      <c r="R136" s="0" t="n">
        <v>-0.00226844387177393</v>
      </c>
      <c r="S136" s="0" t="n">
        <v>0.007968162080332681</v>
      </c>
      <c r="T136" s="0" t="n">
        <v>0.00301356843762601</v>
      </c>
      <c r="U136" s="0" t="n">
        <v>-0.00346378597134577</v>
      </c>
      <c r="V136" s="0" t="n">
        <v>-0.000526466395001534</v>
      </c>
      <c r="W136" s="0" t="n">
        <v>0.0118763706069113</v>
      </c>
      <c r="X136" s="0" t="n">
        <v>0.00431034729298618</v>
      </c>
    </row>
    <row r="137">
      <c r="A137" s="5" t="n">
        <v>42569</v>
      </c>
      <c r="B137" s="0" t="n">
        <v>-0.00175306066156455</v>
      </c>
      <c r="C137" s="0" t="n">
        <v>0.000607565885852423</v>
      </c>
      <c r="D137" s="0" t="n">
        <v>0.00025017849917841</v>
      </c>
      <c r="E137" s="0" t="n">
        <v>0</v>
      </c>
      <c r="F137" s="0" t="n">
        <v>0.010574689503922</v>
      </c>
      <c r="G137" s="0" t="n">
        <v>-0.00358376867319831</v>
      </c>
      <c r="H137" s="0" t="n">
        <v>-0.00767757336273167</v>
      </c>
      <c r="I137" s="0" t="n">
        <v>-0.0187115965855628</v>
      </c>
      <c r="J137" s="0" t="n">
        <v>0</v>
      </c>
      <c r="K137" s="0" t="n">
        <v>0.0149927703838403</v>
      </c>
      <c r="L137" s="0" t="n">
        <v>-0.0451204824787183</v>
      </c>
      <c r="M137" s="0" t="n">
        <v>0</v>
      </c>
      <c r="N137" s="0" t="n">
        <v>-0.0140044726933044</v>
      </c>
      <c r="O137" s="0" t="n">
        <v>-0.00186867649227995</v>
      </c>
      <c r="P137" s="0" t="n">
        <v>-0.0204349191238022</v>
      </c>
      <c r="Q137" s="0" t="n">
        <v>0.00171383569223793</v>
      </c>
      <c r="R137" s="0" t="n">
        <v>0.000309632852093955</v>
      </c>
      <c r="S137" s="0" t="n">
        <v>-0.0230817611624907</v>
      </c>
      <c r="T137" s="0" t="n">
        <v>0.000334288115919179</v>
      </c>
      <c r="U137" s="0" t="n">
        <v>0.000722639701630001</v>
      </c>
      <c r="V137" s="0" t="n">
        <v>-0.00647163141987228</v>
      </c>
      <c r="W137" s="0" t="n">
        <v>0.00186239380720332</v>
      </c>
      <c r="X137" s="0" t="n">
        <v>-0.00323099170937801</v>
      </c>
    </row>
    <row r="138">
      <c r="A138" s="5" t="n">
        <v>42570</v>
      </c>
      <c r="B138" s="0" t="n">
        <v>0.0110925220741551</v>
      </c>
      <c r="C138" s="0" t="n">
        <v>-0.00456555563574312</v>
      </c>
      <c r="D138" s="0" t="n">
        <v>0.0038689291142564</v>
      </c>
      <c r="E138" s="0" t="n">
        <v>0.00657177645166839</v>
      </c>
      <c r="F138" s="0" t="n">
        <v>0.009769749054231889</v>
      </c>
      <c r="G138" s="0" t="n">
        <v>0.00523351806872085</v>
      </c>
      <c r="H138" s="0" t="n">
        <v>0.020973102929171</v>
      </c>
      <c r="I138" s="0" t="n">
        <v>-0.0588882076214338</v>
      </c>
      <c r="J138" s="0" t="n">
        <v>0.00239515136272894</v>
      </c>
      <c r="K138" s="0" t="n">
        <v>0.0147713035345011</v>
      </c>
      <c r="L138" s="0" t="n">
        <v>-0.00578588563021242</v>
      </c>
      <c r="M138" s="0" t="n">
        <v>0.00109113256035175</v>
      </c>
      <c r="N138" s="0" t="n">
        <v>0.00196590715075606</v>
      </c>
      <c r="O138" s="0" t="n">
        <v>-0.00140386952425863</v>
      </c>
      <c r="P138" s="0" t="n">
        <v>0.0279916231121064</v>
      </c>
      <c r="Q138" s="0" t="n">
        <v>0.0034188034047502</v>
      </c>
      <c r="R138" s="0" t="n">
        <v>0.00103144385971809</v>
      </c>
      <c r="S138" s="0" t="n">
        <v>0.132007330190504</v>
      </c>
      <c r="T138" s="0" t="n">
        <v>0.0234527377894093</v>
      </c>
      <c r="U138" s="0" t="n">
        <v>-0.00303840325443349</v>
      </c>
      <c r="V138" s="0" t="n">
        <v>0.00330709999094214</v>
      </c>
      <c r="W138" s="0" t="n">
        <v>0.00494951886074668</v>
      </c>
      <c r="X138" s="0" t="n">
        <v>-0.00324156807612574</v>
      </c>
    </row>
    <row r="139">
      <c r="A139" s="5" t="n">
        <v>42571</v>
      </c>
      <c r="B139" s="0" t="n">
        <v>-0.0056555488926282</v>
      </c>
      <c r="C139" s="0" t="n">
        <v>-0.00581305721881042</v>
      </c>
      <c r="D139" s="0" t="n">
        <v>0.00149368644094582</v>
      </c>
      <c r="E139" s="0" t="n">
        <v>0.0130153902510237</v>
      </c>
      <c r="F139" s="0" t="n">
        <v>-0.009068716523513039</v>
      </c>
      <c r="G139" s="0" t="n">
        <v>-0.0121616324186284</v>
      </c>
      <c r="H139" s="0" t="n">
        <v>-0.022901741933315</v>
      </c>
      <c r="I139" s="0" t="n">
        <v>0.009415748455456891</v>
      </c>
      <c r="J139" s="0" t="n">
        <v>-0.00479616787595915</v>
      </c>
      <c r="K139" s="0" t="n">
        <v>0.0116619635603156</v>
      </c>
      <c r="L139" s="0" t="n">
        <v>0.0267191212004793</v>
      </c>
      <c r="M139" s="0" t="n">
        <v>0.000817516861074452</v>
      </c>
      <c r="N139" s="0" t="n">
        <v>0.00294166430816433</v>
      </c>
      <c r="O139" s="0" t="n">
        <v>-0.00445849917788265</v>
      </c>
      <c r="P139" s="0" t="n">
        <v>0.0393654980682769</v>
      </c>
      <c r="Q139" s="0" t="n">
        <v>-0.0034188034047502</v>
      </c>
      <c r="R139" s="0" t="n">
        <v>-0.000515628292368397</v>
      </c>
      <c r="S139" s="0" t="n">
        <v>0.00355239829475362</v>
      </c>
      <c r="T139" s="0" t="n">
        <v>-0.0016336954395979</v>
      </c>
      <c r="U139" s="0" t="n">
        <v>-0.00406561861203957</v>
      </c>
      <c r="V139" s="0" t="n">
        <v>-0.00290968620742049</v>
      </c>
      <c r="W139" s="0" t="n">
        <v>-0.00639773875077542</v>
      </c>
      <c r="X139" s="0" t="n">
        <v>-0.008695698854859209</v>
      </c>
    </row>
    <row r="140">
      <c r="A140" s="5" t="n">
        <v>42572</v>
      </c>
      <c r="B140" s="0" t="n">
        <v>0.0100460373258535</v>
      </c>
      <c r="C140" s="0" t="n">
        <v>-0.0163963314671216</v>
      </c>
      <c r="D140" s="0" t="n">
        <v>0.0146924653929021</v>
      </c>
      <c r="E140" s="0" t="n">
        <v>-0.0057636991725003</v>
      </c>
      <c r="F140" s="0" t="n">
        <v>0.00767889668375154</v>
      </c>
      <c r="G140" s="0" t="n">
        <v>0.000556031655845501</v>
      </c>
      <c r="H140" s="0" t="n">
        <v>0.0134230071684897</v>
      </c>
      <c r="I140" s="0" t="n">
        <v>0.009327918478614359</v>
      </c>
      <c r="J140" s="0" t="n">
        <v>0.0119476191619387</v>
      </c>
      <c r="K140" s="0" t="n">
        <v>-0.0145987854473441</v>
      </c>
      <c r="L140" s="0" t="n">
        <v>0</v>
      </c>
      <c r="M140" s="0" t="n">
        <v>0.000816952902686907</v>
      </c>
      <c r="N140" s="0" t="n">
        <v>0.00844984660610093</v>
      </c>
      <c r="O140" s="0" t="n">
        <v>0.0137804386774562</v>
      </c>
      <c r="P140" s="0" t="n">
        <v>-0.00604964840118071</v>
      </c>
      <c r="Q140" s="0" t="n">
        <v>0.0119149826312137</v>
      </c>
      <c r="R140" s="0" t="n">
        <v>-0.00413430972843542</v>
      </c>
      <c r="S140" s="0" t="n">
        <v>0.0374119584701206</v>
      </c>
      <c r="T140" s="0" t="n">
        <v>0.00424210663468427</v>
      </c>
      <c r="U140" s="0" t="n">
        <v>0.00188963279819009</v>
      </c>
      <c r="V140" s="0" t="n">
        <v>0.00238127252109343</v>
      </c>
      <c r="W140" s="0" t="n">
        <v>0.00041400244815648</v>
      </c>
      <c r="X140" s="0" t="n">
        <v>0.0130153559954808</v>
      </c>
    </row>
    <row r="141">
      <c r="A141" s="5" t="n">
        <v>42573</v>
      </c>
      <c r="B141" s="0" t="n">
        <v>0.00357222953217561</v>
      </c>
      <c r="C141" s="0" t="n">
        <v>-0.0131870234461013</v>
      </c>
      <c r="D141" s="0" t="n">
        <v>0.00476869546797686</v>
      </c>
      <c r="E141" s="0" t="n">
        <v>-0.000722821054547573</v>
      </c>
      <c r="F141" s="0" t="n">
        <v>-0.000695668124183868</v>
      </c>
      <c r="G141" s="0" t="n">
        <v>-0.00529466544119205</v>
      </c>
      <c r="H141" s="0" t="n">
        <v>-0.0192314193996618</v>
      </c>
      <c r="I141" s="0" t="n">
        <v>-0.0165201576224189</v>
      </c>
      <c r="J141" s="0" t="n">
        <v>-0.0143542995326177</v>
      </c>
      <c r="K141" s="0" t="n">
        <v>-0.0118344816474726</v>
      </c>
      <c r="L141" s="0" t="n">
        <v>0.00375939938582559</v>
      </c>
      <c r="M141" s="0" t="n">
        <v>0.00108806051488041</v>
      </c>
      <c r="N141" s="0" t="n">
        <v>-0.000647473579073132</v>
      </c>
      <c r="O141" s="0" t="n">
        <v>-0.00395124244803879</v>
      </c>
      <c r="P141" s="0" t="n">
        <v>-0.0638914510776649</v>
      </c>
      <c r="Q141" s="0" t="n">
        <v>-0.0084961792264635</v>
      </c>
      <c r="R141" s="0" t="n">
        <v>-0.0263408070752007</v>
      </c>
      <c r="S141" s="0" t="n">
        <v>-0.0146239230929432</v>
      </c>
      <c r="T141" s="0" t="n">
        <v>0.00260168703027252</v>
      </c>
      <c r="U141" s="0" t="n">
        <v>-0.000871677477794818</v>
      </c>
      <c r="V141" s="0" t="n">
        <v>-0.00158691845359282</v>
      </c>
      <c r="W141" s="0" t="n">
        <v>-0.00414767840126595</v>
      </c>
      <c r="X141" s="0" t="n">
        <v>0.0021529026448821</v>
      </c>
    </row>
    <row r="142">
      <c r="A142" s="5" t="n">
        <v>42576</v>
      </c>
      <c r="B142" s="0" t="n">
        <v>-0.00326384375230315</v>
      </c>
      <c r="C142" s="0" t="n">
        <v>-0.00538743672391905</v>
      </c>
      <c r="D142" s="0" t="n">
        <v>0.00134080572487427</v>
      </c>
      <c r="E142" s="0" t="n">
        <v>0.00216682883088292</v>
      </c>
      <c r="F142" s="0" t="n">
        <v>0.0110727670773784</v>
      </c>
      <c r="G142" s="0" t="n">
        <v>0.0174494736649153</v>
      </c>
      <c r="H142" s="0" t="n">
        <v>-0.004866185179766</v>
      </c>
      <c r="I142" s="0" t="n">
        <v>0.0159738462602319</v>
      </c>
      <c r="J142" s="0" t="n">
        <v>0.0470674659543342</v>
      </c>
      <c r="K142" s="0" t="n">
        <v>0.00888892151446829</v>
      </c>
      <c r="L142" s="0" t="n">
        <v>0.0618379073316908</v>
      </c>
      <c r="M142" s="0" t="n">
        <v>0.00135859418650774</v>
      </c>
      <c r="N142" s="0" t="n">
        <v>-0.008128804533710451</v>
      </c>
      <c r="O142" s="0" t="n">
        <v>-0.0131271824255705</v>
      </c>
      <c r="P142" s="0" t="n">
        <v>0.0405632500574504</v>
      </c>
      <c r="Q142" s="0" t="n">
        <v>0.00510634862256575</v>
      </c>
      <c r="R142" s="0" t="n">
        <v>-0.00202248663355941</v>
      </c>
      <c r="S142" s="0" t="n">
        <v>0.008628214024049889</v>
      </c>
      <c r="T142" s="0" t="n">
        <v>0.00291870630835155</v>
      </c>
      <c r="U142" s="0" t="n">
        <v>-0.0127260216005273</v>
      </c>
      <c r="V142" s="0" t="n">
        <v>-0.00663924914166802</v>
      </c>
      <c r="W142" s="0" t="n">
        <v>-0.00312202794837768</v>
      </c>
      <c r="X142" s="0" t="n">
        <v>0.0117585167134492</v>
      </c>
    </row>
    <row r="143">
      <c r="A143" s="5" t="n">
        <v>42577</v>
      </c>
      <c r="B143" s="0" t="n">
        <v>-0.00179035879812516</v>
      </c>
      <c r="C143" s="0" t="n">
        <v>-0.00605577109691246</v>
      </c>
      <c r="D143" s="0" t="n">
        <v>0.0158321659113438</v>
      </c>
      <c r="E143" s="0" t="n">
        <v>-0.00144400777633535</v>
      </c>
      <c r="F143" s="0" t="n">
        <v>0.00685876364994397</v>
      </c>
      <c r="G143" s="0" t="n">
        <v>-0.0236154466426041</v>
      </c>
      <c r="H143" s="0" t="n">
        <v>0</v>
      </c>
      <c r="I143" s="0" t="n">
        <v>0.0296119159744465</v>
      </c>
      <c r="J143" s="0" t="n">
        <v>0.0114287394215866</v>
      </c>
      <c r="K143" s="0" t="n">
        <v>-0.0576790945536391</v>
      </c>
      <c r="L143" s="0" t="n">
        <v>0.0174829460189951</v>
      </c>
      <c r="M143" s="0" t="n">
        <v>0.000542797054140731</v>
      </c>
      <c r="N143" s="0" t="n">
        <v>0.00260841119508636</v>
      </c>
      <c r="O143" s="0" t="n">
        <v>0.00892646886020642</v>
      </c>
      <c r="P143" s="0" t="n">
        <v>-0.0522745294215218</v>
      </c>
      <c r="Q143" s="0" t="n">
        <v>-0.00169919362223835</v>
      </c>
      <c r="R143" s="0" t="n">
        <v>-0.0120056657605243</v>
      </c>
      <c r="S143" s="0" t="n">
        <v>0.00257398103770434</v>
      </c>
      <c r="T143" s="0" t="n">
        <v>-0.00389354590099255</v>
      </c>
      <c r="U143" s="0" t="n">
        <v>-0.0175234704153552</v>
      </c>
      <c r="V143" s="0" t="n">
        <v>0.0186107618384854</v>
      </c>
      <c r="W143" s="0" t="n">
        <v>0.000625169946699255</v>
      </c>
      <c r="X143" s="0" t="n">
        <v>0.00106215930563235</v>
      </c>
    </row>
    <row r="144">
      <c r="A144" s="5" t="n">
        <v>42578</v>
      </c>
      <c r="B144" s="0" t="n">
        <v>-0.00284657814870392</v>
      </c>
      <c r="C144" s="0" t="n">
        <v>-0.000959559016584066</v>
      </c>
      <c r="D144" s="0" t="n">
        <v>-0.00565144551757779</v>
      </c>
      <c r="E144" s="0" t="n">
        <v>-0.085173873011962</v>
      </c>
      <c r="F144" s="0" t="n">
        <v>0.00341182112053184</v>
      </c>
      <c r="G144" s="0" t="n">
        <v>-0.0334459686444836</v>
      </c>
      <c r="H144" s="0" t="n">
        <v>-0.020700572054592</v>
      </c>
      <c r="I144" s="0" t="n">
        <v>-0.0612548398636181</v>
      </c>
      <c r="J144" s="0" t="n">
        <v>-0.009132474615119341</v>
      </c>
      <c r="K144" s="0" t="n">
        <v>0.0606246546866435</v>
      </c>
      <c r="L144" s="0" t="n">
        <v>0.00518587322331631</v>
      </c>
      <c r="M144" s="0" t="n">
        <v>-0.00489664507758735</v>
      </c>
      <c r="N144" s="0" t="n">
        <v>0.00389993478268957</v>
      </c>
      <c r="O144" s="0" t="n">
        <v>-0.00421834443561852</v>
      </c>
      <c r="P144" s="0" t="n">
        <v>0.0155847779874869</v>
      </c>
      <c r="Q144" s="0" t="n">
        <v>-0.00170216702916903</v>
      </c>
      <c r="R144" s="0" t="n">
        <v>0.00709218557281854</v>
      </c>
      <c r="S144" s="0" t="n">
        <v>0.0186762867415284</v>
      </c>
      <c r="T144" s="0" t="n">
        <v>-0.00783293066326962</v>
      </c>
      <c r="U144" s="0" t="n">
        <v>0.0053787759845818</v>
      </c>
      <c r="V144" s="0" t="n">
        <v>-0.023954000482373</v>
      </c>
      <c r="W144" s="0" t="n">
        <v>0.00270469459942335</v>
      </c>
      <c r="X144" s="0" t="n">
        <v>0.00423729040881992</v>
      </c>
    </row>
    <row r="145">
      <c r="A145" s="5" t="n">
        <v>42579</v>
      </c>
      <c r="B145" s="0" t="n">
        <v>-0.00465853833423324</v>
      </c>
      <c r="C145" s="0" t="n">
        <v>-0.0035261755106295</v>
      </c>
      <c r="D145" s="0" t="n">
        <v>-0.000482461902990394</v>
      </c>
      <c r="E145" s="0" t="n">
        <v>-0.00394168353942392</v>
      </c>
      <c r="F145" s="0" t="n">
        <v>-0.0130273034381671</v>
      </c>
      <c r="G145" s="0" t="n">
        <v>-0.00612344525154018</v>
      </c>
      <c r="H145" s="0" t="n">
        <v>0.0400249025421766</v>
      </c>
      <c r="I145" s="0" t="n">
        <v>0.008424628540853791</v>
      </c>
      <c r="J145" s="0" t="n">
        <v>0.00685710869026334</v>
      </c>
      <c r="K145" s="0" t="n">
        <v>0.0116960632055098</v>
      </c>
      <c r="L145" s="0" t="n">
        <v>-0.00865809562843522</v>
      </c>
      <c r="M145" s="0" t="n">
        <v>0.00598156291349027</v>
      </c>
      <c r="N145" s="0" t="n">
        <v>0.0195927451241777</v>
      </c>
      <c r="O145" s="0" t="n">
        <v>0.0165369801345658</v>
      </c>
      <c r="P145" s="0" t="n">
        <v>0.0366897514340349</v>
      </c>
      <c r="Q145" s="0" t="n">
        <v>-0.0154508953607994</v>
      </c>
      <c r="R145" s="0" t="n">
        <v>-0.00720005438913862</v>
      </c>
      <c r="S145" s="0" t="n">
        <v>-0.011844498987438</v>
      </c>
      <c r="T145" s="0" t="n">
        <v>0.000327607822566022</v>
      </c>
      <c r="U145" s="0" t="n">
        <v>0.008753061575624161</v>
      </c>
      <c r="V145" s="0" t="n">
        <v>0.00200701071263154</v>
      </c>
      <c r="W145" s="0" t="n">
        <v>-0.0033298645461226</v>
      </c>
      <c r="X145" s="0" t="n">
        <v>0.00421941151025873</v>
      </c>
    </row>
    <row r="146">
      <c r="A146" s="5" t="n">
        <v>42580</v>
      </c>
      <c r="B146" s="0" t="n">
        <v>0.00515418194156147</v>
      </c>
      <c r="C146" s="0" t="n">
        <v>0.0003210641242819</v>
      </c>
      <c r="D146" s="0" t="n">
        <v>0.00349251774358361</v>
      </c>
      <c r="E146" s="0" t="n">
        <v>-0.0143200784017745</v>
      </c>
      <c r="F146" s="0" t="n">
        <v>-0.0111035040207343</v>
      </c>
      <c r="G146" s="0" t="n">
        <v>-0.00527861381780869</v>
      </c>
      <c r="H146" s="0" t="n">
        <v>-0.0193243304875845</v>
      </c>
      <c r="I146" s="0" t="n">
        <v>0.0111236279358566</v>
      </c>
      <c r="J146" s="0" t="n">
        <v>-0.0114548134029626</v>
      </c>
      <c r="K146" s="0" t="n">
        <v>-0.0116960632055098</v>
      </c>
      <c r="L146" s="0" t="n">
        <v>-0.0408219979755968</v>
      </c>
      <c r="M146" s="0" t="n">
        <v>0.0113209289772435</v>
      </c>
      <c r="N146" s="0" t="n">
        <v>-0.013448812042129</v>
      </c>
      <c r="O146" s="0" t="n">
        <v>-0.00254425044840411</v>
      </c>
      <c r="P146" s="0" t="n">
        <v>-0.0562089257060494</v>
      </c>
      <c r="Q146" s="0" t="n">
        <v>0.00345423145438639</v>
      </c>
      <c r="R146" s="0" t="n">
        <v>0.00827024365642081</v>
      </c>
      <c r="S146" s="0" t="n">
        <v>0.00847465918250955</v>
      </c>
      <c r="T146" s="0" t="n">
        <v>0.0065295320084493</v>
      </c>
      <c r="U146" s="0" t="n">
        <v>-0.000738757668277578</v>
      </c>
      <c r="V146" s="0" t="n">
        <v>0.0182787192790199</v>
      </c>
      <c r="W146" s="0" t="n">
        <v>-0.00334098959925199</v>
      </c>
      <c r="X146" s="0" t="n">
        <v>-0.0127120233878379</v>
      </c>
    </row>
    <row r="147">
      <c r="A147" s="5" t="n">
        <v>42583</v>
      </c>
      <c r="B147" s="0" t="n">
        <v>-0.00540320614280354</v>
      </c>
      <c r="C147" s="0" t="n">
        <v>-0.00321541716536755</v>
      </c>
      <c r="D147" s="0" t="n">
        <v>0.00168167474644942</v>
      </c>
      <c r="E147" s="0" t="n">
        <v>-0.0442332534408214</v>
      </c>
      <c r="F147" s="0" t="n">
        <v>-0.0140550317204279</v>
      </c>
      <c r="G147" s="0" t="n">
        <v>-0.0420355411490209</v>
      </c>
      <c r="H147" s="0" t="n">
        <v>0.0106745974109381</v>
      </c>
      <c r="I147" s="0" t="n">
        <v>0.00110560860322239</v>
      </c>
      <c r="J147" s="0" t="n">
        <v>-0.0256723857035279</v>
      </c>
      <c r="K147" s="0" t="n">
        <v>0.0058651312421023</v>
      </c>
      <c r="L147" s="0" t="n">
        <v>0.00361663703979497</v>
      </c>
      <c r="M147" s="0" t="n">
        <v>-0.0249674291890911</v>
      </c>
      <c r="N147" s="0" t="n">
        <v>-0.0139590093544677</v>
      </c>
      <c r="O147" s="0" t="n">
        <v>-0.000463295299654387</v>
      </c>
      <c r="P147" s="0" t="n">
        <v>0.0259417671068371</v>
      </c>
      <c r="Q147" s="0" t="n">
        <v>-0.00865809562843522</v>
      </c>
      <c r="R147" s="0" t="n">
        <v>0.0477250554726262</v>
      </c>
      <c r="S147" s="0" t="n">
        <v>-0.0422295167017461</v>
      </c>
      <c r="T147" s="0" t="n">
        <v>-0.00358594360852926</v>
      </c>
      <c r="U147" s="0" t="n">
        <v>-0.00459301782173859</v>
      </c>
      <c r="V147" s="0" t="n">
        <v>-0.01507565378611</v>
      </c>
      <c r="W147" s="0" t="n">
        <v>-0.00230343747310657</v>
      </c>
      <c r="X147" s="0" t="n">
        <v>-0.0117963462597003</v>
      </c>
    </row>
    <row r="148">
      <c r="A148" s="5" t="n">
        <v>42584</v>
      </c>
      <c r="B148" s="0" t="n">
        <v>0.000560288499579009</v>
      </c>
      <c r="C148" s="0" t="n">
        <v>0.00257312208027249</v>
      </c>
      <c r="D148" s="0" t="n">
        <v>-0.00722718721290682</v>
      </c>
      <c r="E148" s="0" t="n">
        <v>0.015787659569816</v>
      </c>
      <c r="F148" s="0" t="n">
        <v>0.0244681505484756</v>
      </c>
      <c r="G148" s="0" t="n">
        <v>0.01793089038462</v>
      </c>
      <c r="H148" s="0" t="n">
        <v>0.0443677813358835</v>
      </c>
      <c r="I148" s="0" t="n">
        <v>-0.00110560860322239</v>
      </c>
      <c r="J148" s="0" t="n">
        <v>0</v>
      </c>
      <c r="K148" s="0" t="n">
        <v>0.0595920900004858</v>
      </c>
      <c r="L148" s="0" t="n">
        <v>0.0441377911230229</v>
      </c>
      <c r="M148" s="0" t="n">
        <v>-0.0306943312214138</v>
      </c>
      <c r="N148" s="0" t="n">
        <v>-0.00261865692053309</v>
      </c>
      <c r="O148" s="0" t="n">
        <v>-0.000463510041681658</v>
      </c>
      <c r="P148" s="0" t="n">
        <v>0.0487291744848263</v>
      </c>
      <c r="Q148" s="0" t="n">
        <v>-0.00348432075390481</v>
      </c>
      <c r="R148" s="0" t="n">
        <v>-0.00644533675651448</v>
      </c>
      <c r="S148" s="0" t="n">
        <v>-0.00529564047344521</v>
      </c>
      <c r="T148" s="0" t="n">
        <v>0.00326046829017778</v>
      </c>
      <c r="U148" s="0" t="n">
        <v>-0.0145091708098314</v>
      </c>
      <c r="V148" s="0" t="n">
        <v>-0.00333667296313322</v>
      </c>
      <c r="W148" s="0" t="n">
        <v>-0.00272910985994245</v>
      </c>
      <c r="X148" s="0" t="n">
        <v>0.0117963462597003</v>
      </c>
    </row>
    <row r="149">
      <c r="A149" s="5" t="n">
        <v>42585</v>
      </c>
      <c r="B149" s="0" t="n">
        <v>0.00546215050211795</v>
      </c>
      <c r="C149" s="0" t="n">
        <v>0.00128411425252439</v>
      </c>
      <c r="D149" s="0" t="n">
        <v>-0.00363332182264297</v>
      </c>
      <c r="E149" s="0" t="n">
        <v>-0.00413054619954955</v>
      </c>
      <c r="F149" s="0" t="n">
        <v>0</v>
      </c>
      <c r="G149" s="0" t="n">
        <v>-0.0197725536869688</v>
      </c>
      <c r="H149" s="0" t="n">
        <v>0.0228215989969382</v>
      </c>
      <c r="I149" s="0" t="n">
        <v>-0.00276927544550753</v>
      </c>
      <c r="J149" s="0" t="n">
        <v>0</v>
      </c>
      <c r="K149" s="0" t="n">
        <v>0.178641651218696</v>
      </c>
      <c r="L149" s="0" t="n">
        <v>0.0222041767869247</v>
      </c>
      <c r="M149" s="0" t="n">
        <v>-0.00397500196297828</v>
      </c>
      <c r="N149" s="0" t="n">
        <v>-0.00855832175359072</v>
      </c>
      <c r="O149" s="0" t="n">
        <v>-0.00139173202107389</v>
      </c>
      <c r="P149" s="0" t="n">
        <v>0.00850043337805894</v>
      </c>
      <c r="Q149" s="0" t="n">
        <v>0.0224340923175947</v>
      </c>
      <c r="R149" s="0" t="n">
        <v>-0.00473250966459026</v>
      </c>
      <c r="S149" s="0" t="n">
        <v>0.00968740790332622</v>
      </c>
      <c r="T149" s="0" t="n">
        <v>0.00260077928103763</v>
      </c>
      <c r="U149" s="0" t="n">
        <v>0.00375968545240557</v>
      </c>
      <c r="V149" s="0" t="n">
        <v>0.00692777395789701</v>
      </c>
      <c r="W149" s="0" t="n">
        <v>0.00565980880303174</v>
      </c>
      <c r="X149" s="0" t="n">
        <v>-0.00320339111916112</v>
      </c>
    </row>
    <row r="150">
      <c r="A150" s="5" t="n">
        <v>42586</v>
      </c>
      <c r="B150" s="0" t="n">
        <v>0.011998279176316</v>
      </c>
      <c r="C150" s="0" t="n">
        <v>0.00352285123550233</v>
      </c>
      <c r="D150" s="0" t="n">
        <v>-0.0104891879221398</v>
      </c>
      <c r="E150" s="0" t="n">
        <v>0.009064722879208009</v>
      </c>
      <c r="F150" s="0" t="n">
        <v>0.038609648524241</v>
      </c>
      <c r="G150" s="0" t="n">
        <v>0.00214821923310681</v>
      </c>
      <c r="H150" s="0" t="n">
        <v>0.0027039198397305</v>
      </c>
      <c r="I150" s="0" t="n">
        <v>-0.0321245773229716</v>
      </c>
      <c r="J150" s="0" t="n">
        <v>0.00236121769501473</v>
      </c>
      <c r="K150" s="0" t="n">
        <v>0.141563597832232</v>
      </c>
      <c r="L150" s="0" t="n">
        <v>0.0167507943689715</v>
      </c>
      <c r="M150" s="0" t="n">
        <v>0.008216425319965019</v>
      </c>
      <c r="N150" s="0" t="n">
        <v>-0.0123068522990283</v>
      </c>
      <c r="O150" s="0" t="n">
        <v>0.00185524206275555</v>
      </c>
      <c r="P150" s="0" t="n">
        <v>0.008428670278648459</v>
      </c>
      <c r="Q150" s="0" t="n">
        <v>0.0285974191602322</v>
      </c>
      <c r="R150" s="0" t="n">
        <v>0.00411651829343018</v>
      </c>
      <c r="S150" s="0" t="n">
        <v>0</v>
      </c>
      <c r="T150" s="0" t="n">
        <v>0.00776205960133236</v>
      </c>
      <c r="U150" s="0" t="n">
        <v>-0.00135191858748751</v>
      </c>
      <c r="V150" s="0" t="n">
        <v>-0.174176395568335</v>
      </c>
      <c r="W150" s="0" t="n">
        <v>0.0174061615564213</v>
      </c>
      <c r="X150" s="0" t="n">
        <v>0.0418909009102597</v>
      </c>
    </row>
    <row r="151">
      <c r="A151" s="5" t="n">
        <v>42587</v>
      </c>
      <c r="B151" s="0" t="n">
        <v>-0.00896981343621305</v>
      </c>
      <c r="C151" s="0" t="n">
        <v>-0.000319729565172011</v>
      </c>
      <c r="D151" s="0" t="n">
        <v>0.000490327498178899</v>
      </c>
      <c r="E151" s="0" t="n">
        <v>-0.000820621732919413</v>
      </c>
      <c r="F151" s="0" t="n">
        <v>0.00530153149580803</v>
      </c>
      <c r="G151" s="0" t="n">
        <v>-0.00954874210868794</v>
      </c>
      <c r="H151" s="0" t="n">
        <v>-0.008133792408044229</v>
      </c>
      <c r="I151" s="0" t="n">
        <v>0.0113896885597495</v>
      </c>
      <c r="J151" s="0" t="n">
        <v>-0.00472813693199891</v>
      </c>
      <c r="K151" s="0" t="n">
        <v>-0.0512933069358969</v>
      </c>
      <c r="L151" s="0" t="n">
        <v>0.00165978938080479</v>
      </c>
      <c r="M151" s="0" t="n">
        <v>-0.0144950194316111</v>
      </c>
      <c r="N151" s="0" t="n">
        <v>0.0132981190679615</v>
      </c>
      <c r="O151" s="0" t="n">
        <v>-0.00534324750938042</v>
      </c>
      <c r="P151" s="0" t="n">
        <v>0.0434085605775216</v>
      </c>
      <c r="Q151" s="0" t="n">
        <v>0.0115417100120789</v>
      </c>
      <c r="R151" s="0" t="n">
        <v>-0.0019532510802751</v>
      </c>
      <c r="S151" s="0" t="n">
        <v>0</v>
      </c>
      <c r="T151" s="0" t="n">
        <v>-0.0009669843168378371</v>
      </c>
      <c r="U151" s="0" t="n">
        <v>-0.0006014271198697679</v>
      </c>
      <c r="V151" s="0" t="n">
        <v>-0.0482372130881492</v>
      </c>
      <c r="W151" s="0" t="n">
        <v>0.00471359704315288</v>
      </c>
      <c r="X151" s="0" t="n">
        <v>-0.00102619085447441</v>
      </c>
    </row>
    <row r="152">
      <c r="A152" s="5" t="n">
        <v>42590</v>
      </c>
      <c r="B152" s="0" t="n">
        <v>-0.00166757714878063</v>
      </c>
      <c r="C152" s="0" t="n">
        <v>0.000958882177860331</v>
      </c>
      <c r="D152" s="0" t="n">
        <v>-0.00122622302374786</v>
      </c>
      <c r="E152" s="0" t="n">
        <v>0.0106166869465935</v>
      </c>
      <c r="F152" s="0" t="n">
        <v>0.00395775361903982</v>
      </c>
      <c r="G152" s="0" t="n">
        <v>-0.0006192092165355761</v>
      </c>
      <c r="H152" s="0" t="n">
        <v>0.0135198673294447</v>
      </c>
      <c r="I152" s="0" t="n">
        <v>0.025162119062279</v>
      </c>
      <c r="J152" s="0" t="n">
        <v>-0.00713433073982039</v>
      </c>
      <c r="K152" s="0" t="n">
        <v>0.0104712900638997</v>
      </c>
      <c r="L152" s="0" t="n">
        <v>0.006611587818518</v>
      </c>
      <c r="M152" s="0" t="n">
        <v>0.00428515214500091</v>
      </c>
      <c r="N152" s="0" t="n">
        <v>-0.00430254072498481</v>
      </c>
      <c r="O152" s="0" t="n">
        <v>0.00348800544662486</v>
      </c>
      <c r="P152" s="0" t="n">
        <v>0.00572413583227637</v>
      </c>
      <c r="Q152" s="0" t="n">
        <v>0.00490601307185101</v>
      </c>
      <c r="R152" s="0" t="n">
        <v>0.00277446251935753</v>
      </c>
      <c r="S152" s="0" t="n">
        <v>0.0156525200163257</v>
      </c>
      <c r="T152" s="0" t="n">
        <v>-0.00225987808726824</v>
      </c>
      <c r="U152" s="0" t="n">
        <v>0.00195334570735727</v>
      </c>
      <c r="V152" s="0" t="n">
        <v>0.0214921138524317</v>
      </c>
      <c r="W152" s="0" t="n">
        <v>0.000408840106522312</v>
      </c>
      <c r="X152" s="0" t="n">
        <v>-0.00411522830933241</v>
      </c>
    </row>
    <row r="153">
      <c r="A153" s="5" t="n">
        <v>42591</v>
      </c>
      <c r="B153" s="0" t="n">
        <v>0.00191445204528672</v>
      </c>
      <c r="C153" s="0" t="n">
        <v>-0.000958882177860331</v>
      </c>
      <c r="D153" s="0" t="n">
        <v>-0.0117248727373313</v>
      </c>
      <c r="E153" s="0" t="n">
        <v>-0.00488603729309078</v>
      </c>
      <c r="F153" s="0" t="n">
        <v>-0.0253346323701029</v>
      </c>
      <c r="G153" s="0" t="n">
        <v>0.00648247621223063</v>
      </c>
      <c r="H153" s="0" t="n">
        <v>-0.0071878755503818</v>
      </c>
      <c r="I153" s="0" t="n">
        <v>0.0458671429417854</v>
      </c>
      <c r="J153" s="0" t="n">
        <v>0.00476190916484808</v>
      </c>
      <c r="K153" s="0" t="n">
        <v>0.0606246254686803</v>
      </c>
      <c r="L153" s="0" t="n">
        <v>-0.045500682914005</v>
      </c>
      <c r="M153" s="0" t="n">
        <v>0.00142427698185887</v>
      </c>
      <c r="N153" s="0" t="n">
        <v>0.00628206842885203</v>
      </c>
      <c r="O153" s="0" t="n">
        <v>0.00278161811892241</v>
      </c>
      <c r="P153" s="0" t="n">
        <v>-0.0161108596769703</v>
      </c>
      <c r="Q153" s="0" t="n">
        <v>-0.0065466618398231</v>
      </c>
      <c r="R153" s="0" t="n">
        <v>-0.00349503174601029</v>
      </c>
      <c r="S153" s="0" t="n">
        <v>-0.0104077160952309</v>
      </c>
      <c r="T153" s="0" t="n">
        <v>-0.00291309968928965</v>
      </c>
      <c r="U153" s="0" t="n">
        <v>0.00329677494487956</v>
      </c>
      <c r="V153" s="0" t="n">
        <v>-0.016859369108686</v>
      </c>
      <c r="W153" s="0" t="n">
        <v>-0.015446708017218</v>
      </c>
      <c r="X153" s="0" t="n">
        <v>-0.0166323843843883</v>
      </c>
    </row>
    <row r="154">
      <c r="A154" s="5" t="n">
        <v>42592</v>
      </c>
      <c r="B154" s="0" t="n">
        <v>0.00890640048199387</v>
      </c>
      <c r="C154" s="0" t="n">
        <v>0.000639356936023016</v>
      </c>
      <c r="D154" s="0" t="n">
        <v>0.000124070595380665</v>
      </c>
      <c r="E154" s="0" t="n">
        <v>0.00488603729309078</v>
      </c>
      <c r="F154" s="0" t="n">
        <v>0.00471538048282527</v>
      </c>
      <c r="G154" s="0" t="n">
        <v>-0.0061728827274976</v>
      </c>
      <c r="H154" s="0" t="n">
        <v>0.0240546592691071</v>
      </c>
      <c r="I154" s="0" t="n">
        <v>0</v>
      </c>
      <c r="J154" s="0" t="n">
        <v>0.00473934081195648</v>
      </c>
      <c r="K154" s="0" t="n">
        <v>-0.009852287185835079</v>
      </c>
      <c r="L154" s="0" t="n">
        <v>0.0136988309355821</v>
      </c>
      <c r="M154" s="0" t="n">
        <v>0.000569164984786318</v>
      </c>
      <c r="N154" s="0" t="n">
        <v>0.0026333103895153</v>
      </c>
      <c r="O154" s="0" t="n">
        <v>0.00438847283291821</v>
      </c>
      <c r="P154" s="0" t="n">
        <v>0.0607610906285791</v>
      </c>
      <c r="Q154" s="0" t="n">
        <v>0.0195127953109288</v>
      </c>
      <c r="R154" s="0" t="n">
        <v>-0.00113338438803634</v>
      </c>
      <c r="S154" s="0" t="n">
        <v>-0.00436874351331262</v>
      </c>
      <c r="T154" s="0" t="n">
        <v>0.00323626106461016</v>
      </c>
      <c r="U154" s="0" t="n">
        <v>-0.00149720762302241</v>
      </c>
      <c r="V154" s="0" t="n">
        <v>0.00641712411660755</v>
      </c>
      <c r="W154" s="0" t="n">
        <v>0.00124458369221613</v>
      </c>
      <c r="X154" s="0" t="n">
        <v>0.00313969211450526</v>
      </c>
    </row>
    <row r="155">
      <c r="A155" s="5" t="n">
        <v>42593</v>
      </c>
      <c r="B155" s="0" t="n">
        <v>-0.009708825506083761</v>
      </c>
      <c r="C155" s="0" t="n">
        <v>-0.00159922294835945</v>
      </c>
      <c r="D155" s="0" t="n">
        <v>-0.00422934254601692</v>
      </c>
      <c r="E155" s="0" t="n">
        <v>0.00162333670475822</v>
      </c>
      <c r="F155" s="0" t="n">
        <v>0.00201408144684966</v>
      </c>
      <c r="G155" s="0" t="n">
        <v>0.00863145276750465</v>
      </c>
      <c r="H155" s="0" t="n">
        <v>-0.0070671603463206</v>
      </c>
      <c r="I155" s="0" t="n">
        <v>-0.00422833227313557</v>
      </c>
      <c r="J155" s="0" t="n">
        <v>-0.00473934081195648</v>
      </c>
      <c r="K155" s="0" t="n">
        <v>-0.0782291458271093</v>
      </c>
      <c r="L155" s="0" t="n">
        <v>-0.0416727395360758</v>
      </c>
      <c r="M155" s="0" t="n">
        <v>-0.0048482051631522</v>
      </c>
      <c r="N155" s="0" t="n">
        <v>-0.0152371612484705</v>
      </c>
      <c r="O155" s="0" t="n">
        <v>-0.00253837941017831</v>
      </c>
      <c r="P155" s="0" t="n">
        <v>0.0247991677547925</v>
      </c>
      <c r="Q155" s="0" t="n">
        <v>-0.00161164080085929</v>
      </c>
      <c r="R155" s="0" t="n">
        <v>0.00442319606612429</v>
      </c>
      <c r="S155" s="0" t="n">
        <v>-0.00175288897040237</v>
      </c>
      <c r="T155" s="0" t="n">
        <v>-0.00258815808119505</v>
      </c>
      <c r="U155" s="0" t="n">
        <v>0</v>
      </c>
      <c r="V155" s="0" t="n">
        <v>-0.00559212224051552</v>
      </c>
      <c r="W155" s="0" t="n">
        <v>-0.00707305094063892</v>
      </c>
      <c r="X155" s="0" t="n">
        <v>-0.00944890559644395</v>
      </c>
    </row>
    <row r="156">
      <c r="A156" s="5" t="n">
        <v>42594</v>
      </c>
      <c r="B156" s="0" t="n">
        <v>-0.000432276602685632</v>
      </c>
      <c r="C156" s="0" t="n">
        <v>0</v>
      </c>
      <c r="D156" s="0" t="n">
        <v>0.0004985158962984571</v>
      </c>
      <c r="E156" s="0" t="n">
        <v>0.008077619085585569</v>
      </c>
      <c r="F156" s="0" t="n">
        <v>0.00735055827021291</v>
      </c>
      <c r="G156" s="0" t="n">
        <v>0.00459341515133227</v>
      </c>
      <c r="H156" s="0" t="n">
        <v>0.0105820990515725</v>
      </c>
      <c r="I156" s="0" t="n">
        <v>-0.00212083901906989</v>
      </c>
      <c r="J156" s="0" t="n">
        <v>0.00710055850697122</v>
      </c>
      <c r="K156" s="0" t="n">
        <v>0.0782291458271093</v>
      </c>
      <c r="L156" s="0" t="n">
        <v>0.0279739086004937</v>
      </c>
      <c r="M156" s="0" t="n">
        <v>0.00370955106030557</v>
      </c>
      <c r="N156" s="0" t="n">
        <v>0.00200071336324336</v>
      </c>
      <c r="O156" s="0" t="n">
        <v>-0.0060254718531385</v>
      </c>
      <c r="P156" s="0" t="n">
        <v>0.0168958446821112</v>
      </c>
      <c r="Q156" s="0" t="n">
        <v>0.0112270903154483</v>
      </c>
      <c r="R156" s="0" t="n">
        <v>0.00153839858283522</v>
      </c>
      <c r="S156" s="0" t="n">
        <v>0.025975503563393</v>
      </c>
      <c r="T156" s="0" t="n">
        <v>0.0103126820423122</v>
      </c>
      <c r="U156" s="0" t="n">
        <v>-0.00721801220310869</v>
      </c>
      <c r="V156" s="0" t="n">
        <v>-0.009945420771715339</v>
      </c>
      <c r="W156" s="0" t="n">
        <v>0.00769472288342232</v>
      </c>
      <c r="X156" s="0" t="n">
        <v>0.0208776648352868</v>
      </c>
    </row>
    <row r="157">
      <c r="A157" s="5" t="n">
        <v>42597</v>
      </c>
      <c r="B157" s="0" t="n">
        <v>-0.00731609641776209</v>
      </c>
      <c r="C157" s="0" t="n">
        <v>-0.00160178455953241</v>
      </c>
      <c r="D157" s="0" t="n">
        <v>-0.00524680532004406</v>
      </c>
      <c r="E157" s="0" t="n">
        <v>-0.00726689923162204</v>
      </c>
      <c r="F157" s="0" t="n">
        <v>0.009937121576775169</v>
      </c>
      <c r="G157" s="0" t="n">
        <v>-0.0194360919262304</v>
      </c>
      <c r="H157" s="0" t="n">
        <v>-0.00792605758364639</v>
      </c>
      <c r="I157" s="0" t="n">
        <v>-0.000530938630024291</v>
      </c>
      <c r="J157" s="0" t="n">
        <v>-0.009478735386040819</v>
      </c>
      <c r="K157" s="0" t="n">
        <v>0.0273454513889507</v>
      </c>
      <c r="L157" s="0" t="n">
        <v>0.0255332370635639</v>
      </c>
      <c r="M157" s="0" t="n">
        <v>-0.009155992084652009</v>
      </c>
      <c r="N157" s="0" t="n">
        <v>-0.0201891236873796</v>
      </c>
      <c r="O157" s="0" t="n">
        <v>-0.0249483727712553</v>
      </c>
      <c r="P157" s="0" t="n">
        <v>0</v>
      </c>
      <c r="Q157" s="0" t="n">
        <v>0.00159366228627355</v>
      </c>
      <c r="R157" s="0" t="n">
        <v>-0.000205024829287303</v>
      </c>
      <c r="S157" s="0" t="n">
        <v>-0.013769567727262</v>
      </c>
      <c r="T157" s="0" t="n">
        <v>-0.00224682146458654</v>
      </c>
      <c r="U157" s="0" t="n">
        <v>0</v>
      </c>
      <c r="V157" s="0" t="n">
        <v>-0.0103818571296043</v>
      </c>
      <c r="W157" s="0" t="n">
        <v>0.0035156311787392</v>
      </c>
      <c r="X157" s="0" t="n">
        <v>-0.00414078857806199</v>
      </c>
    </row>
    <row r="158">
      <c r="A158" s="5" t="n">
        <v>42598</v>
      </c>
      <c r="B158" s="0" t="n">
        <v>-0.00161919763426876</v>
      </c>
      <c r="C158" s="0" t="n">
        <v>0.00320100750789187</v>
      </c>
      <c r="D158" s="0" t="n">
        <v>0.00337611171083995</v>
      </c>
      <c r="E158" s="0" t="n">
        <v>0.00404369250816749</v>
      </c>
      <c r="F158" s="0" t="n">
        <v>-0.00131929161384736</v>
      </c>
      <c r="G158" s="0" t="n">
        <v>-0.00687715500354846</v>
      </c>
      <c r="H158" s="0" t="n">
        <v>0.00880286521036</v>
      </c>
      <c r="I158" s="0" t="n">
        <v>-0.0176806065330588</v>
      </c>
      <c r="J158" s="0" t="n">
        <v>0.009478735386040819</v>
      </c>
      <c r="K158" s="0" t="n">
        <v>-0.0534251271080181</v>
      </c>
      <c r="L158" s="0" t="n">
        <v>0.00335570475947477</v>
      </c>
      <c r="M158" s="0" t="n">
        <v>0.010010049910142</v>
      </c>
      <c r="N158" s="0" t="n">
        <v>-0.00579514408869386</v>
      </c>
      <c r="O158" s="0" t="n">
        <v>-0.00238603011040972</v>
      </c>
      <c r="P158" s="0" t="n">
        <v>-0.00419727384008661</v>
      </c>
      <c r="Q158" s="0" t="n">
        <v>-0.00478855014076939</v>
      </c>
      <c r="R158" s="0" t="n">
        <v>-0.000102449969897833</v>
      </c>
      <c r="S158" s="0" t="n">
        <v>0.00604750836417977</v>
      </c>
      <c r="T158" s="0" t="n">
        <v>-0.0129368403501151</v>
      </c>
      <c r="U158" s="0" t="n">
        <v>0.00301382003896222</v>
      </c>
      <c r="V158" s="0" t="n">
        <v>-0.0188604795292555</v>
      </c>
      <c r="W158" s="0" t="n">
        <v>0.00350339327891457</v>
      </c>
      <c r="X158" s="0" t="n">
        <v>0.00207248819173155</v>
      </c>
    </row>
    <row r="159">
      <c r="A159" s="5" t="n">
        <v>42599</v>
      </c>
      <c r="B159" s="0" t="n">
        <v>0.00571784130970698</v>
      </c>
      <c r="C159" s="0" t="n">
        <v>0.00446427858586151</v>
      </c>
      <c r="D159" s="0" t="n">
        <v>-0.00412786666954989</v>
      </c>
      <c r="E159" s="0" t="n">
        <v>-0.00485441236213102</v>
      </c>
      <c r="F159" s="0" t="n">
        <v>0.000659863373203339</v>
      </c>
      <c r="G159" s="0" t="n">
        <v>0.0180297062844068</v>
      </c>
      <c r="H159" s="0" t="n">
        <v>-0.00615385961526815</v>
      </c>
      <c r="I159" s="0" t="n">
        <v>0.0107528325751622</v>
      </c>
      <c r="J159" s="0" t="n">
        <v>-0.0118624676718193</v>
      </c>
      <c r="K159" s="0" t="n">
        <v>0.0221114676971674</v>
      </c>
      <c r="L159" s="0" t="n">
        <v>-0.0101010866613204</v>
      </c>
      <c r="M159" s="0" t="n">
        <v>0.00142184691864555</v>
      </c>
      <c r="N159" s="0" t="n">
        <v>-0.00411103151645742</v>
      </c>
      <c r="O159" s="0" t="n">
        <v>-0.0110498139103896</v>
      </c>
      <c r="P159" s="0" t="n">
        <v>0.06512976727978211</v>
      </c>
      <c r="Q159" s="0" t="n">
        <v>-0.0161293664229844</v>
      </c>
      <c r="R159" s="0" t="n">
        <v>-0.00380016623508527</v>
      </c>
      <c r="S159" s="0" t="n">
        <v>0.0034393811290232</v>
      </c>
      <c r="T159" s="0" t="n">
        <v>-0.00784317012777746</v>
      </c>
      <c r="U159" s="0" t="n">
        <v>-0.00225957058812831</v>
      </c>
      <c r="V159" s="0" t="n">
        <v>0.00649687820545175</v>
      </c>
      <c r="W159" s="0" t="n">
        <v>-0.00164714534990784</v>
      </c>
      <c r="X159" s="0" t="n">
        <v>-0.0156497318037893</v>
      </c>
    </row>
    <row r="160">
      <c r="A160" s="5" t="n">
        <v>42600</v>
      </c>
      <c r="B160" s="0" t="n">
        <v>-0.008214155390650291</v>
      </c>
      <c r="C160" s="0" t="n">
        <v>-0.00574346497329658</v>
      </c>
      <c r="D160" s="0" t="n">
        <v>-0.009065804188278291</v>
      </c>
      <c r="E160" s="0" t="n">
        <v>0.00485441236213102</v>
      </c>
      <c r="F160" s="0" t="n">
        <v>0.00394999982907773</v>
      </c>
      <c r="G160" s="0" t="n">
        <v>0.00461047463626762</v>
      </c>
      <c r="H160" s="0" t="n">
        <v>-0.00353356914295743</v>
      </c>
      <c r="I160" s="0" t="n">
        <v>-0.0199845069700721</v>
      </c>
      <c r="J160" s="0" t="n">
        <v>0</v>
      </c>
      <c r="K160" s="0" t="n">
        <v>-0.00598211338894805</v>
      </c>
      <c r="L160" s="0" t="n">
        <v>0.0101010866613204</v>
      </c>
      <c r="M160" s="0" t="n">
        <v>-0.0059854558044412</v>
      </c>
      <c r="N160" s="0" t="n">
        <v>-0.0100052244538173</v>
      </c>
      <c r="O160" s="0" t="n">
        <v>-0.00946501921251163</v>
      </c>
      <c r="P160" s="0" t="n">
        <v>-0.0009856358832749379</v>
      </c>
      <c r="Q160" s="0" t="n">
        <v>0.00486614636735138</v>
      </c>
      <c r="R160" s="0" t="n">
        <v>-0.00185395361468909</v>
      </c>
      <c r="S160" s="0" t="n">
        <v>0.0420229911223453</v>
      </c>
      <c r="T160" s="0" t="n">
        <v>0.00131150561511361</v>
      </c>
      <c r="U160" s="0" t="n">
        <v>0.000301632579986055</v>
      </c>
      <c r="V160" s="0" t="n">
        <v>0.0103417146853317</v>
      </c>
      <c r="W160" s="0" t="n">
        <v>0.00246970173288429</v>
      </c>
      <c r="X160" s="0" t="n">
        <v>0</v>
      </c>
    </row>
    <row r="161">
      <c r="A161" s="5" t="n">
        <v>42601</v>
      </c>
      <c r="B161" s="0" t="n">
        <v>-0.000249926804024802</v>
      </c>
      <c r="C161" s="0" t="n">
        <v>0.00223751932151516</v>
      </c>
      <c r="D161" s="0" t="n">
        <v>0.00290500184275988</v>
      </c>
      <c r="E161" s="0" t="n">
        <v>-0.00242429909809382</v>
      </c>
      <c r="F161" s="0" t="n">
        <v>-0.00263157790684909</v>
      </c>
      <c r="G161" s="0" t="n">
        <v>0.0076371226654972</v>
      </c>
      <c r="H161" s="0" t="n">
        <v>-0.0178576707177229</v>
      </c>
      <c r="I161" s="0" t="n">
        <v>-0.0215061712896216</v>
      </c>
      <c r="J161" s="0" t="n">
        <v>-0.00478469348386045</v>
      </c>
      <c r="K161" s="0" t="n">
        <v>-0.030459177989627</v>
      </c>
      <c r="L161" s="0" t="n">
        <v>-0.032343173277425</v>
      </c>
      <c r="M161" s="0" t="n">
        <v>-0.00401030014003822</v>
      </c>
      <c r="N161" s="0" t="n">
        <v>0.00311581182921827</v>
      </c>
      <c r="O161" s="0" t="n">
        <v>-0.00244137026427093</v>
      </c>
      <c r="P161" s="0" t="n">
        <v>-0.0119048906795815</v>
      </c>
      <c r="Q161" s="0" t="n">
        <v>-0.0130294881474168</v>
      </c>
      <c r="R161" s="0" t="n">
        <v>0.0102565001671894</v>
      </c>
      <c r="S161" s="0" t="n">
        <v>0.022783791684299</v>
      </c>
      <c r="T161" s="0" t="n">
        <v>0.00359767203055172</v>
      </c>
      <c r="U161" s="0" t="n">
        <v>0.000150667174082741</v>
      </c>
      <c r="V161" s="0" t="n">
        <v>-0.000506159339144218</v>
      </c>
      <c r="W161" s="0" t="n">
        <v>-0.000411193616615346</v>
      </c>
      <c r="X161" s="0" t="n">
        <v>0.0146139751955631</v>
      </c>
    </row>
    <row r="162">
      <c r="A162" s="5" t="n">
        <v>42604</v>
      </c>
      <c r="B162" s="0" t="n">
        <v>0.00162364683952098</v>
      </c>
      <c r="C162" s="0" t="n">
        <v>-0.00287769489955547</v>
      </c>
      <c r="D162" s="0" t="n">
        <v>0.00352510472325562</v>
      </c>
      <c r="E162" s="0" t="n">
        <v>0.00484265839554032</v>
      </c>
      <c r="F162" s="0" t="n">
        <v>0.0111367068133638</v>
      </c>
      <c r="G162" s="0" t="n">
        <v>-0.0187380879416423</v>
      </c>
      <c r="H162" s="0" t="n">
        <v>-0.0099593306798178</v>
      </c>
      <c r="I162" s="0" t="n">
        <v>-0.014033348038251</v>
      </c>
      <c r="J162" s="0" t="n">
        <v>0.00478469348386045</v>
      </c>
      <c r="K162" s="0" t="n">
        <v>0.0696798544631263</v>
      </c>
      <c r="L162" s="0" t="n">
        <v>0.0154508953607994</v>
      </c>
      <c r="M162" s="0" t="n">
        <v>0.00715003757961829</v>
      </c>
      <c r="N162" s="0" t="n">
        <v>0.00585905774956296</v>
      </c>
      <c r="O162" s="0" t="n">
        <v>-0.00146774425866968</v>
      </c>
      <c r="P162" s="0" t="n">
        <v>0.0168236647136539</v>
      </c>
      <c r="Q162" s="0" t="n">
        <v>-0.00493012219356092</v>
      </c>
      <c r="R162" s="0" t="n">
        <v>-0.0074768963007239</v>
      </c>
      <c r="S162" s="0" t="n">
        <v>-0.0170389544789371</v>
      </c>
      <c r="T162" s="0" t="n">
        <v>0.0113619267670022</v>
      </c>
      <c r="U162" s="0" t="n">
        <v>0.00180727083405951</v>
      </c>
      <c r="V162" s="0" t="n">
        <v>0.0100739987992239</v>
      </c>
      <c r="W162" s="0" t="n">
        <v>-0.00453424558020376</v>
      </c>
      <c r="X162" s="0" t="n">
        <v>-0.00103673158350536</v>
      </c>
    </row>
    <row r="163">
      <c r="A163" s="5" t="n">
        <v>42605</v>
      </c>
      <c r="B163" s="0" t="n">
        <v>-0.00757882469078285</v>
      </c>
      <c r="C163" s="0" t="n">
        <v>-0.000320305076486171</v>
      </c>
      <c r="D163" s="0" t="n">
        <v>-0.01430310110148</v>
      </c>
      <c r="E163" s="0" t="n">
        <v>-0.00970880476289171</v>
      </c>
      <c r="F163" s="0" t="n">
        <v>0.00325198576416774</v>
      </c>
      <c r="G163" s="0" t="n">
        <v>0.0226864928767551</v>
      </c>
      <c r="H163" s="0" t="n">
        <v>-0.000910331486532856</v>
      </c>
      <c r="I163" s="0" t="n">
        <v>-0.097290736320641</v>
      </c>
      <c r="J163" s="0" t="n">
        <v>-0.012004992003114</v>
      </c>
      <c r="K163" s="0" t="n">
        <v>0.0597192463301764</v>
      </c>
      <c r="L163" s="0" t="n">
        <v>-0.0417451518655249</v>
      </c>
      <c r="M163" s="0" t="n">
        <v>-0.00772426836793505</v>
      </c>
      <c r="N163" s="0" t="n">
        <v>-0.00171973025142824</v>
      </c>
      <c r="O163" s="0" t="n">
        <v>0.000489487488934958</v>
      </c>
      <c r="P163" s="0" t="n">
        <v>-0.0298826257066178</v>
      </c>
      <c r="Q163" s="0" t="n">
        <v>0</v>
      </c>
      <c r="R163" s="0" t="n">
        <v>-0.00102857936232858</v>
      </c>
      <c r="S163" s="0" t="n">
        <v>-0.00904244638058449</v>
      </c>
      <c r="T163" s="0" t="n">
        <v>0.00257898031353587</v>
      </c>
      <c r="U163" s="0" t="n">
        <v>-0.00452414308308046</v>
      </c>
      <c r="V163" s="0" t="n">
        <v>-0.0214444764598393</v>
      </c>
      <c r="W163" s="0" t="n">
        <v>0.00453424558020376</v>
      </c>
      <c r="X163" s="0" t="n">
        <v>-0.0135772436120578</v>
      </c>
    </row>
    <row r="164">
      <c r="A164" s="5" t="n">
        <v>42606</v>
      </c>
      <c r="B164" s="0" t="n">
        <v>-0.00264416018105961</v>
      </c>
      <c r="C164" s="0" t="n">
        <v>-0.000320344146782503</v>
      </c>
      <c r="D164" s="0" t="n">
        <v>-0.00549698146837052</v>
      </c>
      <c r="E164" s="0" t="n">
        <v>0.0137265032203712</v>
      </c>
      <c r="F164" s="0" t="n">
        <v>0.00840613531738831</v>
      </c>
      <c r="G164" s="0" t="n">
        <v>-0.00699632836891961</v>
      </c>
      <c r="H164" s="0" t="n">
        <v>-0.00731264000939746</v>
      </c>
      <c r="I164" s="0" t="n">
        <v>0.000622873223860676</v>
      </c>
      <c r="J164" s="0" t="n">
        <v>0.00241260163534429</v>
      </c>
      <c r="K164" s="0" t="n">
        <v>0.0425595964222238</v>
      </c>
      <c r="L164" s="0" t="n">
        <v>0.00177457935861813</v>
      </c>
      <c r="M164" s="0" t="n">
        <v>-0.00143696639041301</v>
      </c>
      <c r="N164" s="0" t="n">
        <v>0.00343644267511766</v>
      </c>
      <c r="O164" s="0" t="n">
        <v>0.00488164909611255</v>
      </c>
      <c r="P164" s="0" t="n">
        <v>0.00302874863895219</v>
      </c>
      <c r="Q164" s="0" t="n">
        <v>-0.0182881458739421</v>
      </c>
      <c r="R164" s="0" t="n">
        <v>-0.0355104023627479</v>
      </c>
      <c r="S164" s="0" t="n">
        <v>0.00576375812258422</v>
      </c>
      <c r="T164" s="0" t="n">
        <v>0.00737778641405784</v>
      </c>
      <c r="U164" s="0" t="n">
        <v>-0.00363424824345859</v>
      </c>
      <c r="V164" s="0" t="n">
        <v>0.00289728657986021</v>
      </c>
      <c r="W164" s="0" t="n">
        <v>-0.00515411912031504</v>
      </c>
      <c r="X164" s="0" t="n">
        <v>0.009419237585430279</v>
      </c>
    </row>
    <row r="165">
      <c r="A165" s="5" t="n">
        <v>42607</v>
      </c>
      <c r="B165" s="0" t="n">
        <v>-0.00195612964507674</v>
      </c>
      <c r="C165" s="0" t="n">
        <v>0.000640649223268674</v>
      </c>
      <c r="D165" s="0" t="n">
        <v>0.00294394743872228</v>
      </c>
      <c r="E165" s="0" t="n">
        <v>-0.00724350460517619</v>
      </c>
      <c r="F165" s="0" t="n">
        <v>0.0166032058854463</v>
      </c>
      <c r="G165" s="0" t="n">
        <v>-0.00244492841951071</v>
      </c>
      <c r="H165" s="0" t="n">
        <v>0.00640147906430943</v>
      </c>
      <c r="I165" s="0" t="n">
        <v>-0.0068728579921613</v>
      </c>
      <c r="J165" s="0" t="n">
        <v>0.00240668037067903</v>
      </c>
      <c r="K165" s="0" t="n">
        <v>0.117783081647622</v>
      </c>
      <c r="L165" s="0" t="n">
        <v>-0.034268468159271</v>
      </c>
      <c r="M165" s="0" t="n">
        <v>0.00143696639041301</v>
      </c>
      <c r="N165" s="0" t="n">
        <v>-0.0134693588988761</v>
      </c>
      <c r="O165" s="0" t="n">
        <v>-0.00954134185561983</v>
      </c>
      <c r="P165" s="0" t="n">
        <v>0</v>
      </c>
      <c r="Q165" s="0" t="n">
        <v>-0.0169208611048081</v>
      </c>
      <c r="R165" s="0" t="n">
        <v>-0.0055602863584161</v>
      </c>
      <c r="S165" s="0" t="n">
        <v>0.00736200869313874</v>
      </c>
      <c r="T165" s="0" t="n">
        <v>0.00191569230680954</v>
      </c>
      <c r="U165" s="0" t="n">
        <v>-0.00136616852961246</v>
      </c>
      <c r="V165" s="0" t="n">
        <v>0.000170205672739065</v>
      </c>
      <c r="W165" s="0" t="n">
        <v>0.00268340039719516</v>
      </c>
      <c r="X165" s="0" t="n">
        <v>0.00933124438835752</v>
      </c>
    </row>
    <row r="166">
      <c r="A166" s="5" t="n">
        <v>42608</v>
      </c>
      <c r="B166" s="0" t="n">
        <v>0.008803942281361721</v>
      </c>
      <c r="C166" s="0" t="n">
        <v>0.00415402410620302</v>
      </c>
      <c r="D166" s="0" t="n">
        <v>0.00459068159894027</v>
      </c>
      <c r="E166" s="0" t="n">
        <v>0.00724350460517619</v>
      </c>
      <c r="F166" s="0" t="n">
        <v>0.00316157016769702</v>
      </c>
      <c r="G166" s="0" t="n">
        <v>-0.0107676309563702</v>
      </c>
      <c r="H166" s="0" t="n">
        <v>0.0243146177798279</v>
      </c>
      <c r="I166" s="0" t="n">
        <v>0.0229325135639095</v>
      </c>
      <c r="J166" s="0" t="n">
        <v>0</v>
      </c>
      <c r="K166" s="0" t="n">
        <v>0.21197024658204</v>
      </c>
      <c r="L166" s="0" t="n">
        <v>0.0289351696560342</v>
      </c>
      <c r="M166" s="0" t="n">
        <v>0.008294081988660549</v>
      </c>
      <c r="N166" s="0" t="n">
        <v>-0.000347773567825893</v>
      </c>
      <c r="O166" s="0" t="n">
        <v>0.00783548802208589</v>
      </c>
      <c r="P166" s="0" t="n">
        <v>0.00301960301346504</v>
      </c>
      <c r="Q166" s="0" t="n">
        <v>0.0152415611283092</v>
      </c>
      <c r="R166" s="0" t="n">
        <v>-0.00193195618042718</v>
      </c>
      <c r="S166" s="0" t="n">
        <v>0.00244198185489885</v>
      </c>
      <c r="T166" s="0" t="n">
        <v>0.007309727164579</v>
      </c>
      <c r="U166" s="0" t="n">
        <v>0.00409303447855702</v>
      </c>
      <c r="V166" s="0" t="n">
        <v>-0.000170205672739065</v>
      </c>
      <c r="W166" s="0" t="n">
        <v>0.0214141568139107</v>
      </c>
      <c r="X166" s="0" t="n">
        <v>0.00719804127743151</v>
      </c>
    </row>
    <row r="167">
      <c r="A167" s="5" t="n">
        <v>42611</v>
      </c>
      <c r="B167" s="0" t="n">
        <v>-0.00200556177223809</v>
      </c>
      <c r="C167" s="0" t="n">
        <v>0.000318812121772982</v>
      </c>
      <c r="D167" s="0" t="n">
        <v>-0.010615970479983</v>
      </c>
      <c r="E167" s="0" t="n">
        <v>0.0063948996701475</v>
      </c>
      <c r="F167" s="0" t="n">
        <v>0.0218554046570718</v>
      </c>
      <c r="G167" s="0" t="n">
        <v>-0.00527220880761891</v>
      </c>
      <c r="H167" s="0" t="n">
        <v>0.0035523981292731</v>
      </c>
      <c r="I167" s="0" t="n">
        <v>-0.0534886489904162</v>
      </c>
      <c r="J167" s="0" t="n">
        <v>0</v>
      </c>
      <c r="K167" s="0" t="n">
        <v>-0.147721144192268</v>
      </c>
      <c r="L167" s="0" t="n">
        <v>-0.0307716719476458</v>
      </c>
      <c r="M167" s="0" t="n">
        <v>-0.00657237790097342</v>
      </c>
      <c r="N167" s="0" t="n">
        <v>-0.00628056168236401</v>
      </c>
      <c r="O167" s="0" t="n">
        <v>-0.00268654725442774</v>
      </c>
      <c r="P167" s="0" t="n">
        <v>-0.0213314378458866</v>
      </c>
      <c r="Q167" s="0" t="n">
        <v>-0.00336700343958029</v>
      </c>
      <c r="R167" s="0" t="n">
        <v>-0.00312047287418071</v>
      </c>
      <c r="S167" s="0" t="n">
        <v>0</v>
      </c>
      <c r="T167" s="0" t="n">
        <v>-0.0012673958492102</v>
      </c>
      <c r="U167" s="0" t="n">
        <v>-0.00333386015448056</v>
      </c>
      <c r="V167" s="0" t="n">
        <v>-0.0262083387293214</v>
      </c>
      <c r="W167" s="0" t="n">
        <v>0.0211626495457148</v>
      </c>
      <c r="X167" s="0" t="n">
        <v>0.0132317564727424</v>
      </c>
    </row>
    <row r="168">
      <c r="A168" s="5" t="n">
        <v>42612</v>
      </c>
      <c r="B168" s="0" t="n">
        <v>-0.00326749703598316</v>
      </c>
      <c r="C168" s="0" t="n">
        <v>-0.00415269721086009</v>
      </c>
      <c r="D168" s="0" t="n">
        <v>-0.000257158482616759</v>
      </c>
      <c r="E168" s="0" t="n">
        <v>0.00397616345701745</v>
      </c>
      <c r="F168" s="0" t="n">
        <v>-0.00309317565070532</v>
      </c>
      <c r="G168" s="0" t="n">
        <v>-0.00530009275948373</v>
      </c>
      <c r="H168" s="0" t="n">
        <v>-0.0178896181335357</v>
      </c>
      <c r="I168" s="0" t="n">
        <v>-0.0149791466060409</v>
      </c>
      <c r="J168" s="0" t="n">
        <v>-0.00481928200602332</v>
      </c>
      <c r="K168" s="0" t="n">
        <v>-0.0940085320975545</v>
      </c>
      <c r="L168" s="0" t="n">
        <v>-0.0317487124523043</v>
      </c>
      <c r="M168" s="0" t="n">
        <v>-0.00229626480646727</v>
      </c>
      <c r="N168" s="0" t="n">
        <v>-0.0273212123082697</v>
      </c>
      <c r="O168" s="0" t="n">
        <v>-0.000244547426368146</v>
      </c>
      <c r="P168" s="0" t="n">
        <v>-0.0207476126937207</v>
      </c>
      <c r="Q168" s="0" t="n">
        <v>0</v>
      </c>
      <c r="R168" s="0" t="n">
        <v>0.00655247634008215</v>
      </c>
      <c r="S168" s="0" t="n">
        <v>0.008097163962032189</v>
      </c>
      <c r="T168" s="0" t="n">
        <v>-0.00317562601482057</v>
      </c>
      <c r="U168" s="0" t="n">
        <v>0.0031825304526567</v>
      </c>
      <c r="V168" s="0" t="n">
        <v>0.00261707747354655</v>
      </c>
      <c r="W168" s="0" t="n">
        <v>0.00354960554962158</v>
      </c>
      <c r="X168" s="0" t="n">
        <v>0.0120604358436962</v>
      </c>
    </row>
    <row r="169">
      <c r="A169" s="5" t="n">
        <v>42613</v>
      </c>
      <c r="B169" s="0" t="n">
        <v>0.00414540137075647</v>
      </c>
      <c r="C169" s="0" t="n">
        <v>-0.0012812350404241</v>
      </c>
      <c r="D169" s="0" t="n">
        <v>-0.00671052501146718</v>
      </c>
      <c r="E169" s="0" t="n">
        <v>-0.0127797906530204</v>
      </c>
      <c r="F169" s="0" t="n">
        <v>-0.00996271333362885</v>
      </c>
      <c r="G169" s="0" t="n">
        <v>-0.000938254554597062</v>
      </c>
      <c r="H169" s="0" t="n">
        <v>0.00540061883477371</v>
      </c>
      <c r="I169" s="0" t="n">
        <v>0.023988177293563</v>
      </c>
      <c r="J169" s="0" t="n">
        <v>0.00241260163534429</v>
      </c>
      <c r="K169" s="0" t="n">
        <v>0.0616528347314828</v>
      </c>
      <c r="L169" s="0" t="n">
        <v>0.0225150012161305</v>
      </c>
      <c r="M169" s="0" t="n">
        <v>-0.0034542041447767</v>
      </c>
      <c r="N169" s="0" t="n">
        <v>-0.00216058661700735</v>
      </c>
      <c r="O169" s="0" t="n">
        <v>0.00195498635599822</v>
      </c>
      <c r="P169" s="0" t="n">
        <v>-0.01159735245397</v>
      </c>
      <c r="Q169" s="0" t="n">
        <v>0.0266239227156102</v>
      </c>
      <c r="R169" s="0" t="n">
        <v>-0.000321237659887785</v>
      </c>
      <c r="S169" s="0" t="n">
        <v>0.037202570868664</v>
      </c>
      <c r="T169" s="0" t="n">
        <v>0.00444302186403078</v>
      </c>
      <c r="U169" s="0" t="n">
        <v>0.00347411215406001</v>
      </c>
      <c r="V169" s="0" t="n">
        <v>-0.0110382387645708</v>
      </c>
      <c r="W169" s="0" t="n">
        <v>-0.00731009742583621</v>
      </c>
      <c r="X169" s="0" t="n">
        <v>-0.00500754076592313</v>
      </c>
    </row>
    <row r="170">
      <c r="A170" s="5" t="n">
        <v>42614</v>
      </c>
      <c r="B170" s="6" t="n">
        <v>6.273945120849329e-05</v>
      </c>
      <c r="C170" s="0" t="n">
        <v>0.00288045798878355</v>
      </c>
      <c r="D170" s="0" t="n">
        <v>-0.00493257591855922</v>
      </c>
      <c r="E170" s="0" t="n">
        <v>0.00481159072846892</v>
      </c>
      <c r="F170" s="0" t="n">
        <v>0.00125081054769005</v>
      </c>
      <c r="G170" s="0" t="n">
        <v>0.0167549970836553</v>
      </c>
      <c r="H170" s="0" t="n">
        <v>0.0151450407666882</v>
      </c>
      <c r="I170" s="0" t="n">
        <v>0.0259262576811538</v>
      </c>
      <c r="J170" s="0" t="n">
        <v>0.00720284824663819</v>
      </c>
      <c r="K170" s="0" t="n">
        <v>0.08726045595108579</v>
      </c>
      <c r="L170" s="0" t="n">
        <v>0.0382212205610608</v>
      </c>
      <c r="M170" s="0" t="n">
        <v>0.00259179847314383</v>
      </c>
      <c r="N170" s="0" t="n">
        <v>0.00718396630754325</v>
      </c>
      <c r="O170" s="0" t="n">
        <v>-0.000244129449431973</v>
      </c>
      <c r="P170" s="0" t="n">
        <v>0.0374653236383037</v>
      </c>
      <c r="Q170" s="0" t="n">
        <v>0.0065466618398231</v>
      </c>
      <c r="R170" s="0" t="n">
        <v>0.00502104140824144</v>
      </c>
      <c r="S170" s="0" t="n">
        <v>0.0108192974012086</v>
      </c>
      <c r="T170" s="0" t="n">
        <v>0.00788523248548012</v>
      </c>
      <c r="U170" s="0" t="n">
        <v>0.00840842148365528</v>
      </c>
      <c r="V170" s="0" t="n">
        <v>-0.00724960931335694</v>
      </c>
      <c r="W170" s="0" t="n">
        <v>0.00237668823360515</v>
      </c>
      <c r="X170" s="0" t="n">
        <v>0.00600606591519081</v>
      </c>
    </row>
    <row r="171">
      <c r="A171" s="5" t="n">
        <v>42615</v>
      </c>
      <c r="B171" s="0" t="n">
        <v>0.00500159235133779</v>
      </c>
      <c r="C171" s="0" t="n">
        <v>-0.00769971493915022</v>
      </c>
      <c r="D171" s="0" t="n">
        <v>0.0213705822905074</v>
      </c>
      <c r="E171" s="0" t="n">
        <v>0.0135083560464135</v>
      </c>
      <c r="F171" s="0" t="n">
        <v>-0.0138454237440308</v>
      </c>
      <c r="G171" s="0" t="n">
        <v>0.00521708023030997</v>
      </c>
      <c r="H171" s="0" t="n">
        <v>0.0218635520541039</v>
      </c>
      <c r="I171" s="0" t="n">
        <v>0.0463497717448064</v>
      </c>
      <c r="J171" s="0" t="n">
        <v>-0.00479616787595915</v>
      </c>
      <c r="K171" s="0" t="n">
        <v>0.0415887681413215</v>
      </c>
      <c r="L171" s="0" t="n">
        <v>0.0212021880007196</v>
      </c>
      <c r="M171" s="0" t="n">
        <v>0</v>
      </c>
      <c r="N171" s="0" t="n">
        <v>0.00819821165335987</v>
      </c>
      <c r="O171" s="0" t="n">
        <v>0.00681430668604621</v>
      </c>
      <c r="P171" s="0" t="n">
        <v>0.0162110793552736</v>
      </c>
      <c r="Q171" s="0" t="n">
        <v>0.0193866951311989</v>
      </c>
      <c r="R171" s="0" t="n">
        <v>-0.0051281708042703</v>
      </c>
      <c r="S171" s="0" t="n">
        <v>-0.00539505347229685</v>
      </c>
      <c r="T171" s="0" t="n">
        <v>0.00125591586518414</v>
      </c>
      <c r="U171" s="0" t="n">
        <v>0.00477327440690977</v>
      </c>
      <c r="V171" s="0" t="n">
        <v>0.0107670376233697</v>
      </c>
      <c r="W171" s="0" t="n">
        <v>-0.0111399113721821</v>
      </c>
      <c r="X171" s="0" t="n">
        <v>-0.0160970075469233</v>
      </c>
    </row>
    <row r="172">
      <c r="A172" s="5" t="n">
        <v>42619</v>
      </c>
      <c r="B172" s="0" t="n">
        <v>0.008012672231408219</v>
      </c>
      <c r="C172" s="0" t="n">
        <v>0.000321994593515562</v>
      </c>
      <c r="D172" s="0" t="n">
        <v>0.00101838586060765</v>
      </c>
      <c r="E172" s="0" t="n">
        <v>0.00236497809138303</v>
      </c>
      <c r="F172" s="0" t="n">
        <v>-0.00508259829020518</v>
      </c>
      <c r="G172" s="0" t="n">
        <v>-0.0422003081871982</v>
      </c>
      <c r="H172" s="0" t="n">
        <v>-0.00956112408997156</v>
      </c>
      <c r="I172" s="0" t="n">
        <v>-0.00717711437977097</v>
      </c>
      <c r="J172" s="0" t="n">
        <v>0.00479616787595915</v>
      </c>
      <c r="K172" s="0" t="n">
        <v>0.0697810078527889</v>
      </c>
      <c r="L172" s="0" t="n">
        <v>-0.0140847268747239</v>
      </c>
      <c r="M172" s="0" t="n">
        <v>0.00201119717872977</v>
      </c>
      <c r="N172" s="0" t="n">
        <v>0.008131547138506161</v>
      </c>
      <c r="O172" s="0" t="n">
        <v>0.0009697192402891019</v>
      </c>
      <c r="P172" s="0" t="n">
        <v>0.0248151695895604</v>
      </c>
      <c r="Q172" s="0" t="n">
        <v>-0.00803220246095248</v>
      </c>
      <c r="R172" s="0" t="n">
        <v>0.00267422738789324</v>
      </c>
      <c r="S172" s="0" t="n">
        <v>-0.0242483112214406</v>
      </c>
      <c r="T172" s="0" t="n">
        <v>-0.00251335104033056</v>
      </c>
      <c r="U172" s="0" t="n">
        <v>-0.00716842576963916</v>
      </c>
      <c r="V172" s="0" t="n">
        <v>-0.00687044707015083</v>
      </c>
      <c r="W172" s="0" t="n">
        <v>-0.00441061693348476</v>
      </c>
      <c r="X172" s="0" t="n">
        <v>0.00404858481345637</v>
      </c>
    </row>
    <row r="173">
      <c r="A173" s="5" t="n">
        <v>42620</v>
      </c>
      <c r="B173" s="0" t="n">
        <v>-0.0164674342140482</v>
      </c>
      <c r="C173" s="0" t="n">
        <v>-0.000644156806955731</v>
      </c>
      <c r="D173" s="0" t="n">
        <v>0.0164062625736196</v>
      </c>
      <c r="E173" s="0" t="n">
        <v>0.00235939816382213</v>
      </c>
      <c r="F173" s="0" t="n">
        <v>0.0101394943540724</v>
      </c>
      <c r="G173" s="0" t="n">
        <v>-0.000319343097583413</v>
      </c>
      <c r="H173" s="0" t="n">
        <v>-0.00349956275377238</v>
      </c>
      <c r="I173" s="0" t="n">
        <v>-0.00783367420747449</v>
      </c>
      <c r="J173" s="0" t="n">
        <v>0.00477327440691</v>
      </c>
      <c r="K173" s="0" t="n">
        <v>0.00732609127682548</v>
      </c>
      <c r="L173" s="0" t="n">
        <v>-0.0178895479637433</v>
      </c>
      <c r="M173" s="0" t="n">
        <v>-0.00345023141332889</v>
      </c>
      <c r="N173" s="0" t="n">
        <v>-0.00176208810564437</v>
      </c>
      <c r="O173" s="0" t="n">
        <v>-0.00194037974882332</v>
      </c>
      <c r="P173" s="0" t="n">
        <v>0.0384663355150021</v>
      </c>
      <c r="Q173" s="0" t="n">
        <v>0.00643088441419648</v>
      </c>
      <c r="R173" s="0" t="n">
        <v>-0.00535562544820145</v>
      </c>
      <c r="S173" s="0" t="n">
        <v>-0.00635426464764865</v>
      </c>
      <c r="T173" s="0" t="n">
        <v>-0.0101171144646703</v>
      </c>
      <c r="U173" s="0" t="n">
        <v>-0.00480769688390925</v>
      </c>
      <c r="V173" s="0" t="n">
        <v>0.00423358678203111</v>
      </c>
      <c r="W173" s="0" t="n">
        <v>0.00260863126816301</v>
      </c>
      <c r="X173" s="0" t="n">
        <v>-0.00101053825949692</v>
      </c>
    </row>
    <row r="174">
      <c r="A174" s="5" t="n">
        <v>42621</v>
      </c>
      <c r="B174" s="0" t="n">
        <v>-0.0210373358374473</v>
      </c>
      <c r="C174" s="0" t="n">
        <v>-0.0304193230226244</v>
      </c>
      <c r="D174" s="0" t="n">
        <v>-0.0208696824310488</v>
      </c>
      <c r="E174" s="0" t="n">
        <v>-0.0278791001094083</v>
      </c>
      <c r="F174" s="0" t="n">
        <v>-0.00759496611177334</v>
      </c>
      <c r="G174" s="0" t="n">
        <v>0.00636744475174699</v>
      </c>
      <c r="H174" s="0" t="n">
        <v>-0.065181447416142</v>
      </c>
      <c r="I174" s="0" t="n">
        <v>-0.0376007681637147</v>
      </c>
      <c r="J174" s="0" t="n">
        <v>-0.0240975294263463</v>
      </c>
      <c r="K174" s="0" t="n">
        <v>-0.0171783342017862</v>
      </c>
      <c r="L174" s="0" t="n">
        <v>-0.0652607856705234</v>
      </c>
      <c r="M174" s="0" t="n">
        <v>-0.0180185854083605</v>
      </c>
      <c r="N174" s="0" t="n">
        <v>-0.0174350533700144</v>
      </c>
      <c r="O174" s="0" t="n">
        <v>-0.0365924530197654</v>
      </c>
      <c r="P174" s="0" t="n">
        <v>-0.0326011750549364</v>
      </c>
      <c r="Q174" s="0" t="n">
        <v>-0.040888771784854</v>
      </c>
      <c r="R174" s="0" t="n">
        <v>-0.0172241055038995</v>
      </c>
      <c r="S174" s="0" t="n">
        <v>-0.0193087064919628</v>
      </c>
      <c r="T174" s="0" t="n">
        <v>-0.0198979265405614</v>
      </c>
      <c r="U174" s="0" t="n">
        <v>-0.0437127161877617</v>
      </c>
      <c r="V174" s="0" t="n">
        <v>-0.0204506373861219</v>
      </c>
      <c r="W174" s="0" t="n">
        <v>-0.0239313848790838</v>
      </c>
      <c r="X174" s="0" t="n">
        <v>-0.00303804655395945</v>
      </c>
    </row>
    <row r="175">
      <c r="A175" s="5" t="n">
        <v>42622</v>
      </c>
      <c r="B175" s="0" t="n">
        <v>0.0165618848998816</v>
      </c>
      <c r="C175" s="0" t="n">
        <v>0.0125414333937698</v>
      </c>
      <c r="D175" s="0" t="n">
        <v>0.0106790230338731</v>
      </c>
      <c r="E175" s="0" t="n">
        <v>0.0255197019455861</v>
      </c>
      <c r="F175" s="0" t="n">
        <v>0.0101138567865346</v>
      </c>
      <c r="G175" s="0" t="n">
        <v>-0.0198724758613493</v>
      </c>
      <c r="H175" s="0" t="n">
        <v>0.0285865207971447</v>
      </c>
      <c r="I175" s="0" t="n">
        <v>0.0315327654149082</v>
      </c>
      <c r="J175" s="0" t="n">
        <v>0.00970880513745386</v>
      </c>
      <c r="K175" s="0" t="n">
        <v>0.0256580571940804</v>
      </c>
      <c r="L175" s="0" t="n">
        <v>0.0396652630279301</v>
      </c>
      <c r="M175" s="0" t="n">
        <v>0.0160004301305325</v>
      </c>
      <c r="N175" s="0" t="n">
        <v>0.00644010455768118</v>
      </c>
      <c r="O175" s="0" t="n">
        <v>0.0248707179380587</v>
      </c>
      <c r="P175" s="0" t="n">
        <v>0.000974206462570403</v>
      </c>
      <c r="Q175" s="0" t="n">
        <v>0.0149133095130291</v>
      </c>
      <c r="R175" s="0" t="n">
        <v>0.0056657841625185</v>
      </c>
      <c r="S175" s="0" t="n">
        <v>0.0185115578789245</v>
      </c>
      <c r="T175" s="0" t="n">
        <v>0.0189442218308673</v>
      </c>
      <c r="U175" s="0" t="n">
        <v>0.0173130238699519</v>
      </c>
      <c r="V175" s="0" t="n">
        <v>0.011787953074867</v>
      </c>
      <c r="W175" s="0" t="n">
        <v>-0.00370142929737227</v>
      </c>
      <c r="X175" s="0" t="n">
        <v>0.0140989591992544</v>
      </c>
    </row>
    <row r="176">
      <c r="A176" s="5" t="n">
        <v>42625</v>
      </c>
      <c r="B176" s="0" t="n">
        <v>-0.0157914507225269</v>
      </c>
      <c r="C176" s="0" t="n">
        <v>-0.0212139359605201</v>
      </c>
      <c r="D176" s="0" t="n">
        <v>-0.00761616342538573</v>
      </c>
      <c r="E176" s="0" t="n">
        <v>-0.0255197019455861</v>
      </c>
      <c r="F176" s="0" t="n">
        <v>-0.0113852812467531</v>
      </c>
      <c r="G176" s="0" t="n">
        <v>0.00194053660969606</v>
      </c>
      <c r="H176" s="0" t="n">
        <v>-0.0446170230629909</v>
      </c>
      <c r="I176" s="0" t="n">
        <v>-0.0429037221756343</v>
      </c>
      <c r="J176" s="0" t="n">
        <v>-0.0121507482251042</v>
      </c>
      <c r="K176" s="0" t="n">
        <v>-0.0244212146139418</v>
      </c>
      <c r="L176" s="0" t="n">
        <v>-0.08701143318256151</v>
      </c>
      <c r="M176" s="0" t="n">
        <v>-0.0177614390720148</v>
      </c>
      <c r="N176" s="0" t="n">
        <v>-0.0216302724967243</v>
      </c>
      <c r="O176" s="0" t="n">
        <v>-0.0183445367621684</v>
      </c>
      <c r="P176" s="0" t="n">
        <v>-0.06746393030314519</v>
      </c>
      <c r="Q176" s="0" t="n">
        <v>-0.0437043921913014</v>
      </c>
      <c r="R176" s="0" t="n">
        <v>-0.0121332920202412</v>
      </c>
      <c r="S176" s="0" t="n">
        <v>-0.00720292457210414</v>
      </c>
      <c r="T176" s="0" t="n">
        <v>-0.0121601840214156</v>
      </c>
      <c r="U176" s="0" t="n">
        <v>-0.0174704015145605</v>
      </c>
      <c r="V176" s="0" t="n">
        <v>-0.0128665326185117</v>
      </c>
      <c r="W176" s="0" t="n">
        <v>-0.0330920631358084</v>
      </c>
      <c r="X176" s="0" t="n">
        <v>-0.0120725696511807</v>
      </c>
    </row>
    <row r="177">
      <c r="A177" s="5" t="n">
        <v>42626</v>
      </c>
      <c r="B177" s="0" t="n">
        <v>-0.0113600557072848</v>
      </c>
      <c r="C177" s="0" t="n">
        <v>-0.00503782994179857</v>
      </c>
      <c r="D177" s="0" t="n">
        <v>-0.00242396541761547</v>
      </c>
      <c r="E177" s="0" t="n">
        <v>-0.0195764625888212</v>
      </c>
      <c r="F177" s="0" t="n">
        <v>-0.00574165223236455</v>
      </c>
      <c r="G177" s="0" t="n">
        <v>-0.00778471914061018</v>
      </c>
      <c r="H177" s="0" t="n">
        <v>-0.0019029482941657</v>
      </c>
      <c r="I177" s="0" t="n">
        <v>0.00126987050484794</v>
      </c>
      <c r="J177" s="0" t="n">
        <v>0</v>
      </c>
      <c r="K177" s="0" t="n">
        <v>0.00493220236728486</v>
      </c>
      <c r="L177" s="0" t="n">
        <v>0.0140423918558361</v>
      </c>
      <c r="M177" s="0" t="n">
        <v>-0.00294211125704269</v>
      </c>
      <c r="N177" s="0" t="n">
        <v>-0.000364506245292606</v>
      </c>
      <c r="O177" s="0" t="n">
        <v>-0.00200355264726637</v>
      </c>
      <c r="P177" s="0" t="n">
        <v>-0.0199902008284351</v>
      </c>
      <c r="Q177" s="0" t="n">
        <v>0.0102564901348485</v>
      </c>
      <c r="R177" s="0" t="n">
        <v>-0.0165219463906129</v>
      </c>
      <c r="S177" s="0" t="n">
        <v>0.000802908830214388</v>
      </c>
      <c r="T177" s="0" t="n">
        <v>-0.00193359604100917</v>
      </c>
      <c r="U177" s="0" t="n">
        <v>-0.00678932601448067</v>
      </c>
      <c r="V177" s="0" t="n">
        <v>-0.00667689818789085</v>
      </c>
      <c r="W177" s="0" t="n">
        <v>-0.00941381853333211</v>
      </c>
      <c r="X177" s="0" t="n">
        <v>-0.00813011820359799</v>
      </c>
    </row>
    <row r="178">
      <c r="A178" s="5" t="n">
        <v>42627</v>
      </c>
      <c r="B178" s="0" t="n">
        <v>0.0103969202047231</v>
      </c>
      <c r="C178" s="0" t="n">
        <v>0.00168214264521004</v>
      </c>
      <c r="D178" s="0" t="n">
        <v>0.00674687528117701</v>
      </c>
      <c r="E178" s="0" t="n">
        <v>-0.00247428469699562</v>
      </c>
      <c r="F178" s="0" t="n">
        <v>0.00255590948145867</v>
      </c>
      <c r="G178" s="0" t="n">
        <v>0.0174310715417069</v>
      </c>
      <c r="H178" s="0" t="n">
        <v>0.0281708499080801</v>
      </c>
      <c r="I178" s="0" t="n">
        <v>0.00253485315205548</v>
      </c>
      <c r="J178" s="0" t="n">
        <v>0.0193710467443577</v>
      </c>
      <c r="K178" s="0" t="n">
        <v>0.07805376862021041</v>
      </c>
      <c r="L178" s="0" t="n">
        <v>0.00199009591890986</v>
      </c>
      <c r="M178" s="0" t="n">
        <v>0.00587548014462946</v>
      </c>
      <c r="N178" s="0" t="n">
        <v>-0.0165414822623013</v>
      </c>
      <c r="O178" s="0" t="n">
        <v>0.0139410117493485</v>
      </c>
      <c r="P178" s="0" t="n">
        <v>0.0375435755269153</v>
      </c>
      <c r="Q178" s="0" t="n">
        <v>0.0151901108874565</v>
      </c>
      <c r="R178" s="0" t="n">
        <v>0.007906929871956511</v>
      </c>
      <c r="S178" s="0" t="n">
        <v>0.00878948190318906</v>
      </c>
      <c r="T178" s="0" t="n">
        <v>0.00995031379607391</v>
      </c>
      <c r="U178" s="0" t="n">
        <v>0.00205746799198891</v>
      </c>
      <c r="V178" s="0" t="n">
        <v>0.0133095790884416</v>
      </c>
      <c r="W178" s="0" t="n">
        <v>-0.0079853434782855</v>
      </c>
      <c r="X178" s="0" t="n">
        <v>-0.00102095249337264</v>
      </c>
    </row>
    <row r="179">
      <c r="A179" s="5" t="n">
        <v>42628</v>
      </c>
      <c r="B179" s="0" t="n">
        <v>-0.011761087581716</v>
      </c>
      <c r="C179" s="0" t="n">
        <v>-0.00235573932538546</v>
      </c>
      <c r="D179" s="0" t="n">
        <v>-0.000253732303328035</v>
      </c>
      <c r="E179" s="0" t="n">
        <v>0</v>
      </c>
      <c r="F179" s="0" t="n">
        <v>-0.0115534215840455</v>
      </c>
      <c r="G179" s="0" t="n">
        <v>-0.00545485313772431</v>
      </c>
      <c r="H179" s="0" t="n">
        <v>-0.0168071022646596</v>
      </c>
      <c r="I179" s="0" t="n">
        <v>-0.0146639858590837</v>
      </c>
      <c r="J179" s="0" t="n">
        <v>-0.0144929931132207</v>
      </c>
      <c r="K179" s="0" t="n">
        <v>0.0269376433413486</v>
      </c>
      <c r="L179" s="0" t="n">
        <v>0</v>
      </c>
      <c r="M179" s="0" t="n">
        <v>-0.00587548014462946</v>
      </c>
      <c r="N179" s="0" t="n">
        <v>-0.00334138623014546</v>
      </c>
      <c r="O179" s="0" t="n">
        <v>-0.00619964776222881</v>
      </c>
      <c r="P179" s="0" t="n">
        <v>-0.00204922789894368</v>
      </c>
      <c r="Q179" s="0" t="n">
        <v>-0.0117945251850879</v>
      </c>
      <c r="R179" s="0" t="n">
        <v>-0.000332820534341138</v>
      </c>
      <c r="S179" s="0" t="n">
        <v>0.0134336338543592</v>
      </c>
      <c r="T179" s="0" t="n">
        <v>-0.0151249646383648</v>
      </c>
      <c r="U179" s="0" t="n">
        <v>-0.00714006628219365</v>
      </c>
      <c r="V179" s="0" t="n">
        <v>-0.0066326809005508</v>
      </c>
      <c r="W179" s="0" t="n">
        <v>-0.0157243075235191</v>
      </c>
      <c r="X179" s="0" t="n">
        <v>-0.00614760349460796</v>
      </c>
    </row>
    <row r="180">
      <c r="A180" s="5" t="n">
        <v>42629</v>
      </c>
      <c r="B180" s="0" t="n">
        <v>0.00667294632376247</v>
      </c>
      <c r="C180" s="0" t="n">
        <v>-0.00845887156444735</v>
      </c>
      <c r="D180" s="0" t="n">
        <v>0.00455813140475935</v>
      </c>
      <c r="E180" s="0" t="n">
        <v>0</v>
      </c>
      <c r="F180" s="0" t="n">
        <v>0.00643505320456005</v>
      </c>
      <c r="G180" s="0" t="n">
        <v>-0.009374531373710131</v>
      </c>
      <c r="H180" s="0" t="n">
        <v>0.00750471845329547</v>
      </c>
      <c r="I180" s="0" t="n">
        <v>0.00767757375506406</v>
      </c>
      <c r="J180" s="0" t="n">
        <v>0.00727269459396717</v>
      </c>
      <c r="K180" s="0" t="n">
        <v>0.0454623696762667</v>
      </c>
      <c r="L180" s="0" t="n">
        <v>0.00989122074884885</v>
      </c>
      <c r="M180" s="0" t="n">
        <v>-0.008581117907443311</v>
      </c>
      <c r="N180" s="0" t="n">
        <v>0.00556283745033647</v>
      </c>
      <c r="O180" s="0" t="n">
        <v>-0.00348865008504306</v>
      </c>
      <c r="P180" s="0" t="n">
        <v>0.0112188487850355</v>
      </c>
      <c r="Q180" s="0" t="n">
        <v>0.00169343852376746</v>
      </c>
      <c r="R180" s="0" t="n">
        <v>-0.0105975064286223</v>
      </c>
      <c r="S180" s="0" t="n">
        <v>0.0124806496179195</v>
      </c>
      <c r="T180" s="0" t="n">
        <v>0.00581961886258675</v>
      </c>
      <c r="U180" s="0" t="n">
        <v>-0.00127466582054225</v>
      </c>
      <c r="V180" s="0" t="n">
        <v>-0.009396466708668781</v>
      </c>
      <c r="W180" s="0" t="n">
        <v>0.012686041198092</v>
      </c>
      <c r="X180" s="0" t="n">
        <v>-0.0010282032068396</v>
      </c>
    </row>
    <row r="181">
      <c r="A181" s="5" t="n">
        <v>42632</v>
      </c>
      <c r="B181" s="0" t="n">
        <v>-0.00271562419390569</v>
      </c>
      <c r="C181" s="0" t="n">
        <v>0.00812190299823312</v>
      </c>
      <c r="D181" s="0" t="n">
        <v>0.00905430716727995</v>
      </c>
      <c r="E181" s="0" t="n">
        <v>-0.00912487942664874</v>
      </c>
      <c r="F181" s="0" t="n">
        <v>0.000641245851444427</v>
      </c>
      <c r="G181" s="0" t="n">
        <v>0.00969623730762725</v>
      </c>
      <c r="H181" s="0" t="n">
        <v>0.00744881691909427</v>
      </c>
      <c r="I181" s="0" t="n">
        <v>0.00254614796814411</v>
      </c>
      <c r="J181" s="0" t="n">
        <v>-0.00241832090476012</v>
      </c>
      <c r="K181" s="0" t="n">
        <v>0.070473321597168</v>
      </c>
      <c r="L181" s="0" t="n">
        <v>0.00588818377177879</v>
      </c>
      <c r="M181" s="0" t="n">
        <v>0.00474355590136843</v>
      </c>
      <c r="N181" s="0" t="n">
        <v>-0.0107828116910071</v>
      </c>
      <c r="O181" s="0" t="n">
        <v>-0.00249943364926785</v>
      </c>
      <c r="P181" s="0" t="n">
        <v>-0.0791134602092866</v>
      </c>
      <c r="Q181" s="0" t="n">
        <v>0.0067453819018457</v>
      </c>
      <c r="R181" s="0" t="n">
        <v>0.009153889694962549</v>
      </c>
      <c r="S181" s="0" t="n">
        <v>-0.0243244216203049</v>
      </c>
      <c r="T181" s="0" t="n">
        <v>0.00257565894565381</v>
      </c>
      <c r="U181" s="0" t="n">
        <v>0.00397804638122867</v>
      </c>
      <c r="V181" s="0" t="n">
        <v>0.00867683549940068</v>
      </c>
      <c r="W181" s="0" t="n">
        <v>0.0118831052313654</v>
      </c>
      <c r="X181" s="0" t="n">
        <v>-0.00102935971258588</v>
      </c>
    </row>
    <row r="182">
      <c r="A182" s="5" t="n">
        <v>42633</v>
      </c>
      <c r="B182" s="0" t="n">
        <v>0.00696823160208381</v>
      </c>
      <c r="C182" s="0" t="n">
        <v>0.00604839518818822</v>
      </c>
      <c r="D182" s="0" t="n">
        <v>0.0123174869068956</v>
      </c>
      <c r="E182" s="0" t="n">
        <v>0.0074720274597011</v>
      </c>
      <c r="F182" s="0" t="n">
        <v>0.003199953902421</v>
      </c>
      <c r="G182" s="0" t="n">
        <v>-0.008073675335748209</v>
      </c>
      <c r="H182" s="0" t="n">
        <v>0.028351209359271</v>
      </c>
      <c r="I182" s="0" t="n">
        <v>0.0675933157006314</v>
      </c>
      <c r="J182" s="0" t="n">
        <v>0.0120337707867426</v>
      </c>
      <c r="K182" s="0" t="n">
        <v>0.06767705961099239</v>
      </c>
      <c r="L182" s="0" t="n">
        <v>0.06807914773402469</v>
      </c>
      <c r="M182" s="0" t="n">
        <v>0.0138054007821142</v>
      </c>
      <c r="N182" s="0" t="n">
        <v>0.00633503426861059</v>
      </c>
      <c r="O182" s="0" t="n">
        <v>0.0151499388268949</v>
      </c>
      <c r="P182" s="0" t="n">
        <v>0.0260037105139914</v>
      </c>
      <c r="Q182" s="0" t="n">
        <v>0.0150128181297413</v>
      </c>
      <c r="R182" s="0" t="n">
        <v>0.00299588875905065</v>
      </c>
      <c r="S182" s="0" t="n">
        <v>0.0258736440835352</v>
      </c>
      <c r="T182" s="0" t="n">
        <v>0.00832538349385236</v>
      </c>
      <c r="U182" s="0" t="n">
        <v>0.00838146401252348</v>
      </c>
      <c r="V182" s="0" t="n">
        <v>0.00663737168648115</v>
      </c>
      <c r="W182" s="0" t="n">
        <v>-0.0158028944440422</v>
      </c>
      <c r="X182" s="0" t="n">
        <v>0.00205756291942549</v>
      </c>
    </row>
    <row r="183">
      <c r="A183" s="5" t="n">
        <v>42634</v>
      </c>
      <c r="B183" s="0" t="n">
        <v>0.00372225967052663</v>
      </c>
      <c r="C183" s="0" t="n">
        <v>0.00634496159520736</v>
      </c>
      <c r="D183" s="0" t="n">
        <v>0.00518005795030696</v>
      </c>
      <c r="E183" s="0" t="n">
        <v>0.00741661008953187</v>
      </c>
      <c r="F183" s="0" t="n">
        <v>-0.003199953902421</v>
      </c>
      <c r="G183" s="0" t="n">
        <v>-0.00292255939032859</v>
      </c>
      <c r="H183" s="0" t="n">
        <v>0.0116541581693576</v>
      </c>
      <c r="I183" s="0" t="n">
        <v>0.0153305023864858</v>
      </c>
      <c r="J183" s="0" t="n">
        <v>0.0071514512859796</v>
      </c>
      <c r="K183" s="0" t="n">
        <v>-0.0815800221509224</v>
      </c>
      <c r="L183" s="0" t="n">
        <v>-0.009182748549772409</v>
      </c>
      <c r="M183" s="0" t="n">
        <v>-0.0037994274213382</v>
      </c>
      <c r="N183" s="0" t="n">
        <v>0.0253085404376145</v>
      </c>
      <c r="O183" s="0" t="n">
        <v>0.0132225460604247</v>
      </c>
      <c r="P183" s="0" t="n">
        <v>0.015915414506999</v>
      </c>
      <c r="Q183" s="0" t="n">
        <v>0.008244101146288591</v>
      </c>
      <c r="R183" s="0" t="n">
        <v>0.00342861095097912</v>
      </c>
      <c r="S183" s="0" t="n">
        <v>0.00309118960800791</v>
      </c>
      <c r="T183" s="0" t="n">
        <v>0.009520834688338191</v>
      </c>
      <c r="U183" s="0" t="n">
        <v>0.009716464677733679</v>
      </c>
      <c r="V183" s="0" t="n">
        <v>0.008722758829964761</v>
      </c>
      <c r="W183" s="0" t="n">
        <v>-0.00240307284806906</v>
      </c>
      <c r="X183" s="0" t="n">
        <v>0.0152986741915785</v>
      </c>
    </row>
    <row r="184">
      <c r="A184" s="5" t="n">
        <v>42635</v>
      </c>
      <c r="B184" s="0" t="n">
        <v>-0.00726484211034605</v>
      </c>
      <c r="C184" s="0" t="n">
        <v>-0.00500582004667249</v>
      </c>
      <c r="D184" s="0" t="n">
        <v>-0.00160045894125548</v>
      </c>
      <c r="E184" s="0" t="n">
        <v>-0.00082137406877969</v>
      </c>
      <c r="F184" s="0" t="n">
        <v>-0.00514139445852457</v>
      </c>
      <c r="G184" s="0" t="n">
        <v>-0.00980397504113828</v>
      </c>
      <c r="H184" s="0" t="n">
        <v>-0.0116541581693576</v>
      </c>
      <c r="I184" s="0" t="n">
        <v>-0.0254828784762297</v>
      </c>
      <c r="J184" s="0" t="n">
        <v>0</v>
      </c>
      <c r="K184" s="0" t="n">
        <v>0.0059821133889481</v>
      </c>
      <c r="L184" s="0" t="n">
        <v>0</v>
      </c>
      <c r="M184" s="0" t="n">
        <v>0.00321581320548292</v>
      </c>
      <c r="N184" s="0" t="n">
        <v>-0.00690537113165268</v>
      </c>
      <c r="O184" s="0" t="n">
        <v>0.0041266758454328</v>
      </c>
      <c r="P184" s="0" t="n">
        <v>-0.0430173431639415</v>
      </c>
      <c r="Q184" s="0" t="n">
        <v>-0.00328947342558882</v>
      </c>
      <c r="R184" s="0" t="n">
        <v>0.000331167189647985</v>
      </c>
      <c r="S184" s="0" t="n">
        <v>0.00385061624960814</v>
      </c>
      <c r="T184" s="0" t="n">
        <v>-0.0101588078366212</v>
      </c>
      <c r="U184" s="0" t="n">
        <v>-0.00390661972615191</v>
      </c>
      <c r="V184" s="0" t="n">
        <v>0.00106291196025676</v>
      </c>
      <c r="W184" s="0" t="n">
        <v>0.000437359664301251</v>
      </c>
      <c r="X184" s="0" t="n">
        <v>0.00202219526538272</v>
      </c>
    </row>
    <row r="185">
      <c r="A185" s="5" t="n">
        <v>42636</v>
      </c>
      <c r="B185" s="0" t="n">
        <v>-0.0064733526649352</v>
      </c>
      <c r="C185" s="0" t="n">
        <v>-0.0117786938456894</v>
      </c>
      <c r="D185" s="0" t="n">
        <v>-0.0204140399463517</v>
      </c>
      <c r="E185" s="0" t="n">
        <v>-0.0132342581189566</v>
      </c>
      <c r="F185" s="0" t="n">
        <v>-0.0280972613585417</v>
      </c>
      <c r="G185" s="0" t="n">
        <v>-0.0122255226661174</v>
      </c>
      <c r="H185" s="0" t="n">
        <v>-0.008148521017924621</v>
      </c>
      <c r="I185" s="0" t="n">
        <v>-0.0139016769562809</v>
      </c>
      <c r="J185" s="0" t="n">
        <v>-0.00954660264870854</v>
      </c>
      <c r="K185" s="0" t="n">
        <v>0.013820495207735</v>
      </c>
      <c r="L185" s="0" t="n">
        <v>-0.00740743408268951</v>
      </c>
      <c r="M185" s="0" t="n">
        <v>-0.0182626269428256</v>
      </c>
      <c r="N185" s="0" t="n">
        <v>-0.00401976098636147</v>
      </c>
      <c r="O185" s="0" t="n">
        <v>-0.00339722221316307</v>
      </c>
      <c r="P185" s="0" t="n">
        <v>0.017429617932795</v>
      </c>
      <c r="Q185" s="0" t="n">
        <v>-0.009933846721083659</v>
      </c>
      <c r="R185" s="0" t="n">
        <v>-0.00753383042477562</v>
      </c>
      <c r="S185" s="0" t="n">
        <v>-0.0108192974012086</v>
      </c>
      <c r="T185" s="0" t="n">
        <v>-0.00865252821391004</v>
      </c>
      <c r="U185" s="0" t="n">
        <v>-0.013238966692227</v>
      </c>
      <c r="V185" s="0" t="n">
        <v>-0.0178639978844428</v>
      </c>
      <c r="W185" s="0" t="n">
        <v>-0.0189809402766543</v>
      </c>
      <c r="X185" s="0" t="n">
        <v>-0.0297305313516202</v>
      </c>
    </row>
    <row r="186">
      <c r="A186" s="5" t="n">
        <v>42639</v>
      </c>
      <c r="B186" s="0" t="n">
        <v>0.0179570942304438</v>
      </c>
      <c r="C186" s="0" t="n">
        <v>0.0114440931396542</v>
      </c>
      <c r="D186" s="0" t="n">
        <v>0.0169580206201276</v>
      </c>
      <c r="E186" s="0" t="n">
        <v>-0.00250110067285147</v>
      </c>
      <c r="F186" s="0" t="n">
        <v>0.0131667345544617</v>
      </c>
      <c r="G186" s="0" t="n">
        <v>-0.00600202890681522</v>
      </c>
      <c r="H186" s="0" t="n">
        <v>0.0198026791872822</v>
      </c>
      <c r="I186" s="0" t="n">
        <v>-0.009786001257088719</v>
      </c>
      <c r="J186" s="0" t="n">
        <v>-0.00240101651323021</v>
      </c>
      <c r="K186" s="0" t="n">
        <v>0.0048899807333389</v>
      </c>
      <c r="L186" s="0" t="n">
        <v>0.0110906759410789</v>
      </c>
      <c r="M186" s="0" t="n">
        <v>0.00563221995666962</v>
      </c>
      <c r="N186" s="0" t="n">
        <v>0.00146362688546863</v>
      </c>
      <c r="O186" s="0" t="n">
        <v>0.00774821553660221</v>
      </c>
      <c r="P186" s="0" t="n">
        <v>-0.0430292899558808</v>
      </c>
      <c r="Q186" s="0" t="n">
        <v>0.0132233201466724</v>
      </c>
      <c r="R186" s="0" t="n">
        <v>0.00709222171365375</v>
      </c>
      <c r="S186" s="0" t="n">
        <v>0.0169495788626701</v>
      </c>
      <c r="T186" s="0" t="n">
        <v>0.0131096954250344</v>
      </c>
      <c r="U186" s="0" t="n">
        <v>0.00459044603523128</v>
      </c>
      <c r="V186" s="0" t="n">
        <v>0.00467546497056758</v>
      </c>
      <c r="W186" s="0" t="n">
        <v>0.00466821080326695</v>
      </c>
      <c r="X186" s="0" t="n">
        <v>0.0134369068986539</v>
      </c>
    </row>
    <row r="187">
      <c r="A187" s="5" t="n">
        <v>42640</v>
      </c>
      <c r="B187" s="0" t="n">
        <v>0.00964896094917477</v>
      </c>
      <c r="C187" s="0" t="n">
        <v>0.00066908949188571</v>
      </c>
      <c r="D187" s="0" t="n">
        <v>-0.00210406876062396</v>
      </c>
      <c r="E187" s="0" t="n">
        <v>0.009140122771055911</v>
      </c>
      <c r="F187" s="0" t="n">
        <v>0.0058689540723158</v>
      </c>
      <c r="G187" s="0" t="n">
        <v>-0.00200868718936053</v>
      </c>
      <c r="H187" s="0" t="n">
        <v>0.0106383878164468</v>
      </c>
      <c r="I187" s="0" t="n">
        <v>0.0194771640335456</v>
      </c>
      <c r="J187" s="0" t="n">
        <v>0.00240101651323021</v>
      </c>
      <c r="K187" s="0" t="n">
        <v>0.0145280871434771</v>
      </c>
      <c r="L187" s="0" t="n">
        <v>0.037876490651223</v>
      </c>
      <c r="M187" s="0" t="n">
        <v>0.00471837617142645</v>
      </c>
      <c r="N187" s="0" t="n">
        <v>0.00728596509032586</v>
      </c>
      <c r="O187" s="0" t="n">
        <v>-0.0148223009726549</v>
      </c>
      <c r="P187" s="0" t="n">
        <v>0.0559049917991893</v>
      </c>
      <c r="Q187" s="0" t="n">
        <v>0.0098039905480376</v>
      </c>
      <c r="R187" s="0" t="n">
        <v>-0.00420491111886978</v>
      </c>
      <c r="S187" s="0" t="n">
        <v>0.00609292996956245</v>
      </c>
      <c r="T187" s="0" t="n">
        <v>0.000635136823797566</v>
      </c>
      <c r="U187" s="0" t="n">
        <v>0.00708163731230282</v>
      </c>
      <c r="V187" s="0" t="n">
        <v>-0.0117298379118127</v>
      </c>
      <c r="W187" s="0" t="n">
        <v>0.00486729317076406</v>
      </c>
      <c r="X187" s="0" t="n">
        <v>0.0183118348324216</v>
      </c>
    </row>
    <row r="188">
      <c r="A188" s="5" t="n">
        <v>42641</v>
      </c>
      <c r="B188" s="0" t="n">
        <v>-0.00113775410031458</v>
      </c>
      <c r="C188" s="0" t="n">
        <v>-0.0124518156441064</v>
      </c>
      <c r="D188" s="0" t="n">
        <v>-0.0120911568296016</v>
      </c>
      <c r="E188" s="0" t="n">
        <v>-0.00997513536964866</v>
      </c>
      <c r="F188" s="0" t="n">
        <v>-0.0144076013693283</v>
      </c>
      <c r="G188" s="0" t="n">
        <v>-0.0114595171033209</v>
      </c>
      <c r="H188" s="0" t="n">
        <v>-0.0368250316586411</v>
      </c>
      <c r="I188" s="0" t="n">
        <v>0.0036100801154224</v>
      </c>
      <c r="J188" s="0" t="n">
        <v>-0.00722029851925354</v>
      </c>
      <c r="K188" s="0" t="n">
        <v>0</v>
      </c>
      <c r="L188" s="0" t="n">
        <v>-0.021467708563271</v>
      </c>
      <c r="M188" s="0" t="n">
        <v>-0.0199086049495127</v>
      </c>
      <c r="N188" s="0" t="n">
        <v>-0.00108947820702365</v>
      </c>
      <c r="O188" s="0" t="n">
        <v>-0.00294187353145369</v>
      </c>
      <c r="P188" s="0" t="n">
        <v>0.0739556863978356</v>
      </c>
      <c r="Q188" s="0" t="n">
        <v>-0.0197050517921444</v>
      </c>
      <c r="R188" s="0" t="n">
        <v>-0.0070105137914771</v>
      </c>
      <c r="S188" s="0" t="n">
        <v>0.00530101167351437</v>
      </c>
      <c r="T188" s="0" t="n">
        <v>-0.00349819442186527</v>
      </c>
      <c r="U188" s="0" t="n">
        <v>-0.0150093782529738</v>
      </c>
      <c r="V188" s="0" t="n">
        <v>-0.0223944973896208</v>
      </c>
      <c r="W188" s="0" t="n">
        <v>-0.0209642476699278</v>
      </c>
      <c r="X188" s="0" t="n">
        <v>-0.021396642755842</v>
      </c>
    </row>
    <row r="189">
      <c r="A189" s="5" t="n">
        <v>42642</v>
      </c>
      <c r="B189" s="0" t="n">
        <v>0.00466940195631249</v>
      </c>
      <c r="C189" s="0" t="n">
        <v>0.0030431749962112</v>
      </c>
      <c r="D189" s="0" t="n">
        <v>0.00650007629188742</v>
      </c>
      <c r="E189" s="0" t="n">
        <v>0.008319467947560879</v>
      </c>
      <c r="F189" s="0" t="n">
        <v>0.0318105224620381</v>
      </c>
      <c r="G189" s="0" t="n">
        <v>0.00608316523560814</v>
      </c>
      <c r="H189" s="0" t="n">
        <v>0.000914493950006312</v>
      </c>
      <c r="I189" s="0" t="n">
        <v>-0.00783839771286087</v>
      </c>
      <c r="J189" s="0" t="n">
        <v>0.00722029851925354</v>
      </c>
      <c r="K189" s="0" t="n">
        <v>0.01904817766891</v>
      </c>
      <c r="L189" s="0" t="n">
        <v>-0.00543976123584455</v>
      </c>
      <c r="M189" s="0" t="n">
        <v>0.0163718271542432</v>
      </c>
      <c r="N189" s="0" t="n">
        <v>-0.00327571362386436</v>
      </c>
      <c r="O189" s="0" t="n">
        <v>-0.00295055369354635</v>
      </c>
      <c r="P189" s="0" t="n">
        <v>0.0359785887701362</v>
      </c>
      <c r="Q189" s="0" t="n">
        <v>0.009901061244106829</v>
      </c>
      <c r="R189" s="0" t="n">
        <v>-0.00627318272205101</v>
      </c>
      <c r="S189" s="0" t="n">
        <v>0.00226334961853336</v>
      </c>
      <c r="T189" s="0" t="n">
        <v>0.010458023709841</v>
      </c>
      <c r="U189" s="0" t="n">
        <v>0.00650537557830155</v>
      </c>
      <c r="V189" s="0" t="n">
        <v>0.000927715780524529</v>
      </c>
      <c r="W189" s="0" t="n">
        <v>-0.00203046104528814</v>
      </c>
      <c r="X189" s="0" t="n">
        <v>0.0153298475629304</v>
      </c>
    </row>
    <row r="190">
      <c r="A190" s="5" t="n">
        <v>42643</v>
      </c>
      <c r="B190" s="0" t="n">
        <v>-0.00783676807867106</v>
      </c>
      <c r="C190" s="0" t="n">
        <v>0.000674960679140745</v>
      </c>
      <c r="D190" s="0" t="n">
        <v>0.00917776321729135</v>
      </c>
      <c r="E190" s="0" t="n">
        <v>0.00248247430350501</v>
      </c>
      <c r="F190" s="0" t="n">
        <v>-0.00127874085583856</v>
      </c>
      <c r="G190" s="0" t="n">
        <v>-0.0135687160372639</v>
      </c>
      <c r="H190" s="0" t="n">
        <v>0.0376726509919373</v>
      </c>
      <c r="I190" s="0" t="n">
        <v>-0.0458284973067466</v>
      </c>
      <c r="J190" s="0" t="n">
        <v>0.00478469348386045</v>
      </c>
      <c r="K190" s="0" t="n">
        <v>0.0532725478870793</v>
      </c>
      <c r="L190" s="0" t="n">
        <v>0.0286757730176745</v>
      </c>
      <c r="M190" s="0" t="n">
        <v>-0.00562543685878358</v>
      </c>
      <c r="N190" s="0" t="n">
        <v>0.00327571362386436</v>
      </c>
      <c r="O190" s="0" t="n">
        <v>0.00393217133132139</v>
      </c>
      <c r="P190" s="0" t="n">
        <v>0.0189220220773553</v>
      </c>
      <c r="Q190" s="0" t="n">
        <v>0.0065466618398231</v>
      </c>
      <c r="R190" s="0" t="n">
        <v>-0.0215819552085481</v>
      </c>
      <c r="S190" s="0" t="n">
        <v>-0.0190192109013249</v>
      </c>
      <c r="T190" s="0" t="n">
        <v>-0.00695982928797578</v>
      </c>
      <c r="U190" s="0" t="n">
        <v>-0.00602795407271106</v>
      </c>
      <c r="V190" s="0" t="n">
        <v>0.0136307450630179</v>
      </c>
      <c r="W190" s="0" t="n">
        <v>-0.0102145240656099</v>
      </c>
      <c r="X190" s="0" t="n">
        <v>-0.00610372865552433</v>
      </c>
    </row>
    <row r="191">
      <c r="A191" s="5" t="n">
        <v>42646</v>
      </c>
      <c r="B191" s="0" t="n">
        <v>-0.00732320189198176</v>
      </c>
      <c r="C191" s="0" t="n">
        <v>-0.00473452156469944</v>
      </c>
      <c r="D191" s="0" t="n">
        <v>0.00135711093479962</v>
      </c>
      <c r="E191" s="0" t="n">
        <v>0.008230451976086959</v>
      </c>
      <c r="F191" s="0" t="n">
        <v>0.0108178003494865</v>
      </c>
      <c r="G191" s="0" t="n">
        <v>-0.00960888255764436</v>
      </c>
      <c r="H191" s="0" t="n">
        <v>-0.0115096333181452</v>
      </c>
      <c r="I191" s="0" t="n">
        <v>-0.0908208990733472</v>
      </c>
      <c r="J191" s="0" t="n">
        <v>-0.00238954212113151</v>
      </c>
      <c r="K191" s="0" t="n">
        <v>0.0334243838952749</v>
      </c>
      <c r="L191" s="0" t="n">
        <v>-0.0378082915781703</v>
      </c>
      <c r="M191" s="0" t="n">
        <v>0.00118697089964969</v>
      </c>
      <c r="N191" s="0" t="n">
        <v>-0.0161175844722771</v>
      </c>
      <c r="O191" s="0" t="n">
        <v>-0.0215701659207194</v>
      </c>
      <c r="P191" s="0" t="n">
        <v>-0.0151088657975955</v>
      </c>
      <c r="Q191" s="0" t="n">
        <v>-0.028124281139354</v>
      </c>
      <c r="R191" s="0" t="n">
        <v>-0.0100398411779423</v>
      </c>
      <c r="S191" s="0" t="n">
        <v>0</v>
      </c>
      <c r="T191" s="0" t="n">
        <v>-0.00477326658456434</v>
      </c>
      <c r="U191" s="0" t="n">
        <v>-0.0171712430265884</v>
      </c>
      <c r="V191" s="0" t="n">
        <v>0.0100119020049769</v>
      </c>
      <c r="W191" s="0" t="n">
        <v>-0.00182694340338152</v>
      </c>
      <c r="X191" s="0" t="n">
        <v>0.00813011820359799</v>
      </c>
    </row>
    <row r="192">
      <c r="A192" s="5" t="n">
        <v>42647</v>
      </c>
      <c r="B192" s="0" t="n">
        <v>0.00395481219862681</v>
      </c>
      <c r="C192" s="0" t="n">
        <v>0</v>
      </c>
      <c r="D192" s="0" t="n">
        <v>0.007859544170123909</v>
      </c>
      <c r="E192" s="0" t="n">
        <v>0.0226913901562939</v>
      </c>
      <c r="F192" s="0" t="n">
        <v>0.0194302829706374</v>
      </c>
      <c r="G192" s="0" t="n">
        <v>-0.0055325122788834</v>
      </c>
      <c r="H192" s="0" t="n">
        <v>0.0341389497533404</v>
      </c>
      <c r="I192" s="0" t="n">
        <v>0.00277200193639348</v>
      </c>
      <c r="J192" s="0" t="n">
        <v>-0.00479616787595915</v>
      </c>
      <c r="K192" s="0" t="n">
        <v>0.161783325384841</v>
      </c>
      <c r="L192" s="0" t="n">
        <v>0.0145722797963403</v>
      </c>
      <c r="M192" s="0" t="n">
        <v>0.00532389006276634</v>
      </c>
      <c r="N192" s="0" t="n">
        <v>-0.00184805953527478</v>
      </c>
      <c r="O192" s="0" t="n">
        <v>-0.0187205483726109</v>
      </c>
      <c r="P192" s="0" t="n">
        <v>0.0391841234429892</v>
      </c>
      <c r="Q192" s="0" t="n">
        <v>0.0182881458739421</v>
      </c>
      <c r="R192" s="0" t="n">
        <v>-0.000232041210568745</v>
      </c>
      <c r="S192" s="0" t="n">
        <v>0.0114548496092772</v>
      </c>
      <c r="T192" s="0" t="n">
        <v>0.00762634039723009</v>
      </c>
      <c r="U192" s="0" t="n">
        <v>-0.009105714274682869</v>
      </c>
      <c r="V192" s="0" t="n">
        <v>-0.00763636745324003</v>
      </c>
      <c r="W192" s="0" t="n">
        <v>0.0279486673570095</v>
      </c>
      <c r="X192" s="0" t="n">
        <v>0.0259755086784312</v>
      </c>
    </row>
    <row r="193">
      <c r="A193" s="5" t="n">
        <v>42648</v>
      </c>
      <c r="B193" s="0" t="n">
        <v>-0.00127402835404133</v>
      </c>
      <c r="C193" s="0" t="n">
        <v>-0.00782720943808579</v>
      </c>
      <c r="D193" s="0" t="n">
        <v>-0.00343094047134417</v>
      </c>
      <c r="E193" s="0" t="n">
        <v>-0.00723760291078345</v>
      </c>
      <c r="F193" s="0" t="n">
        <v>0.006804771278619</v>
      </c>
      <c r="G193" s="0" t="n">
        <v>0.0182104560774489</v>
      </c>
      <c r="H193" s="0" t="n">
        <v>0.00686108389837736</v>
      </c>
      <c r="I193" s="0" t="n">
        <v>-0.0231021773985813</v>
      </c>
      <c r="J193" s="0" t="n">
        <v>0</v>
      </c>
      <c r="K193" s="0" t="n">
        <v>0.113276118680024</v>
      </c>
      <c r="L193" s="0" t="n">
        <v>-0.00362318877009437</v>
      </c>
      <c r="M193" s="0" t="n">
        <v>-0.00740195796126075</v>
      </c>
      <c r="N193" s="0" t="n">
        <v>-0.00222227399941044</v>
      </c>
      <c r="O193" s="0" t="n">
        <v>-0.00127760939233967</v>
      </c>
      <c r="P193" s="0" t="n">
        <v>-0.0184678161288105</v>
      </c>
      <c r="Q193" s="0" t="n">
        <v>0.00164605007802998</v>
      </c>
      <c r="R193" s="0" t="n">
        <v>0.00335863335283459</v>
      </c>
      <c r="S193" s="0" t="n">
        <v>0.000759030680621108</v>
      </c>
      <c r="T193" s="0" t="n">
        <v>-0.00348821063646331</v>
      </c>
      <c r="U193" s="0" t="n">
        <v>0.009105714274682869</v>
      </c>
      <c r="V193" s="0" t="n">
        <v>0.00473413704958503</v>
      </c>
      <c r="W193" s="0" t="n">
        <v>0.00421423763388961</v>
      </c>
      <c r="X193" s="0" t="n">
        <v>0.00197039511054608</v>
      </c>
    </row>
    <row r="194">
      <c r="A194" s="5" t="n">
        <v>42649</v>
      </c>
      <c r="B194" s="0" t="n">
        <v>-0.00774284272725012</v>
      </c>
      <c r="C194" s="0" t="n">
        <v>-0.00651242200695856</v>
      </c>
      <c r="D194" s="0" t="n">
        <v>0.00758129244324834</v>
      </c>
      <c r="E194" s="0" t="n">
        <v>-0.008103802876675999</v>
      </c>
      <c r="F194" s="0" t="n">
        <v>-0.0055641662462369</v>
      </c>
      <c r="G194" s="0" t="n">
        <v>-0.0126779437985655</v>
      </c>
      <c r="H194" s="0" t="n">
        <v>0.0110498258410054</v>
      </c>
      <c r="I194" s="0" t="n">
        <v>-0.00141739952150254</v>
      </c>
      <c r="J194" s="0" t="n">
        <v>0</v>
      </c>
      <c r="K194" s="0" t="n">
        <v>0.110603049121784</v>
      </c>
      <c r="L194" s="0" t="n">
        <v>0.0108304200539353</v>
      </c>
      <c r="M194" s="0" t="n">
        <v>-0.00267817891684396</v>
      </c>
      <c r="N194" s="0" t="n">
        <v>0.0288710321915917</v>
      </c>
      <c r="O194" s="0" t="n">
        <v>-0.00615548698848167</v>
      </c>
      <c r="P194" s="0" t="n">
        <v>0.0120427689117077</v>
      </c>
      <c r="Q194" s="0" t="n">
        <v>-0.00329489279082628</v>
      </c>
      <c r="R194" s="0" t="n">
        <v>-0.00104108214861398</v>
      </c>
      <c r="S194" s="0" t="n">
        <v>-0.00532528064106596</v>
      </c>
      <c r="T194" s="0" t="n">
        <v>-0.000317719750524414</v>
      </c>
      <c r="U194" s="0" t="n">
        <v>0.00226353197861151</v>
      </c>
      <c r="V194" s="0" t="n">
        <v>0.00687911962765852</v>
      </c>
      <c r="W194" s="0" t="n">
        <v>0.00331458755211722</v>
      </c>
      <c r="X194" s="0" t="n">
        <v>0.000983790430488795</v>
      </c>
    </row>
    <row r="195">
      <c r="A195" s="5" t="n">
        <v>42650</v>
      </c>
      <c r="B195" s="0" t="n">
        <v>0.00863484269442338</v>
      </c>
      <c r="C195" s="0" t="n">
        <v>-0.00759409407241751</v>
      </c>
      <c r="D195" s="0" t="n">
        <v>0.0117470470600551</v>
      </c>
      <c r="E195" s="0" t="n">
        <v>-0.0139289492751917</v>
      </c>
      <c r="F195" s="0" t="n">
        <v>0.0104842208988471</v>
      </c>
      <c r="G195" s="0" t="n">
        <v>0.00172262704846959</v>
      </c>
      <c r="H195" s="0" t="n">
        <v>0.0025327132240509</v>
      </c>
      <c r="I195" s="0" t="n">
        <v>0.00424625305088</v>
      </c>
      <c r="J195" s="0" t="n">
        <v>-0.00481928200602332</v>
      </c>
      <c r="K195" s="0" t="n">
        <v>0.0571583592997507</v>
      </c>
      <c r="L195" s="0" t="n">
        <v>0.055860890237404</v>
      </c>
      <c r="M195" s="0" t="n">
        <v>0.00148873737735844</v>
      </c>
      <c r="N195" s="0" t="n">
        <v>0.00287769706347917</v>
      </c>
      <c r="O195" s="0" t="n">
        <v>0.00359526310702262</v>
      </c>
      <c r="P195" s="0" t="n">
        <v>0.0209575322290525</v>
      </c>
      <c r="Q195" s="0" t="n">
        <v>0.00657896490635723</v>
      </c>
      <c r="R195" s="0" t="n">
        <v>0.00496451168972011</v>
      </c>
      <c r="S195" s="0" t="n">
        <v>0.00456624996044485</v>
      </c>
      <c r="T195" s="0" t="n">
        <v>0</v>
      </c>
      <c r="U195" s="0" t="n">
        <v>-0.00274922420208767</v>
      </c>
      <c r="V195" s="0" t="n">
        <v>-0.10690517428154</v>
      </c>
      <c r="W195" s="0" t="n">
        <v>0.007034535119943</v>
      </c>
      <c r="X195" s="0" t="n">
        <v>-0.000983790430488795</v>
      </c>
    </row>
    <row r="196">
      <c r="A196" s="5" t="n">
        <v>42653</v>
      </c>
      <c r="B196" s="0" t="n">
        <v>-0.0143038967680215</v>
      </c>
      <c r="C196" s="0" t="n">
        <v>0.00207681756380662</v>
      </c>
      <c r="D196" s="0" t="n">
        <v>-0.0151637531261092</v>
      </c>
      <c r="E196" s="0" t="n">
        <v>-0.0107840212488197</v>
      </c>
      <c r="F196" s="0" t="n">
        <v>-0.0117248259312292</v>
      </c>
      <c r="G196" s="0" t="n">
        <v>0.0358389057294243</v>
      </c>
      <c r="H196" s="0" t="n">
        <v>0.00168491880137233</v>
      </c>
      <c r="I196" s="0" t="n">
        <v>-0.0120783051725914</v>
      </c>
      <c r="J196" s="0" t="n">
        <v>-0.0145987858707927</v>
      </c>
      <c r="K196" s="0" t="n">
        <v>0</v>
      </c>
      <c r="L196" s="0" t="n">
        <v>-0.0188522560122068</v>
      </c>
      <c r="M196" s="0" t="n">
        <v>-0.0143844113449085</v>
      </c>
      <c r="N196" s="0" t="n">
        <v>-0.0072098641298206</v>
      </c>
      <c r="O196" s="0" t="n">
        <v>0.00230444747429681</v>
      </c>
      <c r="P196" s="0" t="n">
        <v>-0.000902140687925712</v>
      </c>
      <c r="Q196" s="0" t="n">
        <v>-0.00988474991426069</v>
      </c>
      <c r="R196" s="0" t="n">
        <v>-0.00496451168972011</v>
      </c>
      <c r="S196" s="0" t="n">
        <v>-0.0261553488671819</v>
      </c>
      <c r="T196" s="0" t="n">
        <v>-0.0137579644471657</v>
      </c>
      <c r="U196" s="0" t="n">
        <v>0.00387913328215372</v>
      </c>
      <c r="V196" s="0" t="n">
        <v>-0.00523354927714869</v>
      </c>
      <c r="W196" s="0" t="n">
        <v>-0.0043908030567481</v>
      </c>
      <c r="X196" s="0" t="n">
        <v>-0.0138752857901276</v>
      </c>
    </row>
    <row r="197">
      <c r="A197" s="5" t="n">
        <v>42654</v>
      </c>
      <c r="B197" s="0" t="n">
        <v>-0.00323541127141169</v>
      </c>
      <c r="C197" s="0" t="n">
        <v>-0.000691770511286993</v>
      </c>
      <c r="D197" s="0" t="n">
        <v>-0.0160180288375952</v>
      </c>
      <c r="E197" s="0" t="n">
        <v>-0.00250519823799688</v>
      </c>
      <c r="F197" s="0" t="n">
        <v>-0.00497822561889593</v>
      </c>
      <c r="G197" s="0" t="n">
        <v>0.0345987334625497</v>
      </c>
      <c r="H197" s="0" t="n">
        <v>-0.00675677617689074</v>
      </c>
      <c r="I197" s="0" t="n">
        <v>0.0247100734951906</v>
      </c>
      <c r="J197" s="0" t="n">
        <v>0.0048899807333389</v>
      </c>
      <c r="K197" s="0" t="n">
        <v>-0.0930904052976893</v>
      </c>
      <c r="L197" s="0" t="n">
        <v>0.00689657225511997</v>
      </c>
      <c r="M197" s="0" t="n">
        <v>-0.00181273078640042</v>
      </c>
      <c r="N197" s="0" t="n">
        <v>-0.00253576285070478</v>
      </c>
      <c r="O197" s="0" t="n">
        <v>0.00586520503361676</v>
      </c>
      <c r="P197" s="0" t="n">
        <v>-0.00815592684424526</v>
      </c>
      <c r="Q197" s="0" t="n">
        <v>-0.00831263171429941</v>
      </c>
      <c r="R197" s="0" t="n">
        <v>0.0123081979167958</v>
      </c>
      <c r="S197" s="0" t="n">
        <v>0.00853708396386121</v>
      </c>
      <c r="T197" s="0" t="n">
        <v>-0.0228097458604485</v>
      </c>
      <c r="U197" s="0" t="n">
        <v>0.008833257878523069</v>
      </c>
      <c r="V197" s="0" t="n">
        <v>0.00924070648955677</v>
      </c>
      <c r="W197" s="0" t="n">
        <v>-0.00286440798382825</v>
      </c>
      <c r="X197" s="0" t="n">
        <v>-0.00500253058473765</v>
      </c>
    </row>
    <row r="198">
      <c r="A198" s="5" t="n">
        <v>42655</v>
      </c>
      <c r="B198" s="0" t="n">
        <v>-0.00370113130261096</v>
      </c>
      <c r="C198" s="0" t="n">
        <v>-0.00450841753107278</v>
      </c>
      <c r="D198" s="0" t="n">
        <v>-0.00635479217173617</v>
      </c>
      <c r="E198" s="0" t="n">
        <v>-0.00418938115656875</v>
      </c>
      <c r="F198" s="0" t="n">
        <v>-0.012555140383148</v>
      </c>
      <c r="G198" s="0" t="n">
        <v>-0.00128413873239274</v>
      </c>
      <c r="H198" s="0" t="n">
        <v>0.0234517045292461</v>
      </c>
      <c r="I198" s="0" t="n">
        <v>0.0213874636119948</v>
      </c>
      <c r="J198" s="0" t="n">
        <v>0</v>
      </c>
      <c r="K198" s="0" t="n">
        <v>-0.0759859108036373</v>
      </c>
      <c r="L198" s="0" t="n">
        <v>-0.051112437764158</v>
      </c>
      <c r="M198" s="0" t="n">
        <v>-0.009418310015908199</v>
      </c>
      <c r="N198" s="0" t="n">
        <v>-0.00655025297533118</v>
      </c>
      <c r="O198" s="0" t="n">
        <v>0.00101644482556428</v>
      </c>
      <c r="P198" s="0" t="n">
        <v>0.0144537161044384</v>
      </c>
      <c r="Q198" s="0" t="n">
        <v>0.00499588223567637</v>
      </c>
      <c r="R198" s="0" t="n">
        <v>0.00604092309076609</v>
      </c>
      <c r="S198" s="0" t="n">
        <v>0.0046261008166577</v>
      </c>
      <c r="T198" s="0" t="n">
        <v>-0.00561892324987933</v>
      </c>
      <c r="U198" s="0" t="n">
        <v>0.0023955567110514</v>
      </c>
      <c r="V198" s="0" t="n">
        <v>0.00458860370072722</v>
      </c>
      <c r="W198" s="0" t="n">
        <v>-0.0126569847051416</v>
      </c>
      <c r="X198" s="0" t="n">
        <v>-0.0253949648125302</v>
      </c>
    </row>
    <row r="199">
      <c r="A199" s="5" t="n">
        <v>42656</v>
      </c>
      <c r="B199" s="0" t="n">
        <v>0.00473762596799254</v>
      </c>
      <c r="C199" s="0" t="n">
        <v>0.00416235273771326</v>
      </c>
      <c r="D199" s="0" t="n">
        <v>-0.009166930172914251</v>
      </c>
      <c r="E199" s="0" t="n">
        <v>0</v>
      </c>
      <c r="F199" s="0" t="n">
        <v>0.0106818531664401</v>
      </c>
      <c r="G199" s="0" t="n">
        <v>0.0044872286142934</v>
      </c>
      <c r="H199" s="0" t="n">
        <v>0.00988474962306473</v>
      </c>
      <c r="I199" s="0" t="n">
        <v>-0.023481686532508</v>
      </c>
      <c r="J199" s="0" t="n">
        <v>0.00243611054348669</v>
      </c>
      <c r="K199" s="0" t="n">
        <v>0.0323653304593503</v>
      </c>
      <c r="L199" s="0" t="n">
        <v>0.00900090924619956</v>
      </c>
      <c r="M199" s="0" t="n">
        <v>-0.00305712487930964</v>
      </c>
      <c r="N199" s="0" t="n">
        <v>-0.00182712411432328</v>
      </c>
      <c r="O199" s="0" t="n">
        <v>-0.0038172259327589</v>
      </c>
      <c r="P199" s="0" t="n">
        <v>-0.00539564857226748</v>
      </c>
      <c r="Q199" s="0" t="n">
        <v>0.0115608506249116</v>
      </c>
      <c r="R199" s="0" t="n">
        <v>0.009049869886559311</v>
      </c>
      <c r="S199" s="0" t="n">
        <v>0</v>
      </c>
      <c r="T199" s="0" t="n">
        <v>0.000331407751786194</v>
      </c>
      <c r="U199" s="0" t="n">
        <v>-0.00399584972635391</v>
      </c>
      <c r="V199" s="0" t="n">
        <v>-0.009399153500870391</v>
      </c>
      <c r="W199" s="0" t="n">
        <v>-0.000894274951990681</v>
      </c>
      <c r="X199" s="0" t="n">
        <v>0.0102354453449637</v>
      </c>
    </row>
    <row r="200">
      <c r="A200" s="5" t="n">
        <v>42657</v>
      </c>
      <c r="B200" s="0" t="n">
        <v>0.00206977192417667</v>
      </c>
      <c r="C200" s="0" t="n">
        <v>-0.0013855267837517</v>
      </c>
      <c r="D200" s="0" t="n">
        <v>-0.00937900265860136</v>
      </c>
      <c r="E200" s="0" t="n">
        <v>-0.00252204698789038</v>
      </c>
      <c r="F200" s="0" t="n">
        <v>0.0031200798010742</v>
      </c>
      <c r="G200" s="0" t="n">
        <v>-0.0141709466854251</v>
      </c>
      <c r="H200" s="0" t="n">
        <v>0.0146463014523172</v>
      </c>
      <c r="I200" s="0" t="n">
        <v>0.0159448465901066</v>
      </c>
      <c r="J200" s="0" t="n">
        <v>0</v>
      </c>
      <c r="K200" s="0" t="n">
        <v>0.0313504994185429</v>
      </c>
      <c r="L200" s="0" t="n">
        <v>0.0177624397905167</v>
      </c>
      <c r="M200" s="0" t="n">
        <v>-0.00491099353461566</v>
      </c>
      <c r="N200" s="0" t="n">
        <v>0.00109671683818968</v>
      </c>
      <c r="O200" s="0" t="n">
        <v>0.00127402835404177</v>
      </c>
      <c r="P200" s="0" t="n">
        <v>-0.0145324850119497</v>
      </c>
      <c r="Q200" s="0" t="n">
        <v>-0.00164342334755884</v>
      </c>
      <c r="R200" s="0" t="n">
        <v>-0.0243942257946452</v>
      </c>
      <c r="S200" s="0" t="n">
        <v>-0.0100503447455695</v>
      </c>
      <c r="T200" s="0" t="n">
        <v>0.00132447067147678</v>
      </c>
      <c r="U200" s="0" t="n">
        <v>-0.000160139691520733</v>
      </c>
      <c r="V200" s="0" t="n">
        <v>-0.008677287874254249</v>
      </c>
      <c r="W200" s="0" t="n">
        <v>-0.0047079805966792</v>
      </c>
      <c r="X200" s="0" t="n">
        <v>-0.0164274588608321</v>
      </c>
    </row>
    <row r="201">
      <c r="A201" s="5" t="n">
        <v>42660</v>
      </c>
      <c r="B201" s="0" t="n">
        <v>-0.0265163526026963</v>
      </c>
      <c r="C201" s="0" t="n">
        <v>0.00449594386725094</v>
      </c>
      <c r="D201" s="0" t="n">
        <v>0.00305146925596133</v>
      </c>
      <c r="E201" s="0" t="n">
        <v>0.0008414160100334019</v>
      </c>
      <c r="F201" s="0" t="n">
        <v>0.0129993161551826</v>
      </c>
      <c r="G201" s="0" t="n">
        <v>-0.00618191447109328</v>
      </c>
      <c r="H201" s="0" t="n">
        <v>0.0259133251300829</v>
      </c>
      <c r="I201" s="0" t="n">
        <v>0.0217695467040082</v>
      </c>
      <c r="J201" s="0" t="n">
        <v>-0.00243611054348669</v>
      </c>
      <c r="K201" s="0" t="n">
        <v>0.0540672406350073</v>
      </c>
      <c r="L201" s="0" t="n">
        <v>0.0277796204572127</v>
      </c>
      <c r="M201" s="0" t="n">
        <v>0.00582908939091231</v>
      </c>
      <c r="N201" s="0" t="n">
        <v>0.0191791214394543</v>
      </c>
      <c r="O201" s="0" t="n">
        <v>0.00228920744420468</v>
      </c>
      <c r="P201" s="0" t="n">
        <v>0.0172339484216084</v>
      </c>
      <c r="Q201" s="0" t="n">
        <v>0.00655739439500879</v>
      </c>
      <c r="R201" s="0" t="n">
        <v>0.00609721487059111</v>
      </c>
      <c r="S201" s="0" t="n">
        <v>0.0108192974012086</v>
      </c>
      <c r="T201" s="0" t="n">
        <v>0.00725361641505006</v>
      </c>
      <c r="U201" s="0" t="n">
        <v>0.00367734912693329</v>
      </c>
      <c r="V201" s="0" t="n">
        <v>0.0142873763238933</v>
      </c>
      <c r="W201" s="0" t="n">
        <v>0.0100615887185036</v>
      </c>
      <c r="X201" s="0" t="n">
        <v>0.0143887727106886</v>
      </c>
    </row>
    <row r="202">
      <c r="A202" s="5" t="n">
        <v>42661</v>
      </c>
      <c r="B202" s="0" t="n">
        <v>0.00357635518464594</v>
      </c>
      <c r="C202" s="0" t="n">
        <v>0.00275673170769064</v>
      </c>
      <c r="D202" s="0" t="n">
        <v>-0.00266953812907999</v>
      </c>
      <c r="E202" s="0" t="n">
        <v>0.0100419155718909</v>
      </c>
      <c r="F202" s="0" t="n">
        <v>0.0128323843028295</v>
      </c>
      <c r="G202" s="0" t="n">
        <v>0.0120034155409616</v>
      </c>
      <c r="H202" s="0" t="n">
        <v>-0.013072069344937</v>
      </c>
      <c r="I202" s="0" t="n">
        <v>0.0304861282065616</v>
      </c>
      <c r="J202" s="0" t="n">
        <v>0.00970880513745386</v>
      </c>
      <c r="K202" s="0" t="n">
        <v>-0.0308813407112009</v>
      </c>
      <c r="L202" s="0" t="n">
        <v>0</v>
      </c>
      <c r="M202" s="0" t="n">
        <v>-0.00275693716004488</v>
      </c>
      <c r="N202" s="0" t="n">
        <v>0.00998584214548081</v>
      </c>
      <c r="O202" s="0" t="n">
        <v>0.000508012643318789</v>
      </c>
      <c r="P202" s="0" t="n">
        <v>0.0318610724855483</v>
      </c>
      <c r="Q202" s="0" t="n">
        <v>0.0129871834626196</v>
      </c>
      <c r="R202" s="0" t="n">
        <v>-0.00910197997006712</v>
      </c>
      <c r="S202" s="0" t="n">
        <v>-0.00771611707798136</v>
      </c>
      <c r="T202" s="0" t="n">
        <v>-0.00296102046355839</v>
      </c>
      <c r="U202" s="0" t="n">
        <v>-0.012041568022405</v>
      </c>
      <c r="V202" s="0" t="n">
        <v>-0.00360289237764455</v>
      </c>
      <c r="W202" s="0" t="n">
        <v>0.00687282522969923</v>
      </c>
      <c r="X202" s="0" t="n">
        <v>0.0231981702115646</v>
      </c>
    </row>
    <row r="203">
      <c r="A203" s="5" t="n">
        <v>42662</v>
      </c>
      <c r="B203" s="0" t="n">
        <v>0.00171748352326339</v>
      </c>
      <c r="C203" s="0" t="n">
        <v>0.000344040672672463</v>
      </c>
      <c r="D203" s="0" t="n">
        <v>0.00228862541616337</v>
      </c>
      <c r="E203" s="0" t="n">
        <v>-0.00333611327144423</v>
      </c>
      <c r="F203" s="0" t="n">
        <v>0.00544961420838951</v>
      </c>
      <c r="G203" s="0" t="n">
        <v>-0.00290651430657762</v>
      </c>
      <c r="H203" s="0" t="n">
        <v>0.013072069344937</v>
      </c>
      <c r="I203" s="0" t="n">
        <v>0.00520834025646665</v>
      </c>
      <c r="J203" s="0" t="n">
        <v>-0.00241832090476012</v>
      </c>
      <c r="K203" s="0" t="n">
        <v>0.0308813407112009</v>
      </c>
      <c r="L203" s="0" t="n">
        <v>0.0320162225649824</v>
      </c>
      <c r="M203" s="0" t="n">
        <v>-0.00184211164022407</v>
      </c>
      <c r="N203" s="0" t="n">
        <v>-0.00748003463553947</v>
      </c>
      <c r="O203" s="0" t="n">
        <v>-0.0187112858214382</v>
      </c>
      <c r="P203" s="0" t="n">
        <v>-0.0158036084190489</v>
      </c>
      <c r="Q203" s="0" t="n">
        <v>0.00482707457355879</v>
      </c>
      <c r="R203" s="0" t="n">
        <v>0.0103628043320451</v>
      </c>
      <c r="S203" s="0" t="n">
        <v>0.0107859553452063</v>
      </c>
      <c r="T203" s="0" t="n">
        <v>-0.00627999199405104</v>
      </c>
      <c r="U203" s="0" t="n">
        <v>-0.0009696408986092909</v>
      </c>
      <c r="V203" s="0" t="n">
        <v>0.009777623155875929</v>
      </c>
      <c r="W203" s="0" t="n">
        <v>-0.00731787324607902</v>
      </c>
      <c r="X203" s="0" t="n">
        <v>0.0109074566704645</v>
      </c>
    </row>
    <row r="204">
      <c r="A204" s="5" t="n">
        <v>42663</v>
      </c>
      <c r="B204" s="0" t="n">
        <v>-0.0125520448072027</v>
      </c>
      <c r="C204" s="0" t="n">
        <v>-0.0031007723803631</v>
      </c>
      <c r="D204" s="0" t="n">
        <v>-0.00624242896514726</v>
      </c>
      <c r="E204" s="0" t="n">
        <v>0.00416842531250827</v>
      </c>
      <c r="F204" s="0" t="n">
        <v>0.00662058463216697</v>
      </c>
      <c r="G204" s="0" t="n">
        <v>-0.00518807410834876</v>
      </c>
      <c r="H204" s="0" t="n">
        <v>-0.00433839755988696</v>
      </c>
      <c r="I204" s="0" t="n">
        <v>0.00711750729667493</v>
      </c>
      <c r="J204" s="0" t="n">
        <v>0.00483092254010442</v>
      </c>
      <c r="K204" s="0" t="n">
        <v>-0.0171045418002143</v>
      </c>
      <c r="L204" s="0" t="n">
        <v>0.0374331761414188</v>
      </c>
      <c r="M204" s="0" t="n">
        <v>-0.0111249788786991</v>
      </c>
      <c r="N204" s="0" t="n">
        <v>0.00854400989539305</v>
      </c>
      <c r="O204" s="0" t="n">
        <v>-0.0304725389939592</v>
      </c>
      <c r="P204" s="0" t="n">
        <v>-0.0205640234447623</v>
      </c>
      <c r="Q204" s="0" t="n">
        <v>0.00480388581368362</v>
      </c>
      <c r="R204" s="0" t="n">
        <v>0.00125923668547667</v>
      </c>
      <c r="S204" s="0" t="n">
        <v>-0.0115608665880713</v>
      </c>
      <c r="T204" s="0" t="n">
        <v>-0.000331627559676306</v>
      </c>
      <c r="U204" s="0" t="n">
        <v>0.0294725003873299</v>
      </c>
      <c r="V204" s="0" t="n">
        <v>-0.00677428669482971</v>
      </c>
      <c r="W204" s="0" t="n">
        <v>0.00355476594274817</v>
      </c>
      <c r="X204" s="0" t="n">
        <v>-0.00792082563830254</v>
      </c>
    </row>
    <row r="205">
      <c r="A205" s="5" t="n">
        <v>42664</v>
      </c>
      <c r="B205" s="0" t="n">
        <v>0.00626252815032657</v>
      </c>
      <c r="C205" s="0" t="n">
        <v>-0.00207258177885272</v>
      </c>
      <c r="D205" s="0" t="n">
        <v>-0.00872807885168125</v>
      </c>
      <c r="E205" s="0" t="n">
        <v>0.0140439418795916</v>
      </c>
      <c r="F205" s="0" t="n">
        <v>0.00598090179227472</v>
      </c>
      <c r="G205" s="0" t="n">
        <v>0.0135617213388443</v>
      </c>
      <c r="H205" s="0" t="n">
        <v>-0.0043573012949718</v>
      </c>
      <c r="I205" s="0" t="n">
        <v>-0.0142859744994225</v>
      </c>
      <c r="J205" s="0" t="n">
        <v>0.00720284824663819</v>
      </c>
      <c r="K205" s="0" t="n">
        <v>0.0459249526089313</v>
      </c>
      <c r="L205" s="0" t="n">
        <v>0.0360822737745509</v>
      </c>
      <c r="M205" s="0" t="n">
        <v>-0.00155494467632033</v>
      </c>
      <c r="N205" s="0" t="n">
        <v>0.00389176548963376</v>
      </c>
      <c r="O205" s="0" t="n">
        <v>-0.0169473067185537</v>
      </c>
      <c r="P205" s="0" t="n">
        <v>-0.0246925673619147</v>
      </c>
      <c r="Q205" s="0" t="n">
        <v>0</v>
      </c>
      <c r="R205" s="0" t="n">
        <v>0.00672707999004007</v>
      </c>
      <c r="S205" s="0" t="n">
        <v>0.0130922224904677</v>
      </c>
      <c r="T205" s="0" t="n">
        <v>0.0102294068895076</v>
      </c>
      <c r="U205" s="0" t="n">
        <v>0.0194331215751546</v>
      </c>
      <c r="V205" s="0" t="n">
        <v>-0.0159197501294463</v>
      </c>
      <c r="W205" s="0" t="n">
        <v>0.009491304057328341</v>
      </c>
      <c r="X205" s="0" t="n">
        <v>0.00396825523349919</v>
      </c>
    </row>
    <row r="206">
      <c r="A206" s="5" t="n">
        <v>42667</v>
      </c>
      <c r="B206" s="0" t="n">
        <v>0.00205671026914</v>
      </c>
      <c r="C206" s="0" t="n">
        <v>-0.00937993840064255</v>
      </c>
      <c r="D206" s="0" t="n">
        <v>0.00231780049076135</v>
      </c>
      <c r="E206" s="0" t="n">
        <v>-0.0282880092974751</v>
      </c>
      <c r="F206" s="0" t="n">
        <v>-0.00298603654245921</v>
      </c>
      <c r="G206" s="0" t="n">
        <v>-0.008697122209676771</v>
      </c>
      <c r="H206" s="0" t="n">
        <v>0.0043573012949718</v>
      </c>
      <c r="I206" s="0" t="n">
        <v>0.0194306754111601</v>
      </c>
      <c r="J206" s="0" t="n">
        <v>0.00238954212113151</v>
      </c>
      <c r="K206" s="0" t="n">
        <v>-0.0411771595947705</v>
      </c>
      <c r="L206" s="0" t="n">
        <v>0.0451884405033427</v>
      </c>
      <c r="M206" s="0" t="n">
        <v>0.0046575992143496</v>
      </c>
      <c r="N206" s="0" t="n">
        <v>0.00457992933965378</v>
      </c>
      <c r="O206" s="0" t="n">
        <v>-0.00435019295125416</v>
      </c>
      <c r="P206" s="0" t="n">
        <v>-0.0396652630279299</v>
      </c>
      <c r="Q206" s="0" t="n">
        <v>-0.00480388581368362</v>
      </c>
      <c r="R206" s="0" t="n">
        <v>-0.00672707999004007</v>
      </c>
      <c r="S206" s="0" t="n">
        <v>0.00686241001554943</v>
      </c>
      <c r="T206" s="0" t="n">
        <v>-0.00394733846065564</v>
      </c>
      <c r="U206" s="0" t="n">
        <v>-0.00370196120932764</v>
      </c>
      <c r="V206" s="0" t="n">
        <v>0.00647906090699201</v>
      </c>
      <c r="W206" s="0" t="n">
        <v>0.00438406575175776</v>
      </c>
      <c r="X206" s="0" t="n">
        <v>0.00887134443887571</v>
      </c>
    </row>
    <row r="207">
      <c r="A207" s="5" t="n">
        <v>42668</v>
      </c>
      <c r="B207" s="0" t="n">
        <v>0.00614487161526611</v>
      </c>
      <c r="C207" s="0" t="n">
        <v>0.0076495453099219</v>
      </c>
      <c r="D207" s="0" t="n">
        <v>-0.012814852089849</v>
      </c>
      <c r="E207" s="0" t="n">
        <v>0.00252842379489504</v>
      </c>
      <c r="F207" s="0" t="n">
        <v>0.00893137971572555</v>
      </c>
      <c r="G207" s="0" t="n">
        <v>-0.000323579649101901</v>
      </c>
      <c r="H207" s="0" t="n">
        <v>-0.00523104452449851</v>
      </c>
      <c r="I207" s="0" t="n">
        <v>-0.0174705484648791</v>
      </c>
      <c r="J207" s="0" t="n">
        <v>0.0118624676718193</v>
      </c>
      <c r="K207" s="0" t="n">
        <v>-0.0173190617758252</v>
      </c>
      <c r="L207" s="0" t="n">
        <v>0.0175186797449005</v>
      </c>
      <c r="M207" s="0" t="n">
        <v>0.00371066430764521</v>
      </c>
      <c r="N207" s="0" t="n">
        <v>-0.00705472979674182</v>
      </c>
      <c r="O207" s="0" t="n">
        <v>-0.00738415645154733</v>
      </c>
      <c r="P207" s="0" t="n">
        <v>-0.00773697500934122</v>
      </c>
      <c r="Q207" s="0" t="n">
        <v>-0.00160646284107501</v>
      </c>
      <c r="R207" s="0" t="n">
        <v>0.00182873556103135</v>
      </c>
      <c r="S207" s="0" t="n">
        <v>0.0180727641866287</v>
      </c>
      <c r="T207" s="0" t="n">
        <v>0.00689768169448479</v>
      </c>
      <c r="U207" s="0" t="n">
        <v>-0.00294053369335856</v>
      </c>
      <c r="V207" s="0" t="n">
        <v>-0.00526100608704327</v>
      </c>
      <c r="W207" s="0" t="n">
        <v>0.00936112838617297</v>
      </c>
      <c r="X207" s="0" t="n">
        <v>0.0488369175868035</v>
      </c>
    </row>
    <row r="208">
      <c r="A208" s="5" t="n">
        <v>42669</v>
      </c>
      <c r="B208" s="0" t="n">
        <v>0.0100932074988326</v>
      </c>
      <c r="C208" s="0" t="n">
        <v>-0.00834783739018574</v>
      </c>
      <c r="D208" s="0" t="n">
        <v>-0.0078472604019657</v>
      </c>
      <c r="E208" s="0" t="n">
        <v>-0.0118545286635201</v>
      </c>
      <c r="F208" s="0" t="n">
        <v>0.00236820758199396</v>
      </c>
      <c r="G208" s="0" t="n">
        <v>0.0038760009470411</v>
      </c>
      <c r="H208" s="0" t="n">
        <v>0.0121634748549461</v>
      </c>
      <c r="I208" s="0" t="n">
        <v>-0.0372383097131292</v>
      </c>
      <c r="J208" s="0" t="n">
        <v>-0.0311401542689004</v>
      </c>
      <c r="K208" s="0" t="n">
        <v>0.0355067251983552</v>
      </c>
      <c r="L208" s="0" t="n">
        <v>0.00577201643544089</v>
      </c>
      <c r="M208" s="0" t="n">
        <v>0.0024660313064575</v>
      </c>
      <c r="N208" s="0" t="n">
        <v>0.09289374689269619</v>
      </c>
      <c r="O208" s="0" t="n">
        <v>0.00246744886385164</v>
      </c>
      <c r="P208" s="0" t="n">
        <v>0</v>
      </c>
      <c r="Q208" s="0" t="n">
        <v>-0.00969312024517488</v>
      </c>
      <c r="R208" s="0" t="n">
        <v>-0.00434879660848608</v>
      </c>
      <c r="S208" s="0" t="n">
        <v>-0.0211169036956633</v>
      </c>
      <c r="T208" s="0" t="n">
        <v>-0.0055801911010449</v>
      </c>
      <c r="U208" s="0" t="n">
        <v>-0.00139583334055881</v>
      </c>
      <c r="V208" s="0" t="n">
        <v>0.0527529348909618</v>
      </c>
      <c r="W208" s="0" t="n">
        <v>0.00561795595293501</v>
      </c>
      <c r="X208" s="0" t="n">
        <v>0.0046620309314993</v>
      </c>
    </row>
    <row r="209">
      <c r="A209" s="5" t="n">
        <v>42670</v>
      </c>
      <c r="B209" s="0" t="n">
        <v>-0.00483727885926654</v>
      </c>
      <c r="C209" s="0" t="n">
        <v>0.0203982450057842</v>
      </c>
      <c r="D209" s="0" t="n">
        <v>-0.021634726052607</v>
      </c>
      <c r="E209" s="0" t="n">
        <v>-0.00170498797115836</v>
      </c>
      <c r="F209" s="0" t="n">
        <v>-0.0136947386604484</v>
      </c>
      <c r="G209" s="0" t="n">
        <v>0.00770715980976399</v>
      </c>
      <c r="H209" s="0" t="n">
        <v>-0.00259403277056069</v>
      </c>
      <c r="I209" s="0" t="n">
        <v>0.00405676459655701</v>
      </c>
      <c r="J209" s="0" t="n">
        <v>0</v>
      </c>
      <c r="K209" s="0" t="n">
        <v>-0.0175957446659745</v>
      </c>
      <c r="L209" s="0" t="n">
        <v>-0.00722020670825473</v>
      </c>
      <c r="M209" s="0" t="n">
        <v>-0.017078484915427</v>
      </c>
      <c r="N209" s="0" t="n">
        <v>-0.0198736176404055</v>
      </c>
      <c r="O209" s="0" t="n">
        <v>-0.000273918566621844</v>
      </c>
      <c r="P209" s="0" t="n">
        <v>-0.0295588207594921</v>
      </c>
      <c r="Q209" s="0" t="n">
        <v>-0.0380525687129886</v>
      </c>
      <c r="R209" s="0" t="n">
        <v>-0.0449210881137798</v>
      </c>
      <c r="S209" s="0" t="n">
        <v>-0.00152551546638024</v>
      </c>
      <c r="T209" s="0" t="n">
        <v>0.00688869360788357</v>
      </c>
      <c r="U209" s="0" t="n">
        <v>0.0222554957316596</v>
      </c>
      <c r="V209" s="0" t="n">
        <v>-0.0186485414582242</v>
      </c>
      <c r="W209" s="0" t="n">
        <v>-0.00388602186700159</v>
      </c>
      <c r="X209" s="0" t="n">
        <v>-0.0178324365591269</v>
      </c>
    </row>
    <row r="210">
      <c r="A210" s="5" t="n">
        <v>42671</v>
      </c>
      <c r="B210" s="0" t="n">
        <v>0.00705195100228106</v>
      </c>
      <c r="C210" s="0" t="n">
        <v>-0.0041151797955421</v>
      </c>
      <c r="D210" s="0" t="n">
        <v>-0.009301171915523369</v>
      </c>
      <c r="E210" s="0" t="n">
        <v>0.00170498797115836</v>
      </c>
      <c r="F210" s="0" t="n">
        <v>-0.0108500343199757</v>
      </c>
      <c r="G210" s="0" t="n">
        <v>-0.00899751210258648</v>
      </c>
      <c r="H210" s="0" t="n">
        <v>0.0323708295085261</v>
      </c>
      <c r="I210" s="0" t="n">
        <v>0.0253178160281013</v>
      </c>
      <c r="J210" s="0" t="n">
        <v>0.0144929931132207</v>
      </c>
      <c r="K210" s="0" t="n">
        <v>-0.0191165106817029</v>
      </c>
      <c r="L210" s="0" t="n">
        <v>0.00289435523013414</v>
      </c>
      <c r="M210" s="0" t="n">
        <v>-0.00691395660596638</v>
      </c>
      <c r="N210" s="0" t="n">
        <v>-0.133954536429993</v>
      </c>
      <c r="O210" s="0" t="n">
        <v>0.00763994430715753</v>
      </c>
      <c r="P210" s="0" t="n">
        <v>-0.047091611532485</v>
      </c>
      <c r="Q210" s="0" t="n">
        <v>-0.00507181698603287</v>
      </c>
      <c r="R210" s="0" t="n">
        <v>0.00883796350834487</v>
      </c>
      <c r="S210" s="0" t="n">
        <v>-0.00535788868356323</v>
      </c>
      <c r="T210" s="0" t="n">
        <v>0.00293782329514025</v>
      </c>
      <c r="U210" s="0" t="n">
        <v>0.00363645087341701</v>
      </c>
      <c r="V210" s="0" t="n">
        <v>-0.00176626780728961</v>
      </c>
      <c r="W210" s="0" t="n">
        <v>-0.00477020041136055</v>
      </c>
      <c r="X210" s="0" t="n">
        <v>0.00378071909118604</v>
      </c>
    </row>
    <row r="211">
      <c r="A211" s="5" t="n">
        <v>42674</v>
      </c>
      <c r="B211" s="0" t="n">
        <v>-0.00587321688165953</v>
      </c>
      <c r="C211" s="0" t="n">
        <v>-0.00758892331532745</v>
      </c>
      <c r="D211" s="0" t="n">
        <v>-0.0117150635931038</v>
      </c>
      <c r="E211" s="0" t="n">
        <v>-0.0111350287655493</v>
      </c>
      <c r="F211" s="0" t="n">
        <v>0.00664457946469809</v>
      </c>
      <c r="G211" s="0" t="n">
        <v>-0.00615182854164331</v>
      </c>
      <c r="H211" s="0" t="n">
        <v>-0.036709227068413</v>
      </c>
      <c r="I211" s="0" t="n">
        <v>0.0214782046623258</v>
      </c>
      <c r="J211" s="0" t="n">
        <v>-0.00240101651323021</v>
      </c>
      <c r="K211" s="0" t="n">
        <v>-0.0250394815428292</v>
      </c>
      <c r="L211" s="0" t="n">
        <v>-0.00289435523013414</v>
      </c>
      <c r="M211" s="0" t="n">
        <v>-0.0203893460956194</v>
      </c>
      <c r="N211" s="0" t="n">
        <v>-0.0624839736218851</v>
      </c>
      <c r="O211" s="0" t="n">
        <v>-0.00627130985329227</v>
      </c>
      <c r="P211" s="0" t="n">
        <v>-0.00314958083677163</v>
      </c>
      <c r="Q211" s="0" t="n">
        <v>-0.0468429045970626</v>
      </c>
      <c r="R211" s="0" t="n">
        <v>-0.00775893529732929</v>
      </c>
      <c r="S211" s="0" t="n">
        <v>-0.00615859722638267</v>
      </c>
      <c r="T211" s="0" t="n">
        <v>-0.00654027064616258</v>
      </c>
      <c r="U211" s="0" t="n">
        <v>-0.00972651072269403</v>
      </c>
      <c r="V211" s="0" t="n">
        <v>-0.00216302535109313</v>
      </c>
      <c r="W211" s="0" t="n">
        <v>-0.000434709638724051</v>
      </c>
      <c r="X211" s="0" t="n">
        <v>-0.00378071909118604</v>
      </c>
    </row>
    <row r="212">
      <c r="A212" s="5" t="n">
        <v>42675</v>
      </c>
      <c r="B212" s="0" t="n">
        <v>-0.0055128863439835</v>
      </c>
      <c r="C212" s="0" t="n">
        <v>-0.0135961659487651</v>
      </c>
      <c r="D212" s="0" t="n">
        <v>-0.00453206598685174</v>
      </c>
      <c r="E212" s="0" t="n">
        <v>-0.0182534442003108</v>
      </c>
      <c r="F212" s="0" t="n">
        <v>-0.00785746366682937</v>
      </c>
      <c r="G212" s="0" t="n">
        <v>0.0453974239643542</v>
      </c>
      <c r="H212" s="0" t="n">
        <v>-0.0140107239063915</v>
      </c>
      <c r="I212" s="0" t="n">
        <v>-0.0123098140800403</v>
      </c>
      <c r="J212" s="0" t="n">
        <v>-0.00723760291078345</v>
      </c>
      <c r="K212" s="0" t="n">
        <v>-0.0294969177995201</v>
      </c>
      <c r="L212" s="0" t="n">
        <v>-0.0264333021110034</v>
      </c>
      <c r="M212" s="0" t="n">
        <v>-0.0142628201371377</v>
      </c>
      <c r="N212" s="0" t="n">
        <v>-0.0321492189852161</v>
      </c>
      <c r="O212" s="0" t="n">
        <v>-0.00521055451774543</v>
      </c>
      <c r="P212" s="0" t="n">
        <v>-0.0223294799564541</v>
      </c>
      <c r="Q212" s="0" t="n">
        <v>-0.0143115003535978</v>
      </c>
      <c r="R212" s="0" t="n">
        <v>0.00597373363351305</v>
      </c>
      <c r="S212" s="0" t="n">
        <v>-0.000772516772106879</v>
      </c>
      <c r="T212" s="0" t="n">
        <v>-0.00295712895521127</v>
      </c>
      <c r="U212" s="0" t="n">
        <v>-0.00551303989795481</v>
      </c>
      <c r="V212" s="0" t="n">
        <v>-0.0045378305087711</v>
      </c>
      <c r="W212" s="0" t="n">
        <v>-0.0164423296988673</v>
      </c>
      <c r="X212" s="0" t="n">
        <v>-0.022021042268665</v>
      </c>
    </row>
    <row r="213">
      <c r="A213" s="5" t="n">
        <v>42676</v>
      </c>
      <c r="B213" s="0" t="n">
        <v>0.00276024215666037</v>
      </c>
      <c r="C213" s="0" t="n">
        <v>-0.00739824836834612</v>
      </c>
      <c r="D213" s="0" t="n">
        <v>-0.00746067162660057</v>
      </c>
      <c r="E213" s="0" t="n">
        <v>-0.00439554440111367</v>
      </c>
      <c r="F213" s="0" t="n">
        <v>0</v>
      </c>
      <c r="G213" s="0" t="n">
        <v>-0.0379552431298884</v>
      </c>
      <c r="H213" s="0" t="n">
        <v>-0.00619196437148961</v>
      </c>
      <c r="I213" s="0" t="n">
        <v>-0.00654027064616258</v>
      </c>
      <c r="J213" s="0" t="n">
        <v>0</v>
      </c>
      <c r="K213" s="0" t="n">
        <v>-0.114603433177874</v>
      </c>
      <c r="L213" s="0" t="n">
        <v>0.00593480059955497</v>
      </c>
      <c r="M213" s="0" t="n">
        <v>-0.0244559375696962</v>
      </c>
      <c r="N213" s="0" t="n">
        <v>-0.0500316418784967</v>
      </c>
      <c r="O213" s="0" t="n">
        <v>0.00712337631942983</v>
      </c>
      <c r="P213" s="0" t="n">
        <v>0.0564413059027262</v>
      </c>
      <c r="Q213" s="0" t="n">
        <v>-0.0145193840472837</v>
      </c>
      <c r="R213" s="0" t="n">
        <v>-0.0287598036002467</v>
      </c>
      <c r="S213" s="0" t="n">
        <v>-0.0242483112214406</v>
      </c>
      <c r="T213" s="0" t="n">
        <v>-0.00230603613573432</v>
      </c>
      <c r="U213" s="0" t="n">
        <v>-0.000768155054594821</v>
      </c>
      <c r="V213" s="0" t="n">
        <v>-0.00714431724452202</v>
      </c>
      <c r="W213" s="0" t="n">
        <v>0.00220796009549006</v>
      </c>
      <c r="X213" s="0" t="n">
        <v>-0.00777457016146243</v>
      </c>
    </row>
    <row r="214">
      <c r="A214" s="5" t="n">
        <v>42677</v>
      </c>
      <c r="B214" s="0" t="n">
        <v>0.000393684788527082</v>
      </c>
      <c r="C214" s="0" t="n">
        <v>0.00564171546758585</v>
      </c>
      <c r="D214" s="0" t="n">
        <v>0.00525585245063187</v>
      </c>
      <c r="E214" s="0" t="n">
        <v>-0.000881465781750634</v>
      </c>
      <c r="F214" s="0" t="n">
        <v>0.00423855901960656</v>
      </c>
      <c r="G214" s="0" t="n">
        <v>-0.00322894631875803</v>
      </c>
      <c r="H214" s="0" t="n">
        <v>0.00354295870947618</v>
      </c>
      <c r="I214" s="0" t="n">
        <v>0.00392930562471338</v>
      </c>
      <c r="J214" s="0" t="n">
        <v>0.00241832090476012</v>
      </c>
      <c r="K214" s="0" t="n">
        <v>0.0487902006620716</v>
      </c>
      <c r="L214" s="0" t="n">
        <v>-0.013403052547227</v>
      </c>
      <c r="M214" s="0" t="n">
        <v>0.0036734257862343</v>
      </c>
      <c r="N214" s="0" t="n">
        <v>0.00217152041418167</v>
      </c>
      <c r="O214" s="0" t="n">
        <v>-0.00355534536185153</v>
      </c>
      <c r="P214" s="0" t="n">
        <v>-0.00407332143179406</v>
      </c>
      <c r="Q214" s="0" t="n">
        <v>-0.00733947574537063</v>
      </c>
      <c r="R214" s="0" t="n">
        <v>0.00903103375222436</v>
      </c>
      <c r="S214" s="0" t="n">
        <v>-0.00874754318889303</v>
      </c>
      <c r="T214" s="0" t="n">
        <v>-0.00429678930037447</v>
      </c>
      <c r="U214" s="0" t="n">
        <v>-0.0106606256083088</v>
      </c>
      <c r="V214" s="0" t="n">
        <v>0.015807467217523</v>
      </c>
      <c r="W214" s="0" t="n">
        <v>-0.0164558236313108</v>
      </c>
      <c r="X214" s="0" t="n">
        <v>-0.008819278452574681</v>
      </c>
    </row>
    <row r="215">
      <c r="A215" s="5" t="n">
        <v>42678</v>
      </c>
      <c r="B215" s="0" t="n">
        <v>0.0213541043573162</v>
      </c>
      <c r="C215" s="0" t="n">
        <v>0.030132145218781</v>
      </c>
      <c r="D215" s="0" t="n">
        <v>0.0189935263113056</v>
      </c>
      <c r="E215" s="0" t="n">
        <v>0.0209431538010975</v>
      </c>
      <c r="F215" s="0" t="n">
        <v>0.0274153641394825</v>
      </c>
      <c r="G215" s="0" t="n">
        <v>0.0102960914582377</v>
      </c>
      <c r="H215" s="0" t="n">
        <v>0.0525303829689538</v>
      </c>
      <c r="I215" s="0" t="n">
        <v>-0.0386457094234464</v>
      </c>
      <c r="J215" s="0" t="n">
        <v>0.0191393227429343</v>
      </c>
      <c r="K215" s="0" t="n">
        <v>0.110652566383231</v>
      </c>
      <c r="L215" s="0" t="n">
        <v>0.0722857938863417</v>
      </c>
      <c r="M215" s="0" t="n">
        <v>0.0125870878809353</v>
      </c>
      <c r="N215" s="0" t="n">
        <v>0.0116456120525203</v>
      </c>
      <c r="O215" s="0" t="n">
        <v>0.00845732411003563</v>
      </c>
      <c r="P215" s="0" t="n">
        <v>0.0419642057643545</v>
      </c>
      <c r="Q215" s="0" t="n">
        <v>0.0254559824257805</v>
      </c>
      <c r="R215" s="0" t="n">
        <v>0.0130358134562138</v>
      </c>
      <c r="S215" s="0" t="n">
        <v>0.026016438793043</v>
      </c>
      <c r="T215" s="0" t="n">
        <v>0.0245391009973614</v>
      </c>
      <c r="U215" s="0" t="n">
        <v>0.0137294780070078</v>
      </c>
      <c r="V215" s="0" t="n">
        <v>0.0310745962833185</v>
      </c>
      <c r="W215" s="0" t="n">
        <v>0.017778313843483</v>
      </c>
      <c r="X215" s="0" t="n">
        <v>0.0281435330268373</v>
      </c>
    </row>
    <row r="216">
      <c r="A216" s="5" t="n">
        <v>42681</v>
      </c>
      <c r="B216" s="0" t="n">
        <v>-0.00353825228626636</v>
      </c>
      <c r="C216" s="0" t="n">
        <v>0.00374599166703193</v>
      </c>
      <c r="D216" s="0" t="n">
        <v>0.0018931634515189</v>
      </c>
      <c r="E216" s="0" t="n">
        <v>-0.00867311453989039</v>
      </c>
      <c r="F216" s="0" t="n">
        <v>-0.000588075807276489</v>
      </c>
      <c r="G216" s="0" t="n">
        <v>-0.0109431460865208</v>
      </c>
      <c r="H216" s="0" t="n">
        <v>0.00502092624171135</v>
      </c>
      <c r="I216" s="0" t="n">
        <v>0.00203595134455492</v>
      </c>
      <c r="J216" s="0" t="n">
        <v>0.0117787444433736</v>
      </c>
      <c r="K216" s="0" t="n">
        <v>-0.0271621082593286</v>
      </c>
      <c r="L216" s="0" t="n">
        <v>0.0503165117083377</v>
      </c>
      <c r="M216" s="0" t="n">
        <v>-0.0125870878809353</v>
      </c>
      <c r="N216" s="0" t="n">
        <v>0.0353870183550384</v>
      </c>
      <c r="O216" s="0" t="n">
        <v>0.00487806652211109</v>
      </c>
      <c r="P216" s="0" t="n">
        <v>0.0107056648422578</v>
      </c>
      <c r="Q216" s="0" t="n">
        <v>0.016028780497989</v>
      </c>
      <c r="R216" s="0" t="n">
        <v>-0.125834921172951</v>
      </c>
      <c r="S216" s="0" t="n">
        <v>-0.0117418625815362</v>
      </c>
      <c r="T216" s="0" t="n">
        <v>0.00193734207915285</v>
      </c>
      <c r="U216" s="0" t="n">
        <v>0.008695039531836811</v>
      </c>
      <c r="V216" s="0" t="n">
        <v>0.0102099756612017</v>
      </c>
      <c r="W216" s="0" t="n">
        <v>0.0030789420824302</v>
      </c>
      <c r="X216" s="0" t="n">
        <v>-0.0193242545742626</v>
      </c>
    </row>
    <row r="217">
      <c r="A217" s="5" t="n">
        <v>42682</v>
      </c>
      <c r="B217" s="0" t="n">
        <v>-0.00232273551304462</v>
      </c>
      <c r="C217" s="0" t="n">
        <v>0.00711265667497729</v>
      </c>
      <c r="D217" s="0" t="n">
        <v>0.0573610788082428</v>
      </c>
      <c r="E217" s="0" t="n">
        <v>0.00867311453989039</v>
      </c>
      <c r="F217" s="0" t="n">
        <v>0.0554903185285935</v>
      </c>
      <c r="G217" s="0" t="n">
        <v>0.0440014415650602</v>
      </c>
      <c r="H217" s="0" t="n">
        <v>-0.0469971314911878</v>
      </c>
      <c r="I217" s="0" t="n">
        <v>0.0181395940271014</v>
      </c>
      <c r="J217" s="0" t="n">
        <v>0.00467290127418285</v>
      </c>
      <c r="K217" s="0" t="n">
        <v>-0.0539976849379026</v>
      </c>
      <c r="L217" s="0" t="n">
        <v>0.0287601867296243</v>
      </c>
      <c r="M217" s="0" t="n">
        <v>0.06828147416250591</v>
      </c>
      <c r="N217" s="0" t="n">
        <v>0.00536641395472337</v>
      </c>
      <c r="O217" s="0" t="n">
        <v>0.0120919637090164</v>
      </c>
      <c r="P217" s="0" t="n">
        <v>0.0276867292919322</v>
      </c>
      <c r="Q217" s="0" t="n">
        <v>-0.0323187608156123</v>
      </c>
      <c r="R217" s="0" t="n">
        <v>0.0403812456492014</v>
      </c>
      <c r="S217" s="0" t="n">
        <v>0</v>
      </c>
      <c r="T217" s="0" t="n">
        <v>0.0115460104598019</v>
      </c>
      <c r="U217" s="0" t="n">
        <v>-0.0277195983227738</v>
      </c>
      <c r="V217" s="0" t="n">
        <v>0.0573882906196288</v>
      </c>
      <c r="W217" s="0" t="n">
        <v>0.0524016101060986</v>
      </c>
      <c r="X217" s="0" t="n">
        <v>0.0624020802745044</v>
      </c>
    </row>
    <row r="218">
      <c r="A218" s="5" t="n">
        <v>42683</v>
      </c>
      <c r="B218" s="0" t="n">
        <v>0.0343493356238546</v>
      </c>
      <c r="C218" s="0" t="n">
        <v>0.0259841397075324</v>
      </c>
      <c r="D218" s="0" t="n">
        <v>-0.000638078923211438</v>
      </c>
      <c r="E218" s="0" t="n">
        <v>0.0306146072642525</v>
      </c>
      <c r="F218" s="0" t="n">
        <v>0.043023293193793</v>
      </c>
      <c r="G218" s="0" t="n">
        <v>0.0178027420575266</v>
      </c>
      <c r="H218" s="0" t="n">
        <v>-0.0944356474709537</v>
      </c>
      <c r="I218" s="0" t="n">
        <v>-0.0731865767461128</v>
      </c>
      <c r="J218" s="0" t="n">
        <v>0.00465116679159027</v>
      </c>
      <c r="K218" s="0" t="n">
        <v>0.0363204593298023</v>
      </c>
      <c r="L218" s="0" t="n">
        <v>0.030459177989627</v>
      </c>
      <c r="M218" s="0" t="n">
        <v>0.0417680810998977</v>
      </c>
      <c r="N218" s="0" t="n">
        <v>-0.0199591426368135</v>
      </c>
      <c r="O218" s="0" t="n">
        <v>-0.0235113911132955</v>
      </c>
      <c r="P218" s="0" t="n">
        <v>0</v>
      </c>
      <c r="Q218" s="0" t="n">
        <v>-0.0315132799626209</v>
      </c>
      <c r="R218" s="0" t="n">
        <v>0.00936045885251246</v>
      </c>
      <c r="S218" s="0" t="n">
        <v>-0.016673672633773</v>
      </c>
      <c r="T218" s="0" t="n">
        <v>-0.0115460104598019</v>
      </c>
      <c r="U218" s="0" t="n">
        <v>-0.0368998551516535</v>
      </c>
      <c r="V218" s="0" t="n">
        <v>0.00637397011500429</v>
      </c>
      <c r="W218" s="0" t="n">
        <v>0.0731102287339391</v>
      </c>
      <c r="X218" s="0" t="n">
        <v>0.0613253451387181</v>
      </c>
    </row>
    <row r="219">
      <c r="A219" s="5" t="n">
        <v>42684</v>
      </c>
      <c r="B219" s="0" t="n">
        <v>0.0065321270791312</v>
      </c>
      <c r="C219" s="0" t="n">
        <v>0.009816837585078449</v>
      </c>
      <c r="D219" s="0" t="n">
        <v>-0.00858922263457362</v>
      </c>
      <c r="E219" s="0" t="n">
        <v>0.0280778281533011</v>
      </c>
      <c r="F219" s="0" t="n">
        <v>0.0137641254061318</v>
      </c>
      <c r="G219" s="0" t="n">
        <v>0.0195819340893286</v>
      </c>
      <c r="H219" s="0" t="n">
        <v>-0.00869149971341642</v>
      </c>
      <c r="I219" s="0" t="n">
        <v>-0.0605350608822901</v>
      </c>
      <c r="J219" s="0" t="n">
        <v>0.0115341971440645</v>
      </c>
      <c r="K219" s="0" t="n">
        <v>-0.0102433879362426</v>
      </c>
      <c r="L219" s="0" t="n">
        <v>-0.0395207507213912</v>
      </c>
      <c r="M219" s="0" t="n">
        <v>-0.0272414393930424</v>
      </c>
      <c r="N219" s="0" t="n">
        <v>-0.00042008944765115</v>
      </c>
      <c r="O219" s="0" t="n">
        <v>-0.00164207412156569</v>
      </c>
      <c r="P219" s="0" t="n">
        <v>-0.0354612994533947</v>
      </c>
      <c r="Q219" s="0" t="n">
        <v>-0.0364374077781921</v>
      </c>
      <c r="R219" s="0" t="n">
        <v>-0.0287478287662246</v>
      </c>
      <c r="S219" s="0" t="n">
        <v>0.0384813701968171</v>
      </c>
      <c r="T219" s="0" t="n">
        <v>0.0115460104598019</v>
      </c>
      <c r="U219" s="0" t="n">
        <v>0.000647831266232579</v>
      </c>
      <c r="V219" s="0" t="n">
        <v>-0.00513140856413496</v>
      </c>
      <c r="W219" s="0" t="n">
        <v>0.00193495558689127</v>
      </c>
      <c r="X219" s="0" t="n">
        <v>0.00858369450394569</v>
      </c>
    </row>
    <row r="220">
      <c r="A220" s="5" t="n">
        <v>42685</v>
      </c>
      <c r="B220" s="0" t="n">
        <v>-0.0191566985876212</v>
      </c>
      <c r="C220" s="0" t="n">
        <v>-0.00653386060007932</v>
      </c>
      <c r="D220" s="0" t="n">
        <v>-0.00840397405521375</v>
      </c>
      <c r="E220" s="0" t="n">
        <v>-0.0180776748808528</v>
      </c>
      <c r="F220" s="0" t="n">
        <v>0.0542332098392948</v>
      </c>
      <c r="G220" s="0" t="n">
        <v>0.0328667768040689</v>
      </c>
      <c r="H220" s="0" t="n">
        <v>-0.0225610841821144</v>
      </c>
      <c r="I220" s="0" t="n">
        <v>0.0158553742362421</v>
      </c>
      <c r="J220" s="0" t="n">
        <v>0.0293805627947394</v>
      </c>
      <c r="K220" s="0" t="n">
        <v>0.0203828367326255</v>
      </c>
      <c r="L220" s="0" t="n">
        <v>0</v>
      </c>
      <c r="M220" s="0" t="n">
        <v>-0.00646451629514643</v>
      </c>
      <c r="N220" s="0" t="n">
        <v>0.0212022177382436</v>
      </c>
      <c r="O220" s="0" t="n">
        <v>-0.0104625749720876</v>
      </c>
      <c r="P220" s="0" t="n">
        <v>0.0231446950047384</v>
      </c>
      <c r="Q220" s="0" t="n">
        <v>-0.0217184559179046</v>
      </c>
      <c r="R220" s="0" t="n">
        <v>0.0120459949441409</v>
      </c>
      <c r="S220" s="0" t="n">
        <v>0.0160492589068814</v>
      </c>
      <c r="T220" s="0" t="n">
        <v>0.000318834010376356</v>
      </c>
      <c r="U220" s="0" t="n">
        <v>-0.00927212350788675</v>
      </c>
      <c r="V220" s="0" t="n">
        <v>0.00336496272337694</v>
      </c>
      <c r="W220" s="0" t="n">
        <v>0.0283964133201388</v>
      </c>
      <c r="X220" s="0" t="n">
        <v>0.0219789262104463</v>
      </c>
    </row>
    <row r="221">
      <c r="A221" s="5" t="n">
        <v>42688</v>
      </c>
      <c r="B221" s="0" t="n">
        <v>0.00290325530858126</v>
      </c>
      <c r="C221" s="0" t="n">
        <v>0.00783552533622966</v>
      </c>
      <c r="D221" s="0" t="n">
        <v>0.00388756559166836</v>
      </c>
      <c r="E221" s="0" t="n">
        <v>-0.00165978938080479</v>
      </c>
      <c r="F221" s="0" t="n">
        <v>0.0039761446102946</v>
      </c>
      <c r="G221" s="0" t="n">
        <v>0.00633099152614002</v>
      </c>
      <c r="H221" s="0" t="n">
        <v>0.0493569200866927</v>
      </c>
      <c r="I221" s="0" t="n">
        <v>0.0360465477938904</v>
      </c>
      <c r="J221" s="0" t="n">
        <v>0.0198463306897751</v>
      </c>
      <c r="K221" s="0" t="n">
        <v>0.216818455707284</v>
      </c>
      <c r="L221" s="0" t="n">
        <v>-0.0493104395342167</v>
      </c>
      <c r="M221" s="0" t="n">
        <v>-0.00464329961205445</v>
      </c>
      <c r="N221" s="0" t="n">
        <v>0.0167248384531752</v>
      </c>
      <c r="O221" s="0" t="n">
        <v>0.0175587330398996</v>
      </c>
      <c r="P221" s="0" t="n">
        <v>0.0601198647289002</v>
      </c>
      <c r="Q221" s="0" t="n">
        <v>0.0295005891404045</v>
      </c>
      <c r="R221" s="0" t="n">
        <v>-0.0127120233878379</v>
      </c>
      <c r="S221" s="0" t="n">
        <v>0.0180320983426067</v>
      </c>
      <c r="T221" s="0" t="n">
        <v>0.0104646559954004</v>
      </c>
      <c r="U221" s="0" t="n">
        <v>0.0100814308577383</v>
      </c>
      <c r="V221" s="0" t="n">
        <v>0.00229575824307115</v>
      </c>
      <c r="W221" s="0" t="n">
        <v>-0.0119082979837528</v>
      </c>
      <c r="X221" s="0" t="n">
        <v>0</v>
      </c>
    </row>
    <row r="222">
      <c r="A222" s="5" t="n">
        <v>42689</v>
      </c>
      <c r="B222" s="0" t="n">
        <v>0.00389983595186116</v>
      </c>
      <c r="C222" s="0" t="n">
        <v>-0.00032530577222678</v>
      </c>
      <c r="D222" s="0" t="n">
        <v>-0.00492672133776217</v>
      </c>
      <c r="E222" s="0" t="n">
        <v>-0.00332778692432134</v>
      </c>
      <c r="F222" s="0" t="n">
        <v>-0.0205469442871932</v>
      </c>
      <c r="G222" s="0" t="n">
        <v>-0.0338421976030565</v>
      </c>
      <c r="H222" s="0" t="n">
        <v>-0.0066319460119395</v>
      </c>
      <c r="I222" s="0" t="n">
        <v>-0.007979774775179299</v>
      </c>
      <c r="J222" s="0" t="n">
        <v>-0.0131869918436848</v>
      </c>
      <c r="K222" s="0" t="n">
        <v>0.1095142778822</v>
      </c>
      <c r="L222" s="0" t="n">
        <v>-0.00136708549023678</v>
      </c>
      <c r="M222" s="0" t="n">
        <v>-0.00841258937227928</v>
      </c>
      <c r="N222" s="0" t="n">
        <v>-0.008123475075565869</v>
      </c>
      <c r="O222" s="0" t="n">
        <v>0.0102815044746638</v>
      </c>
      <c r="P222" s="0" t="n">
        <v>0.008936558784336411</v>
      </c>
      <c r="Q222" s="0" t="n">
        <v>0.00193615335521291</v>
      </c>
      <c r="R222" s="0" t="n">
        <v>-0.00641717926534024</v>
      </c>
      <c r="S222" s="0" t="n">
        <v>0</v>
      </c>
      <c r="T222" s="0" t="n">
        <v>-0.0041094120474634</v>
      </c>
      <c r="U222" s="0" t="n">
        <v>0.013658097199749</v>
      </c>
      <c r="V222" s="0" t="n">
        <v>-0.00868103363655858</v>
      </c>
      <c r="W222" s="0" t="n">
        <v>-0.0174551251232641</v>
      </c>
      <c r="X222" s="0" t="n">
        <v>-0.00251149002167228</v>
      </c>
    </row>
    <row r="223">
      <c r="A223" s="5" t="n">
        <v>42690</v>
      </c>
      <c r="B223" s="0" t="n">
        <v>0.00319665427169102</v>
      </c>
      <c r="C223" s="0" t="n">
        <v>0.00162527837963732</v>
      </c>
      <c r="D223" s="0" t="n">
        <v>0.009958008384369769</v>
      </c>
      <c r="E223" s="0" t="n">
        <v>-0.0108924508076131</v>
      </c>
      <c r="F223" s="0" t="n">
        <v>0.0165707996768986</v>
      </c>
      <c r="G223" s="0" t="n">
        <v>-0.00535557072715242</v>
      </c>
      <c r="H223" s="0" t="n">
        <v>-0.0279536003626699</v>
      </c>
      <c r="I223" s="0" t="n">
        <v>-0.023582500524558</v>
      </c>
      <c r="J223" s="0" t="n">
        <v>0.0131869918436848</v>
      </c>
      <c r="K223" s="0" t="n">
        <v>0.0858353877439445</v>
      </c>
      <c r="L223" s="0" t="n">
        <v>0</v>
      </c>
      <c r="M223" s="0" t="n">
        <v>-0.00722250108377364</v>
      </c>
      <c r="N223" s="0" t="n">
        <v>-0.0106602167865621</v>
      </c>
      <c r="O223" s="0" t="n">
        <v>0.00697423204403158</v>
      </c>
      <c r="P223" s="0" t="n">
        <v>0.00620850312702403</v>
      </c>
      <c r="Q223" s="0" t="n">
        <v>-0.0136321822466036</v>
      </c>
      <c r="R223" s="0" t="n">
        <v>-0.00389708115100084</v>
      </c>
      <c r="S223" s="0" t="n">
        <v>-0.00522589084789615</v>
      </c>
      <c r="T223" s="0" t="n">
        <v>-0.0493446573110456</v>
      </c>
      <c r="U223" s="0" t="n">
        <v>0.00239103524162587</v>
      </c>
      <c r="V223" s="0" t="n">
        <v>0.00850464973158704</v>
      </c>
      <c r="W223" s="0" t="n">
        <v>0.0155518418616442</v>
      </c>
      <c r="X223" s="0" t="n">
        <v>0.0248356505791482</v>
      </c>
    </row>
    <row r="224">
      <c r="A224" s="5" t="n">
        <v>42691</v>
      </c>
      <c r="B224" s="0" t="n">
        <v>0.00368529311433274</v>
      </c>
      <c r="C224" s="0" t="n">
        <v>-0.00390499861936266</v>
      </c>
      <c r="D224" s="0" t="n">
        <v>-0.0134734637512989</v>
      </c>
      <c r="E224" s="0" t="n">
        <v>-0.0093102370471656</v>
      </c>
      <c r="F224" s="0" t="n">
        <v>-0.00399201747003852</v>
      </c>
      <c r="G224" s="0" t="n">
        <v>-0.00209047988772503</v>
      </c>
      <c r="H224" s="0" t="n">
        <v>0.0126276445850028</v>
      </c>
      <c r="I224" s="0" t="n">
        <v>-0.00673404371377461</v>
      </c>
      <c r="J224" s="0" t="n">
        <v>-0.00437637049007855</v>
      </c>
      <c r="K224" s="0" t="n">
        <v>0.00582846747983367</v>
      </c>
      <c r="L224" s="0" t="n">
        <v>-0.00962209114987966</v>
      </c>
      <c r="M224" s="0" t="n">
        <v>-0.00791018216047323</v>
      </c>
      <c r="N224" s="0" t="n">
        <v>0.0216114700279757</v>
      </c>
      <c r="O224" s="0" t="n">
        <v>0.00400164662139967</v>
      </c>
      <c r="P224" s="0" t="n">
        <v>0.0321906762987276</v>
      </c>
      <c r="Q224" s="0" t="n">
        <v>-0.007874049039800379</v>
      </c>
      <c r="R224" s="0" t="n">
        <v>-0.00310155641154796</v>
      </c>
      <c r="S224" s="0" t="n">
        <v>0.102362051246871</v>
      </c>
      <c r="T224" s="0" t="n">
        <v>0.00431682785934173</v>
      </c>
      <c r="U224" s="0" t="n">
        <v>-0.000637058708345072</v>
      </c>
      <c r="V224" s="0" t="n">
        <v>0.00141040251387725</v>
      </c>
      <c r="W224" s="0" t="n">
        <v>0.00626719385023522</v>
      </c>
      <c r="X224" s="0" t="n">
        <v>0.0218367320387478</v>
      </c>
    </row>
    <row r="225">
      <c r="A225" s="5" t="n">
        <v>42692</v>
      </c>
      <c r="B225" s="0" t="n">
        <v>0.0147298421079957</v>
      </c>
      <c r="C225" s="0" t="n">
        <v>0.00649982074786192</v>
      </c>
      <c r="D225" s="0" t="n">
        <v>-0.000391347989791235</v>
      </c>
      <c r="E225" s="0" t="n">
        <v>0.00254774938052149</v>
      </c>
      <c r="F225" s="0" t="n">
        <v>0.0163653503334879</v>
      </c>
      <c r="G225" s="0" t="n">
        <v>0.0023887146892485</v>
      </c>
      <c r="H225" s="0" t="n">
        <v>0.0276076290045736</v>
      </c>
      <c r="I225" s="0" t="n">
        <v>0.0185948091566254</v>
      </c>
      <c r="J225" s="0" t="n">
        <v>0.00219063149082887</v>
      </c>
      <c r="K225" s="0" t="n">
        <v>-0.141569231621175</v>
      </c>
      <c r="L225" s="0" t="n">
        <v>0.0563907890482984</v>
      </c>
      <c r="M225" s="0" t="n">
        <v>0.00285488389547206</v>
      </c>
      <c r="N225" s="0" t="n">
        <v>0.0298055034727799</v>
      </c>
      <c r="O225" s="0" t="n">
        <v>0.00478089351222621</v>
      </c>
      <c r="P225" s="0" t="n">
        <v>0.0427379055420087</v>
      </c>
      <c r="Q225" s="0" t="n">
        <v>0.0234385511411461</v>
      </c>
      <c r="R225" s="0" t="n">
        <v>0.00215860897391806</v>
      </c>
      <c r="S225" s="0" t="n">
        <v>-0.00338411087173096</v>
      </c>
      <c r="T225" s="0" t="n">
        <v>-0.00431682785934173</v>
      </c>
      <c r="U225" s="0" t="n">
        <v>0.0145502831990063</v>
      </c>
      <c r="V225" s="0" t="n">
        <v>-0.000528659451233259</v>
      </c>
      <c r="W225" s="0" t="n">
        <v>-0.0133411693280711</v>
      </c>
      <c r="X225" s="0" t="n">
        <v>-0.00481159072846892</v>
      </c>
    </row>
    <row r="226">
      <c r="A226" s="5" t="n">
        <v>42695</v>
      </c>
      <c r="B226" s="0" t="n">
        <v>-0.000614590129751846</v>
      </c>
      <c r="C226" s="0" t="n">
        <v>0.009992079192801651</v>
      </c>
      <c r="D226" s="0" t="n">
        <v>-0.008517401129029869</v>
      </c>
      <c r="E226" s="0" t="n">
        <v>0.00844602826386298</v>
      </c>
      <c r="F226" s="0" t="n">
        <v>-0.00147677542296209</v>
      </c>
      <c r="G226" s="0" t="n">
        <v>-0.00179097237704484</v>
      </c>
      <c r="H226" s="0" t="n">
        <v>0</v>
      </c>
      <c r="I226" s="0" t="n">
        <v>-0.00517176591338985</v>
      </c>
      <c r="J226" s="0" t="n">
        <v>0.00871464350168937</v>
      </c>
      <c r="K226" s="0" t="n">
        <v>-0.138805928849127</v>
      </c>
      <c r="L226" s="0" t="n">
        <v>0.0790380007132292</v>
      </c>
      <c r="M226" s="0" t="n">
        <v>-0.00763119037433357</v>
      </c>
      <c r="N226" s="0" t="n">
        <v>-0.0118158578464013</v>
      </c>
      <c r="O226" s="0" t="n">
        <v>0.0212354958035505</v>
      </c>
      <c r="P226" s="0" t="n">
        <v>-0.000820621732919413</v>
      </c>
      <c r="Q226" s="0" t="n">
        <v>-0.0234385511411461</v>
      </c>
      <c r="R226" s="0" t="n">
        <v>-0.00825501186969823</v>
      </c>
      <c r="S226" s="0" t="n">
        <v>0.00405957382721355</v>
      </c>
      <c r="T226" s="0" t="n">
        <v>-0.00533867971629487</v>
      </c>
      <c r="U226" s="0" t="n">
        <v>0.00813140472646711</v>
      </c>
      <c r="V226" s="0" t="n">
        <v>-0.00317797419859644</v>
      </c>
      <c r="W226" s="0" t="n">
        <v>0.0019168548838846</v>
      </c>
      <c r="X226" s="0" t="n">
        <v>0.00641034865475864</v>
      </c>
    </row>
    <row r="227">
      <c r="A227" s="5" t="n">
        <v>42696</v>
      </c>
      <c r="B227" s="0" t="n">
        <v>-0.00425075307773781</v>
      </c>
      <c r="C227" s="0" t="n">
        <v>0.00511832932922606</v>
      </c>
      <c r="D227" s="0" t="n">
        <v>-0.111094019393591</v>
      </c>
      <c r="E227" s="0" t="n">
        <v>0.000840628483597782</v>
      </c>
      <c r="F227" s="0" t="n">
        <v>0.012726566146882</v>
      </c>
      <c r="G227" s="0" t="n">
        <v>0.0068483083026738</v>
      </c>
      <c r="H227" s="0" t="n">
        <v>-0.0180014164396864</v>
      </c>
      <c r="I227" s="0" t="n">
        <v>-0.0446874924051892</v>
      </c>
      <c r="J227" s="0" t="n">
        <v>-0.00434782865446425</v>
      </c>
      <c r="K227" s="0" t="n">
        <v>0.146428658322901</v>
      </c>
      <c r="L227" s="0" t="n">
        <v>0.0119905968539462</v>
      </c>
      <c r="M227" s="0" t="n">
        <v>0.00286853272674392</v>
      </c>
      <c r="N227" s="0" t="n">
        <v>-0.0338469119396429</v>
      </c>
      <c r="O227" s="0" t="n">
        <v>0.00465840148887286</v>
      </c>
      <c r="P227" s="0" t="n">
        <v>0.0162869891632326</v>
      </c>
      <c r="Q227" s="0" t="n">
        <v>0.021506231286404</v>
      </c>
      <c r="R227" s="0" t="n">
        <v>0.0010865386650769</v>
      </c>
      <c r="S227" s="0" t="n">
        <v>-0.00813569499204236</v>
      </c>
      <c r="T227" s="0" t="n">
        <v>-0.00604029721686627</v>
      </c>
      <c r="U227" s="0" t="n">
        <v>-0.00296346544161352</v>
      </c>
      <c r="V227" s="0" t="n">
        <v>0.00353046729079675</v>
      </c>
      <c r="W227" s="0" t="n">
        <v>-0.00114967195412729</v>
      </c>
      <c r="X227" s="0" t="n">
        <v>0.00716272051605315</v>
      </c>
    </row>
    <row r="228">
      <c r="A228" s="5" t="n">
        <v>42697</v>
      </c>
      <c r="B228" s="0" t="n">
        <v>0.00713587968678819</v>
      </c>
      <c r="C228" s="0" t="n">
        <v>0.00318577435932843</v>
      </c>
      <c r="D228" s="0" t="n">
        <v>0.0163364590561219</v>
      </c>
      <c r="E228" s="0" t="n">
        <v>0.0116960686511178</v>
      </c>
      <c r="F228" s="0" t="n">
        <v>0.0144860642206499</v>
      </c>
      <c r="G228" s="0" t="n">
        <v>0.00532704131280814</v>
      </c>
      <c r="H228" s="0" t="n">
        <v>-0.0241908030194277</v>
      </c>
      <c r="I228" s="0" t="n">
        <v>0.00771611707798136</v>
      </c>
      <c r="J228" s="0" t="n">
        <v>0.00434782865446425</v>
      </c>
      <c r="K228" s="0" t="n">
        <v>-0.0372294092714465</v>
      </c>
      <c r="L228" s="0" t="n">
        <v>0.00356927591568867</v>
      </c>
      <c r="M228" s="0" t="n">
        <v>0.00855655529971688</v>
      </c>
      <c r="N228" s="0" t="n">
        <v>0.0105993748833794</v>
      </c>
      <c r="O228" s="0" t="n">
        <v>0.0123173112476027</v>
      </c>
      <c r="P228" s="0" t="n">
        <v>-0.0179304125107915</v>
      </c>
      <c r="Q228" s="0" t="n">
        <v>-0.0414669548496291</v>
      </c>
      <c r="R228" s="0" t="n">
        <v>0.0052799066803173</v>
      </c>
      <c r="S228" s="0" t="n">
        <v>-0.00204427557094577</v>
      </c>
      <c r="T228" s="0" t="n">
        <v>0.0127092370539489</v>
      </c>
      <c r="U228" s="0" t="n">
        <v>0.0071596681539825</v>
      </c>
      <c r="V228" s="0" t="n">
        <v>0.00404466467448916</v>
      </c>
      <c r="W228" s="0" t="n">
        <v>0.00878034062047516</v>
      </c>
      <c r="X228" s="0" t="n">
        <v>-0.00397292830157347</v>
      </c>
    </row>
    <row r="229">
      <c r="A229" s="5" t="n">
        <v>42699</v>
      </c>
      <c r="B229" s="0" t="n">
        <v>0.00842344520031268</v>
      </c>
      <c r="C229" s="0" t="n">
        <v>-0.0060616302640466</v>
      </c>
      <c r="D229" s="0" t="n">
        <v>-0.0281709621161887</v>
      </c>
      <c r="E229" s="0" t="n">
        <v>-0.0100167686746193</v>
      </c>
      <c r="F229" s="0" t="n">
        <v>-0.0272126303675319</v>
      </c>
      <c r="G229" s="0" t="n">
        <v>-0.00651471708082818</v>
      </c>
      <c r="H229" s="0" t="n">
        <v>0.0193992316076132</v>
      </c>
      <c r="I229" s="0" t="n">
        <v>0.0399299545495992</v>
      </c>
      <c r="J229" s="0" t="n">
        <v>-0.0153008823196267</v>
      </c>
      <c r="K229" s="0" t="n">
        <v>0.00491401019664172</v>
      </c>
      <c r="L229" s="0" t="n">
        <v>0.0776646181272799</v>
      </c>
      <c r="M229" s="0" t="n">
        <v>-0.00474457999299726</v>
      </c>
      <c r="N229" s="0" t="n">
        <v>-0.000811377653973099</v>
      </c>
      <c r="O229" s="0" t="n">
        <v>0.00838104794202321</v>
      </c>
      <c r="P229" s="0" t="n">
        <v>-0.038563038488089</v>
      </c>
      <c r="Q229" s="0" t="n">
        <v>0.0297936819159181</v>
      </c>
      <c r="R229" s="0" t="n">
        <v>0.009674910704823949</v>
      </c>
      <c r="S229" s="0" t="n">
        <v>-0.0123543307059978</v>
      </c>
      <c r="T229" s="0" t="n">
        <v>-0.00566574005679587</v>
      </c>
      <c r="U229" s="0" t="n">
        <v>0.00541333717084846</v>
      </c>
      <c r="V229" s="0" t="n">
        <v>-0.00828273709637006</v>
      </c>
      <c r="W229" s="0" t="n">
        <v>-0.0199622193609778</v>
      </c>
      <c r="X229" s="0" t="n">
        <v>-0.0241752452719681</v>
      </c>
    </row>
    <row r="230">
      <c r="A230" s="5" t="n">
        <v>42702</v>
      </c>
      <c r="B230" s="0" t="n">
        <v>-0.00603571705187722</v>
      </c>
      <c r="C230" s="0" t="n">
        <v>-0.00642052855171515</v>
      </c>
      <c r="D230" s="0" t="n">
        <v>-0.000744256423355516</v>
      </c>
      <c r="E230" s="0" t="n">
        <v>0</v>
      </c>
      <c r="F230" s="0" t="n">
        <v>-0.000492649504697517</v>
      </c>
      <c r="G230" s="0" t="n">
        <v>-0.0167769479454933</v>
      </c>
      <c r="H230" s="0" t="n">
        <v>-0.014514028821106</v>
      </c>
      <c r="I230" s="0" t="n">
        <v>-0.00741296079325293</v>
      </c>
      <c r="J230" s="0" t="n">
        <v>0.0153008823196267</v>
      </c>
      <c r="K230" s="0" t="n">
        <v>-0.0318752144450165</v>
      </c>
      <c r="L230" s="0" t="n">
        <v>-0.0623431501857139</v>
      </c>
      <c r="M230" s="0" t="n">
        <v>0.0119761644093774</v>
      </c>
      <c r="N230" s="0" t="n">
        <v>-0.0176053807606728</v>
      </c>
      <c r="O230" s="0" t="n">
        <v>-0.00151863792647422</v>
      </c>
      <c r="P230" s="0" t="n">
        <v>-0.033901498272169</v>
      </c>
      <c r="Q230" s="0" t="n">
        <v>-0.0237635664483533</v>
      </c>
      <c r="R230" s="0" t="n">
        <v>0.0146026556453815</v>
      </c>
      <c r="S230" s="0" t="n">
        <v>-0.00692999509281655</v>
      </c>
      <c r="T230" s="0" t="n">
        <v>-0.00301255968717573</v>
      </c>
      <c r="U230" s="0" t="n">
        <v>0.00538419066061646</v>
      </c>
      <c r="V230" s="0" t="n">
        <v>-0.00265788607963468</v>
      </c>
      <c r="W230" s="0" t="n">
        <v>0.00541375592722115</v>
      </c>
      <c r="X230" s="0" t="n">
        <v>0.00162995179692249</v>
      </c>
    </row>
    <row r="231">
      <c r="A231" s="5" t="n">
        <v>42703</v>
      </c>
      <c r="B231" s="0" t="n">
        <v>-0.00804300611241082</v>
      </c>
      <c r="C231" s="0" t="n">
        <v>-0.00938368330643779</v>
      </c>
      <c r="D231" s="0" t="n">
        <v>-0.000446842613263775</v>
      </c>
      <c r="E231" s="0" t="n">
        <v>0.00335008367432942</v>
      </c>
      <c r="F231" s="0" t="n">
        <v>0.0400922996146704</v>
      </c>
      <c r="G231" s="0" t="n">
        <v>-0.0244660296757612</v>
      </c>
      <c r="H231" s="0" t="n">
        <v>0.00776702178653798</v>
      </c>
      <c r="I231" s="0" t="n">
        <v>-0.0187763689575444</v>
      </c>
      <c r="J231" s="0" t="n">
        <v>-0.00871464350168937</v>
      </c>
      <c r="K231" s="0" t="n">
        <v>0.0145695431246835</v>
      </c>
      <c r="L231" s="0" t="n">
        <v>-0.00704233189257541</v>
      </c>
      <c r="M231" s="0" t="n">
        <v>0.0068685663471939</v>
      </c>
      <c r="N231" s="0" t="n">
        <v>-0.0289145906407175</v>
      </c>
      <c r="O231" s="0" t="n">
        <v>-0.0217649986423769</v>
      </c>
      <c r="P231" s="0" t="n">
        <v>0.10800951700339</v>
      </c>
      <c r="Q231" s="0" t="n">
        <v>0</v>
      </c>
      <c r="R231" s="0" t="n">
        <v>0.0132227122356818</v>
      </c>
      <c r="S231" s="0" t="n">
        <v>-0.00278551443904806</v>
      </c>
      <c r="T231" s="0" t="n">
        <v>-0.000335296866369461</v>
      </c>
      <c r="U231" s="0" t="n">
        <v>-0.0193639385392332</v>
      </c>
      <c r="V231" s="0" t="n">
        <v>0.00141840479274168</v>
      </c>
      <c r="W231" s="0" t="n">
        <v>0.0202335127665911</v>
      </c>
      <c r="X231" s="0" t="n">
        <v>0.0145516154468823</v>
      </c>
    </row>
    <row r="232">
      <c r="A232" s="5" t="n">
        <v>42704</v>
      </c>
      <c r="B232" s="0" t="n">
        <v>-0.0149052183929452</v>
      </c>
      <c r="C232" s="0" t="n">
        <v>0.0202741919900542</v>
      </c>
      <c r="D232" s="0" t="n">
        <v>-0.0172819913407291</v>
      </c>
      <c r="E232" s="0" t="n">
        <v>0.0385451783621388</v>
      </c>
      <c r="F232" s="0" t="n">
        <v>0.0178324365591273</v>
      </c>
      <c r="G232" s="0" t="n">
        <v>0.0322903891782617</v>
      </c>
      <c r="H232" s="0" t="n">
        <v>-0.0649254520295532</v>
      </c>
      <c r="I232" s="0" t="n">
        <v>0.00227191970641316</v>
      </c>
      <c r="J232" s="0" t="n">
        <v>-0.00219063149082887</v>
      </c>
      <c r="K232" s="0" t="n">
        <v>-0.0308964088546088</v>
      </c>
      <c r="L232" s="0" t="n">
        <v>-0.0335360452535242</v>
      </c>
      <c r="M232" s="0" t="n">
        <v>-0.0213844727901459</v>
      </c>
      <c r="N232" s="0" t="n">
        <v>0.0093102370471656</v>
      </c>
      <c r="O232" s="0" t="n">
        <v>0.00645080273625842</v>
      </c>
      <c r="P232" s="0" t="n">
        <v>0.0118344273716277</v>
      </c>
      <c r="Q232" s="0" t="n">
        <v>-0.0471881475675759</v>
      </c>
      <c r="R232" s="0" t="n">
        <v>-0.00169212213661129</v>
      </c>
      <c r="S232" s="0" t="n">
        <v>-0.0254251417507105</v>
      </c>
      <c r="T232" s="0" t="n">
        <v>-0.0124853630988042</v>
      </c>
      <c r="U232" s="0" t="n">
        <v>-0.0164015807018822</v>
      </c>
      <c r="V232" s="0" t="n">
        <v>-0.0114042469382233</v>
      </c>
      <c r="W232" s="0" t="n">
        <v>0.0264793021598972</v>
      </c>
      <c r="X232" s="0" t="n">
        <v>0.0447308542225068</v>
      </c>
    </row>
    <row r="233">
      <c r="A233" s="5" t="n">
        <v>42705</v>
      </c>
      <c r="B233" s="0" t="n">
        <v>0.00125060634728235</v>
      </c>
      <c r="C233" s="0" t="n">
        <v>-0.00159412422718308</v>
      </c>
      <c r="D233" s="0" t="n">
        <v>0.0260337542375603</v>
      </c>
      <c r="E233" s="0" t="n">
        <v>-0.0154036716894871</v>
      </c>
      <c r="F233" s="0" t="n">
        <v>-0.0126376809805659</v>
      </c>
      <c r="G233" s="0" t="n">
        <v>-0.00180022171115279</v>
      </c>
      <c r="H233" s="0" t="n">
        <v>0.008222032294662</v>
      </c>
      <c r="I233" s="0" t="n">
        <v>0.0253934588350426</v>
      </c>
      <c r="J233" s="0" t="n">
        <v>-0.0587075439214876</v>
      </c>
      <c r="K233" s="0" t="n">
        <v>-0.0659111790731548</v>
      </c>
      <c r="L233" s="0" t="n">
        <v>0.0276293307795061</v>
      </c>
      <c r="M233" s="0" t="n">
        <v>0.00538914225591069</v>
      </c>
      <c r="N233" s="0" t="n">
        <v>0.00755355273164459</v>
      </c>
      <c r="O233" s="0" t="n">
        <v>-0.00696868098007152</v>
      </c>
      <c r="P233" s="0" t="n">
        <v>-0.00471702294486098</v>
      </c>
      <c r="Q233" s="0" t="n">
        <v>0.00419287406857704</v>
      </c>
      <c r="R233" s="0" t="n">
        <v>0.0111414623562442</v>
      </c>
      <c r="S233" s="0" t="n">
        <v>0.0028572101957236</v>
      </c>
      <c r="T233" s="0" t="n">
        <v>-0.00681436232599308</v>
      </c>
      <c r="U233" s="0" t="n">
        <v>0.0173396885311643</v>
      </c>
      <c r="V233" s="0" t="n">
        <v>0.00286327772237715</v>
      </c>
      <c r="W233" s="0" t="n">
        <v>-0.0140847085155413</v>
      </c>
      <c r="X233" s="0" t="n">
        <v>-0.00693111399848955</v>
      </c>
    </row>
    <row r="234">
      <c r="A234" s="5" t="n">
        <v>42706</v>
      </c>
      <c r="B234" s="0" t="n">
        <v>-0.00112554213237281</v>
      </c>
      <c r="C234" s="0" t="n">
        <v>-0.00736590650717161</v>
      </c>
      <c r="D234" s="0" t="n">
        <v>-0.00666812790334336</v>
      </c>
      <c r="E234" s="0" t="n">
        <v>0.0162077951951031</v>
      </c>
      <c r="F234" s="0" t="n">
        <v>0.0283279037102781</v>
      </c>
      <c r="G234" s="0" t="n">
        <v>-0.011173268419621</v>
      </c>
      <c r="H234" s="0" t="n">
        <v>0.0162439966674923</v>
      </c>
      <c r="I234" s="0" t="n">
        <v>-0.0051756602045474</v>
      </c>
      <c r="J234" s="0" t="n">
        <v>0.00695245733808902</v>
      </c>
      <c r="K234" s="0" t="n">
        <v>-0.0980612564456534</v>
      </c>
      <c r="L234" s="0" t="n">
        <v>0.0257324460642487</v>
      </c>
      <c r="M234" s="0" t="n">
        <v>-0.00126539114047474</v>
      </c>
      <c r="N234" s="0" t="n">
        <v>0.0112244144275779</v>
      </c>
      <c r="O234" s="0" t="n">
        <v>0.000517878243813108</v>
      </c>
      <c r="P234" s="0" t="n">
        <v>0.00628445723167603</v>
      </c>
      <c r="Q234" s="0" t="n">
        <v>0.00833337328057792</v>
      </c>
      <c r="R234" s="0" t="n">
        <v>0.00475542462558653</v>
      </c>
      <c r="S234" s="0" t="n">
        <v>0.000712960824462705</v>
      </c>
      <c r="T234" s="0" t="n">
        <v>0.00952714533043774</v>
      </c>
      <c r="U234" s="0" t="n">
        <v>-0.00721463131766242</v>
      </c>
      <c r="V234" s="0" t="n">
        <v>-0.00735363108553688</v>
      </c>
      <c r="W234" s="0" t="n">
        <v>0.0142686872014872</v>
      </c>
      <c r="X234" s="0" t="n">
        <v>0.00693111399848955</v>
      </c>
    </row>
    <row r="235">
      <c r="A235" s="5" t="n">
        <v>42709</v>
      </c>
      <c r="B235" s="0" t="n">
        <v>0.00318567221372312</v>
      </c>
      <c r="C235" s="0" t="n">
        <v>0.00192675838353517</v>
      </c>
      <c r="D235" s="0" t="n">
        <v>0.00799650188461775</v>
      </c>
      <c r="E235" s="0" t="n">
        <v>0.00960014086923832</v>
      </c>
      <c r="F235" s="0" t="n">
        <v>0.0145456971300186</v>
      </c>
      <c r="G235" s="0" t="n">
        <v>0.00424241210984321</v>
      </c>
      <c r="H235" s="0" t="n">
        <v>0.0130066745140811</v>
      </c>
      <c r="I235" s="0" t="n">
        <v>-0.00893527069856459</v>
      </c>
      <c r="J235" s="0" t="n">
        <v>0.0183071304637756</v>
      </c>
      <c r="K235" s="0" t="n">
        <v>-0.0560894888812147</v>
      </c>
      <c r="L235" s="0" t="n">
        <v>0.0171727826231831</v>
      </c>
      <c r="M235" s="0" t="n">
        <v>-0.0009501405885572461</v>
      </c>
      <c r="N235" s="0" t="n">
        <v>-0.00746892693362211</v>
      </c>
      <c r="O235" s="0" t="n">
        <v>0.0184667317582314</v>
      </c>
      <c r="P235" s="0" t="n">
        <v>-0.0126085831406514</v>
      </c>
      <c r="Q235" s="0" t="n">
        <v>0.0062047216091019</v>
      </c>
      <c r="R235" s="0" t="n">
        <v>0.0181696166964453</v>
      </c>
      <c r="S235" s="0" t="n">
        <v>0.0021360411455662</v>
      </c>
      <c r="T235" s="0" t="n">
        <v>-0.00679583862016919</v>
      </c>
      <c r="U235" s="0" t="n">
        <v>0.0120474626409654</v>
      </c>
      <c r="V235" s="0" t="n">
        <v>0.00860373743923936</v>
      </c>
      <c r="W235" s="0" t="n">
        <v>0.0218389168591861</v>
      </c>
      <c r="X235" s="0" t="n">
        <v>0.0144764839790223</v>
      </c>
    </row>
    <row r="236">
      <c r="A236" s="5" t="n">
        <v>42710</v>
      </c>
      <c r="B236" s="0" t="n">
        <v>0.0273129310778088</v>
      </c>
      <c r="C236" s="0" t="n">
        <v>0.0137010319088073</v>
      </c>
      <c r="D236" s="0" t="n">
        <v>-0.00621404274169101</v>
      </c>
      <c r="E236" s="0" t="n">
        <v>0.0390369615291752</v>
      </c>
      <c r="F236" s="0" t="n">
        <v>0.0183327223147946</v>
      </c>
      <c r="G236" s="0" t="n">
        <v>0.0167920397474383</v>
      </c>
      <c r="H236" s="0" t="n">
        <v>-0.00498256672764707</v>
      </c>
      <c r="I236" s="0" t="n">
        <v>0.00893527069856459</v>
      </c>
      <c r="J236" s="0" t="n">
        <v>0.0202027419179489</v>
      </c>
      <c r="K236" s="0" t="n">
        <v>0.0500104485318124</v>
      </c>
      <c r="L236" s="0" t="n">
        <v>0.0389586744502938</v>
      </c>
      <c r="M236" s="0" t="n">
        <v>-0.0117929313132645</v>
      </c>
      <c r="N236" s="0" t="n">
        <v>0.0111825747056566</v>
      </c>
      <c r="O236" s="0" t="n">
        <v>0.0275707262794866</v>
      </c>
      <c r="P236" s="0" t="n">
        <v>-0.0151820401024358</v>
      </c>
      <c r="Q236" s="0" t="n">
        <v>0.0122952254434616</v>
      </c>
      <c r="R236" s="0" t="n">
        <v>0.0138795680013181</v>
      </c>
      <c r="S236" s="0" t="n">
        <v>0.0218087758998222</v>
      </c>
      <c r="T236" s="0" t="n">
        <v>0.0209184696470954</v>
      </c>
      <c r="U236" s="0" t="n">
        <v>0.0171155292553022</v>
      </c>
      <c r="V236" s="0" t="n">
        <v>-0.0141998808645142</v>
      </c>
      <c r="W236" s="0" t="n">
        <v>0.0306679989898768</v>
      </c>
      <c r="X236" s="0" t="n">
        <v>-0.000756733200422576</v>
      </c>
    </row>
    <row r="237">
      <c r="A237" s="5" t="n">
        <v>42711</v>
      </c>
      <c r="B237" s="0" t="n">
        <v>0.00345302378387923</v>
      </c>
      <c r="C237" s="0" t="n">
        <v>-0.0022176083524501</v>
      </c>
      <c r="D237" s="0" t="n">
        <v>-0.00282373394792045</v>
      </c>
      <c r="E237" s="0" t="n">
        <v>-0.00229978533483166</v>
      </c>
      <c r="F237" s="0" t="n">
        <v>0.0166963924419603</v>
      </c>
      <c r="G237" s="0" t="n">
        <v>0.0165146059717926</v>
      </c>
      <c r="H237" s="0" t="n">
        <v>-0.0009994994041799821</v>
      </c>
      <c r="I237" s="0" t="n">
        <v>0.00296076919375654</v>
      </c>
      <c r="J237" s="0" t="n">
        <v>0.00884960687456559</v>
      </c>
      <c r="K237" s="0" t="n">
        <v>-0.07139123935312031</v>
      </c>
      <c r="L237" s="0" t="n">
        <v>-0.0243106197795412</v>
      </c>
      <c r="M237" s="0" t="n">
        <v>-0.008047685336437731</v>
      </c>
      <c r="N237" s="0" t="n">
        <v>-0.00619714961431849</v>
      </c>
      <c r="O237" s="0" t="n">
        <v>-0.0009893870514083849</v>
      </c>
      <c r="P237" s="0" t="n">
        <v>0.0309180660174428</v>
      </c>
      <c r="Q237" s="0" t="n">
        <v>-0.0122952254434616</v>
      </c>
      <c r="R237" s="0" t="n">
        <v>-0.0305116732128825</v>
      </c>
      <c r="S237" s="0" t="n">
        <v>-0.00838578541239654</v>
      </c>
      <c r="T237" s="0" t="n">
        <v>0</v>
      </c>
      <c r="U237" s="0" t="n">
        <v>-0.00076474807006388</v>
      </c>
      <c r="V237" s="0" t="n">
        <v>-0.000181083301299622</v>
      </c>
      <c r="W237" s="0" t="n">
        <v>0.000174603059832634</v>
      </c>
      <c r="X237" s="0" t="n">
        <v>0.0187482056287122</v>
      </c>
    </row>
    <row r="238">
      <c r="A238" s="5" t="n">
        <v>42712</v>
      </c>
      <c r="B238" s="0" t="n">
        <v>0.00699052891955886</v>
      </c>
      <c r="C238" s="0" t="n">
        <v>0.007897639347440141</v>
      </c>
      <c r="D238" s="0" t="n">
        <v>0.00977490052395957</v>
      </c>
      <c r="E238" s="0" t="n">
        <v>0.0106871509048311</v>
      </c>
      <c r="F238" s="0" t="n">
        <v>0.00608166022469847</v>
      </c>
      <c r="G238" s="0" t="n">
        <v>0.0171093103435326</v>
      </c>
      <c r="H238" s="0" t="n">
        <v>0.00697560727284307</v>
      </c>
      <c r="I238" s="0" t="n">
        <v>-0.0246926073039284</v>
      </c>
      <c r="J238" s="0" t="n">
        <v>0</v>
      </c>
      <c r="K238" s="0" t="n">
        <v>0.0143045836818206</v>
      </c>
      <c r="L238" s="0" t="n">
        <v>-0.0180591650147099</v>
      </c>
      <c r="M238" s="0" t="n">
        <v>0.0242668425447316</v>
      </c>
      <c r="N238" s="0" t="n">
        <v>-0.000414438204199285</v>
      </c>
      <c r="O238" s="0" t="n">
        <v>-0.000742635978107308</v>
      </c>
      <c r="P238" s="0" t="n">
        <v>0.00544958089576663</v>
      </c>
      <c r="Q238" s="0" t="n">
        <v>0.008213590897217401</v>
      </c>
      <c r="R238" s="0" t="n">
        <v>0.0255321840771971</v>
      </c>
      <c r="S238" s="0" t="n">
        <v>0.00699306207422667</v>
      </c>
      <c r="T238" s="0" t="n">
        <v>0.00366601652321119</v>
      </c>
      <c r="U238" s="0" t="n">
        <v>0.0138267955546789</v>
      </c>
      <c r="V238" s="0" t="n">
        <v>0.0322465165318792</v>
      </c>
      <c r="W238" s="0" t="n">
        <v>-0.0026217182801238</v>
      </c>
      <c r="X238" s="0" t="n">
        <v>0.00370784186308759</v>
      </c>
    </row>
    <row r="239">
      <c r="A239" s="5" t="n">
        <v>42713</v>
      </c>
      <c r="B239" s="0" t="n">
        <v>-0.00614425316700106</v>
      </c>
      <c r="C239" s="0" t="n">
        <v>0.00251415301226343</v>
      </c>
      <c r="D239" s="0" t="n">
        <v>-0.00354345366175401</v>
      </c>
      <c r="E239" s="0" t="n">
        <v>-0.0269350938603389</v>
      </c>
      <c r="F239" s="0" t="n">
        <v>-0.0210073166901616</v>
      </c>
      <c r="G239" s="0" t="n">
        <v>-0.0162321696920293</v>
      </c>
      <c r="H239" s="0" t="n">
        <v>-0.0415670193154393</v>
      </c>
      <c r="I239" s="0" t="n">
        <v>-0.00303490084036761</v>
      </c>
      <c r="J239" s="0" t="n">
        <v>-0.0200229503344588</v>
      </c>
      <c r="K239" s="0" t="n">
        <v>0.124859276758631</v>
      </c>
      <c r="L239" s="0" t="n">
        <v>0.00227536592485622</v>
      </c>
      <c r="M239" s="0" t="n">
        <v>0.0218417649425854</v>
      </c>
      <c r="N239" s="0" t="n">
        <v>-0.007908491979936811</v>
      </c>
      <c r="O239" s="0" t="n">
        <v>0.0181599558350624</v>
      </c>
      <c r="P239" s="0" t="n">
        <v>-0.00233188853378374</v>
      </c>
      <c r="Q239" s="0" t="n">
        <v>-0.0144183125063193</v>
      </c>
      <c r="R239" s="0" t="n">
        <v>-0.00500431289523017</v>
      </c>
      <c r="S239" s="0" t="n">
        <v>-0.0126229097021091</v>
      </c>
      <c r="T239" s="0" t="n">
        <v>0.00365268914133087</v>
      </c>
      <c r="U239" s="0" t="n">
        <v>0.00331427284103469</v>
      </c>
      <c r="V239" s="0" t="n">
        <v>-0.008627603085944451</v>
      </c>
      <c r="W239" s="0" t="n">
        <v>-0.0240890258058419</v>
      </c>
      <c r="X239" s="0" t="n">
        <v>-0.0156661193450928</v>
      </c>
    </row>
    <row r="240">
      <c r="A240" s="5" t="n">
        <v>42716</v>
      </c>
      <c r="B240" s="0" t="n">
        <v>0.0167174470132343</v>
      </c>
      <c r="C240" s="0" t="n">
        <v>-0.00377360386025715</v>
      </c>
      <c r="D240" s="0" t="n">
        <v>0.0151195361575178</v>
      </c>
      <c r="E240" s="0" t="n">
        <v>-0.0039077217966108</v>
      </c>
      <c r="F240" s="0" t="n">
        <v>0</v>
      </c>
      <c r="G240" s="0" t="n">
        <v>0.0058274334497268</v>
      </c>
      <c r="H240" s="0" t="n">
        <v>0.0204925008655842</v>
      </c>
      <c r="I240" s="0" t="n">
        <v>0.0068156381298845</v>
      </c>
      <c r="J240" s="0" t="n">
        <v>0.0200229503344588</v>
      </c>
      <c r="K240" s="0" t="n">
        <v>0.0548765980256191</v>
      </c>
      <c r="L240" s="0" t="n">
        <v>-0.0358627697943125</v>
      </c>
      <c r="M240" s="0" t="n">
        <v>0.0131843173940144</v>
      </c>
      <c r="N240" s="0" t="n">
        <v>0.0206789830883593</v>
      </c>
      <c r="O240" s="0" t="n">
        <v>0.00581964978587867</v>
      </c>
      <c r="P240" s="0" t="n">
        <v>0.00233188853378374</v>
      </c>
      <c r="Q240" s="0" t="n">
        <v>0.0123712796391615</v>
      </c>
      <c r="R240" s="0" t="n">
        <v>0.00525392947517922</v>
      </c>
      <c r="S240" s="0" t="n">
        <v>0.009831563804901571</v>
      </c>
      <c r="T240" s="0" t="n">
        <v>0.0138251074512028</v>
      </c>
      <c r="U240" s="0" t="n">
        <v>0.00300352496672928</v>
      </c>
      <c r="V240" s="0" t="n">
        <v>0.0109040641769206</v>
      </c>
      <c r="W240" s="0" t="n">
        <v>0.001075100871609</v>
      </c>
      <c r="X240" s="0" t="n">
        <v>-0.00376649713644416</v>
      </c>
    </row>
    <row r="241">
      <c r="A241" s="5" t="n">
        <v>42717</v>
      </c>
      <c r="B241" s="0" t="n">
        <v>0.00130642078365283</v>
      </c>
      <c r="C241" s="0" t="n">
        <v>-0.00759013557802346</v>
      </c>
      <c r="D241" s="0" t="n">
        <v>-0.0142325231020929</v>
      </c>
      <c r="E241" s="0" t="n">
        <v>-0.0189729582944311</v>
      </c>
      <c r="F241" s="0" t="n">
        <v>0.00265015460021222</v>
      </c>
      <c r="G241" s="0" t="n">
        <v>0.00867818736466219</v>
      </c>
      <c r="H241" s="0" t="n">
        <v>-0.0236029202813492</v>
      </c>
      <c r="I241" s="0" t="n">
        <v>-0.0646894697840685</v>
      </c>
      <c r="J241" s="0" t="n">
        <v>-0.00662979938640129</v>
      </c>
      <c r="K241" s="0" t="n">
        <v>-0.0577296642910047</v>
      </c>
      <c r="L241" s="0" t="n">
        <v>-0.0250460372169527</v>
      </c>
      <c r="M241" s="0" t="n">
        <v>-0.000304710923850315</v>
      </c>
      <c r="N241" s="0" t="n">
        <v>-0.0231894222522561</v>
      </c>
      <c r="O241" s="0" t="n">
        <v>-0.00630616058104216</v>
      </c>
      <c r="P241" s="0" t="n">
        <v>-0.050149792570636</v>
      </c>
      <c r="Q241" s="0" t="n">
        <v>-0.0207046529197394</v>
      </c>
      <c r="R241" s="0" t="n">
        <v>-0.0149585145629504</v>
      </c>
      <c r="S241" s="0" t="n">
        <v>-0.00350019185490912</v>
      </c>
      <c r="T241" s="0" t="n">
        <v>-0.00425884574066781</v>
      </c>
      <c r="U241" s="0" t="n">
        <v>-0.0113097785842475</v>
      </c>
      <c r="V241" s="0" t="n">
        <v>0.0229975009901748</v>
      </c>
      <c r="W241" s="0" t="n">
        <v>-0.0206267378110673</v>
      </c>
      <c r="X241" s="0" t="n">
        <v>-0.0113852931052993</v>
      </c>
    </row>
    <row r="242">
      <c r="A242" s="5" t="n">
        <v>42718</v>
      </c>
      <c r="B242" s="0" t="n">
        <v>-0.00291201724901579</v>
      </c>
      <c r="C242" s="0" t="n">
        <v>-0.0076482500885695</v>
      </c>
      <c r="D242" s="0" t="n">
        <v>0.0532347282811347</v>
      </c>
      <c r="E242" s="0" t="n">
        <v>0.00398249761077407</v>
      </c>
      <c r="F242" s="0" t="n">
        <v>0.0213841782315191</v>
      </c>
      <c r="G242" s="0" t="n">
        <v>0.0350912591931669</v>
      </c>
      <c r="H242" s="0" t="n">
        <v>-0.0010389601287204</v>
      </c>
      <c r="I242" s="0" t="n">
        <v>-0.0186921735780098</v>
      </c>
      <c r="J242" s="0" t="n">
        <v>-0.00444455348618677</v>
      </c>
      <c r="K242" s="0" t="n">
        <v>0.0130572402324229</v>
      </c>
      <c r="L242" s="0" t="n">
        <v>0.0203234826495974</v>
      </c>
      <c r="M242" s="0" t="n">
        <v>-0.00213511428221391</v>
      </c>
      <c r="N242" s="0" t="n">
        <v>0.00418054429101744</v>
      </c>
      <c r="O242" s="0" t="n">
        <v>0.00968534286047173</v>
      </c>
      <c r="P242" s="0" t="n">
        <v>-0.000816678606052612</v>
      </c>
      <c r="Q242" s="0" t="n">
        <v>0.00625648182520044</v>
      </c>
      <c r="R242" s="0" t="n">
        <v>-0.008521490916526981</v>
      </c>
      <c r="S242" s="0" t="n">
        <v>0.0160003094999736</v>
      </c>
      <c r="T242" s="0" t="n">
        <v>0.00556557603531082</v>
      </c>
      <c r="U242" s="0" t="n">
        <v>0.00484115444362398</v>
      </c>
      <c r="V242" s="0" t="n">
        <v>0.00256084687836377</v>
      </c>
      <c r="W242" s="0" t="n">
        <v>0.008918029192800599</v>
      </c>
      <c r="X242" s="0" t="n">
        <v>0.0181547925989185</v>
      </c>
    </row>
    <row r="243">
      <c r="A243" s="5" t="n">
        <v>42719</v>
      </c>
      <c r="B243" s="0" t="n">
        <v>-0.00770733341764984</v>
      </c>
      <c r="C243" s="0" t="n">
        <v>0.015553443975294</v>
      </c>
      <c r="D243" s="0" t="n">
        <v>0.0268193404663152</v>
      </c>
      <c r="E243" s="0" t="n">
        <v>0.00396670021584544</v>
      </c>
      <c r="F243" s="0" t="n">
        <v>-0.0218253972503101</v>
      </c>
      <c r="G243" s="0" t="n">
        <v>-0.000556340999060545</v>
      </c>
      <c r="H243" s="0" t="n">
        <v>-0.0327552180311292</v>
      </c>
      <c r="I243" s="0" t="n">
        <v>0.0275098385266661</v>
      </c>
      <c r="J243" s="0" t="n">
        <v>0.00665933884609026</v>
      </c>
      <c r="K243" s="0" t="n">
        <v>0.00394032006298539</v>
      </c>
      <c r="L243" s="0" t="n">
        <v>-0.0336975005866935</v>
      </c>
      <c r="M243" s="0" t="n">
        <v>0.00274432714937011</v>
      </c>
      <c r="N243" s="0" t="n">
        <v>0.00830917807169129</v>
      </c>
      <c r="O243" s="0" t="n">
        <v>0.00408797425591167</v>
      </c>
      <c r="P243" s="0" t="n">
        <v>-0.00409334931453075</v>
      </c>
      <c r="Q243" s="0" t="n">
        <v>0.020576838507941</v>
      </c>
      <c r="R243" s="0" t="n">
        <v>0.0160915306855429</v>
      </c>
      <c r="S243" s="0" t="n">
        <v>-0.0118016003154015</v>
      </c>
      <c r="T243" s="0" t="n">
        <v>-0.00130673029464301</v>
      </c>
      <c r="U243" s="0" t="n">
        <v>0.0117030407183902</v>
      </c>
      <c r="V243" s="0" t="n">
        <v>-0.000511684054432137</v>
      </c>
      <c r="W243" s="0" t="n">
        <v>0.00271422454761882</v>
      </c>
      <c r="X243" s="0" t="n">
        <v>-0.0242803799869277</v>
      </c>
    </row>
    <row r="244">
      <c r="A244" s="5" t="n">
        <v>42720</v>
      </c>
      <c r="B244" s="0" t="n">
        <v>-0.00029994933488453</v>
      </c>
      <c r="C244" s="0" t="n">
        <v>0.00534005192084796</v>
      </c>
      <c r="D244" s="0" t="n">
        <v>0.00149936119623905</v>
      </c>
      <c r="E244" s="0" t="n">
        <v>0.00237245923983575</v>
      </c>
      <c r="F244" s="0" t="n">
        <v>-0.00797524420372353</v>
      </c>
      <c r="G244" s="0" t="n">
        <v>-0.00167077618506228</v>
      </c>
      <c r="H244" s="0" t="n">
        <v>-0.0206192679960828</v>
      </c>
      <c r="I244" s="0" t="n">
        <v>-0.0128515704439111</v>
      </c>
      <c r="J244" s="0" t="n">
        <v>0.00220999618590855</v>
      </c>
      <c r="K244" s="0" t="n">
        <v>-0.0917211352660012</v>
      </c>
      <c r="L244" s="0" t="n">
        <v>-0.0566545813507786</v>
      </c>
      <c r="M244" s="0" t="n">
        <v>-0.00030450194330589</v>
      </c>
      <c r="N244" s="0" t="n">
        <v>0.000827148827608148</v>
      </c>
      <c r="O244" s="0" t="n">
        <v>0.010741260414349</v>
      </c>
      <c r="P244" s="0" t="n">
        <v>0.0186921735780098</v>
      </c>
      <c r="Q244" s="0" t="n">
        <v>-0.0143591584745017</v>
      </c>
      <c r="R244" s="0" t="n">
        <v>0.00463983215654817</v>
      </c>
      <c r="S244" s="0" t="n">
        <v>-0.00841518904615945</v>
      </c>
      <c r="T244" s="0" t="n">
        <v>0.00521683110155235</v>
      </c>
      <c r="U244" s="0" t="n">
        <v>0.010682612039961</v>
      </c>
      <c r="V244" s="0" t="n">
        <v>0.0135549221572572</v>
      </c>
      <c r="W244" s="0" t="n">
        <v>-0.0021707485078739</v>
      </c>
      <c r="X244" s="0" t="n">
        <v>0.00536191963971477</v>
      </c>
    </row>
    <row r="245">
      <c r="A245" s="5" t="n">
        <v>42723</v>
      </c>
      <c r="B245" s="0" t="n">
        <v>0.00550446185268516</v>
      </c>
      <c r="C245" s="0" t="n">
        <v>0.0102852325643394</v>
      </c>
      <c r="D245" s="0" t="n">
        <v>-0.000544971631671664</v>
      </c>
      <c r="E245" s="0" t="n">
        <v>0.00943402339184151</v>
      </c>
      <c r="F245" s="0" t="n">
        <v>0.0101793111412873</v>
      </c>
      <c r="G245" s="0" t="n">
        <v>-0.0109290530072119</v>
      </c>
      <c r="H245" s="0" t="n">
        <v>0.030239933247214</v>
      </c>
      <c r="I245" s="0" t="n">
        <v>-0.00405024381829566</v>
      </c>
      <c r="J245" s="0" t="n">
        <v>0</v>
      </c>
      <c r="K245" s="0" t="n">
        <v>-0.0224168129057506</v>
      </c>
      <c r="L245" s="0" t="n">
        <v>0.0230484346853656</v>
      </c>
      <c r="M245" s="0" t="n">
        <v>0.000608911193402672</v>
      </c>
      <c r="N245" s="0" t="n">
        <v>-0.00248350184228396</v>
      </c>
      <c r="O245" s="0" t="n">
        <v>0.00827531116098168</v>
      </c>
      <c r="P245" s="0" t="n">
        <v>0.00722026012656717</v>
      </c>
      <c r="Q245" s="0" t="n">
        <v>-0.00206830038633021</v>
      </c>
      <c r="R245" s="0" t="n">
        <v>-0.00112666932086202</v>
      </c>
      <c r="S245" s="0" t="n">
        <v>0.00981089463700968</v>
      </c>
      <c r="T245" s="0" t="n">
        <v>-0.00619804742991458</v>
      </c>
      <c r="U245" s="0" t="n">
        <v>-0.00621772251967378</v>
      </c>
      <c r="V245" s="0" t="n">
        <v>-0.00506158064595574</v>
      </c>
      <c r="W245" s="0" t="n">
        <v>0.0158105567211972</v>
      </c>
      <c r="X245" s="0" t="n">
        <v>0.020416550832051</v>
      </c>
    </row>
    <row r="246">
      <c r="A246" s="5" t="n">
        <v>42724</v>
      </c>
      <c r="B246" s="0" t="n">
        <v>-0.00161230301588144</v>
      </c>
      <c r="C246" s="0" t="n">
        <v>-0.00372788441426319</v>
      </c>
      <c r="D246" s="0" t="n">
        <v>-0.00177313360038589</v>
      </c>
      <c r="E246" s="0" t="n">
        <v>-0.0110150121747945</v>
      </c>
      <c r="F246" s="0" t="n">
        <v>-0.00352889324317251</v>
      </c>
      <c r="G246" s="0" t="n">
        <v>-0.007920906787432619</v>
      </c>
      <c r="H246" s="0" t="n">
        <v>0.00530504699591838</v>
      </c>
      <c r="I246" s="0" t="n">
        <v>0.00808414931355061</v>
      </c>
      <c r="J246" s="0" t="n">
        <v>0</v>
      </c>
      <c r="K246" s="0" t="n">
        <v>-0.0107630535336285</v>
      </c>
      <c r="L246" s="0" t="n">
        <v>0.00126499094425502</v>
      </c>
      <c r="M246" s="0" t="n">
        <v>-0.0137932285874171</v>
      </c>
      <c r="N246" s="0" t="n">
        <v>-0.015031544227126</v>
      </c>
      <c r="O246" s="0" t="n">
        <v>-0.00259343792601196</v>
      </c>
      <c r="P246" s="0" t="n">
        <v>-0.0169290648894588</v>
      </c>
      <c r="Q246" s="0" t="n">
        <v>0.00206830038633021</v>
      </c>
      <c r="R246" s="0" t="n">
        <v>0.000125269416601625</v>
      </c>
      <c r="S246" s="0" t="n">
        <v>0.00278551443904806</v>
      </c>
      <c r="T246" s="0" t="n">
        <v>-0.00459165748344592</v>
      </c>
      <c r="U246" s="0" t="n">
        <v>-0.00104003721542245</v>
      </c>
      <c r="V246" s="0" t="n">
        <v>-0.00729992740186435</v>
      </c>
      <c r="W246" s="0" t="n">
        <v>-0.00697613773046512</v>
      </c>
      <c r="X246" s="0" t="n">
        <v>-0.00224801394354789</v>
      </c>
    </row>
    <row r="247">
      <c r="A247" s="5" t="n">
        <v>42725</v>
      </c>
      <c r="B247" s="0" t="n">
        <v>-0.00161490673544673</v>
      </c>
      <c r="C247" s="0" t="n">
        <v>-0.00969514090503675</v>
      </c>
      <c r="D247" s="0" t="n">
        <v>0.000136538613066505</v>
      </c>
      <c r="E247" s="0" t="n">
        <v>-0.019169974033018</v>
      </c>
      <c r="F247" s="0" t="n">
        <v>-0.003984873330928</v>
      </c>
      <c r="G247" s="0" t="n">
        <v>-0.00655365066103241</v>
      </c>
      <c r="H247" s="0" t="n">
        <v>0.0240471364038645</v>
      </c>
      <c r="I247" s="0" t="n">
        <v>-0.00484265839554032</v>
      </c>
      <c r="J247" s="0" t="n">
        <v>-0.00442478154581205</v>
      </c>
      <c r="K247" s="0" t="n">
        <v>0.05510523573541</v>
      </c>
      <c r="L247" s="0" t="n">
        <v>-0.0152869075033166</v>
      </c>
      <c r="M247" s="0" t="n">
        <v>-0.00185361102610936</v>
      </c>
      <c r="N247" s="0" t="n">
        <v>0.00419817487909313</v>
      </c>
      <c r="O247" s="0" t="n">
        <v>0.00846268808456729</v>
      </c>
      <c r="P247" s="0" t="n">
        <v>-0.00734398663841728</v>
      </c>
      <c r="Q247" s="0" t="n">
        <v>-0.0145684513533481</v>
      </c>
      <c r="R247" s="0" t="n">
        <v>-0.0133637586742665</v>
      </c>
      <c r="S247" s="0" t="n">
        <v>-0.00627837097895112</v>
      </c>
      <c r="T247" s="0" t="n">
        <v>0.00131402807114033</v>
      </c>
      <c r="U247" s="0" t="n">
        <v>0.00607639767194001</v>
      </c>
      <c r="V247" s="0" t="n">
        <v>0.00119199156971117</v>
      </c>
      <c r="W247" s="0" t="n">
        <v>0.000717762741309968</v>
      </c>
      <c r="X247" s="0" t="n">
        <v>0</v>
      </c>
    </row>
    <row r="248">
      <c r="A248" s="5" t="n">
        <v>42726</v>
      </c>
      <c r="B248" s="0" t="n">
        <v>-0.00209719848114087</v>
      </c>
      <c r="C248" s="0" t="n">
        <v>0.00188386933903617</v>
      </c>
      <c r="D248" s="0" t="n">
        <v>0.00720844696723244</v>
      </c>
      <c r="E248" s="0" t="n">
        <v>0.00482707457355857</v>
      </c>
      <c r="F248" s="0" t="n">
        <v>0.00265837392790757</v>
      </c>
      <c r="G248" s="0" t="n">
        <v>0.00285476319650701</v>
      </c>
      <c r="H248" s="0" t="n">
        <v>0.0194379336656749</v>
      </c>
      <c r="I248" s="0" t="n">
        <v>0.0192314199801848</v>
      </c>
      <c r="J248" s="0" t="n">
        <v>0</v>
      </c>
      <c r="K248" s="0" t="n">
        <v>0.00600601846999193</v>
      </c>
      <c r="L248" s="0" t="n">
        <v>-0.0103226624627761</v>
      </c>
      <c r="M248" s="0" t="n">
        <v>0.00431964233256687</v>
      </c>
      <c r="N248" s="0" t="n">
        <v>0.007928212840385911</v>
      </c>
      <c r="O248" s="0" t="n">
        <v>0.00023401571654924</v>
      </c>
      <c r="P248" s="0" t="n">
        <v>-0.00904980711773495</v>
      </c>
      <c r="Q248" s="0" t="n">
        <v>0.0186921644828863</v>
      </c>
      <c r="R248" s="0" t="n">
        <v>0.0044323313675374</v>
      </c>
      <c r="S248" s="0" t="n">
        <v>0.00209715094905282</v>
      </c>
      <c r="T248" s="0" t="n">
        <v>0.00229551182732512</v>
      </c>
      <c r="U248" s="0" t="n">
        <v>0.000590855483608265</v>
      </c>
      <c r="V248" s="0" t="n">
        <v>0.0143620327300242</v>
      </c>
      <c r="W248" s="0" t="n">
        <v>0.00375972309666394</v>
      </c>
      <c r="X248" s="0" t="n">
        <v>0.00672900876148796</v>
      </c>
    </row>
    <row r="249">
      <c r="A249" s="5" t="n">
        <v>42727</v>
      </c>
      <c r="B249" s="0" t="n">
        <v>0.00257596468888099</v>
      </c>
      <c r="C249" s="0" t="n">
        <v>0.000627127156864748</v>
      </c>
      <c r="D249" s="0" t="n">
        <v>0.000270957227581192</v>
      </c>
      <c r="E249" s="0" t="n">
        <v>-0.00563379307014555</v>
      </c>
      <c r="F249" s="0" t="n">
        <v>0.000442390127207925</v>
      </c>
      <c r="G249" s="0" t="n">
        <v>0.00256217472239583</v>
      </c>
      <c r="H249" s="0" t="n">
        <v>0.00404449109396543</v>
      </c>
      <c r="I249" s="0" t="n">
        <v>0.0204248478797177</v>
      </c>
      <c r="J249" s="0" t="n">
        <v>0.00442478154581205</v>
      </c>
      <c r="K249" s="0" t="n">
        <v>0.0352978188039715</v>
      </c>
      <c r="L249" s="0" t="n">
        <v>0.0243445790218377</v>
      </c>
      <c r="M249" s="0" t="n">
        <v>0.00153820176003405</v>
      </c>
      <c r="N249" s="0" t="n">
        <v>0.00331950203593489</v>
      </c>
      <c r="O249" s="0" t="n">
        <v>-0.00187392922854989</v>
      </c>
      <c r="P249" s="0" t="n">
        <v>0.00330032978252603</v>
      </c>
      <c r="Q249" s="0" t="n">
        <v>0.00615381079871935</v>
      </c>
      <c r="R249" s="0" t="n">
        <v>0.00189360058589915</v>
      </c>
      <c r="S249" s="0" t="n">
        <v>0.00139570559085022</v>
      </c>
      <c r="T249" s="0" t="n">
        <v>0.00490115720848294</v>
      </c>
      <c r="U249" s="0" t="n">
        <v>0.00147555690702816</v>
      </c>
      <c r="V249" s="0" t="n">
        <v>-0.00470824433815764</v>
      </c>
      <c r="W249" s="0" t="n">
        <v>-0.000178685042864223</v>
      </c>
      <c r="X249" s="0" t="n">
        <v>0.00148916664489373</v>
      </c>
    </row>
    <row r="250">
      <c r="A250" s="5" t="n">
        <v>42731</v>
      </c>
      <c r="B250" s="0" t="n">
        <v>-0.00570005409166718</v>
      </c>
      <c r="C250" s="0" t="n">
        <v>-0.00628929045993675</v>
      </c>
      <c r="D250" s="0" t="n">
        <v>-0.010213202754377</v>
      </c>
      <c r="E250" s="0" t="n">
        <v>-0.01136378635998</v>
      </c>
      <c r="F250" s="0" t="n">
        <v>-0.0124612508492298</v>
      </c>
      <c r="G250" s="0" t="n">
        <v>-0.0140302337108146</v>
      </c>
      <c r="H250" s="0" t="n">
        <v>0.027862543302765</v>
      </c>
      <c r="I250" s="0" t="n">
        <v>0.0230602221898217</v>
      </c>
      <c r="J250" s="0" t="n">
        <v>-0.00664458903397635</v>
      </c>
      <c r="K250" s="0" t="n">
        <v>-0.0174931404234094</v>
      </c>
      <c r="L250" s="0" t="n">
        <v>0.0150757074113831</v>
      </c>
      <c r="M250" s="0" t="n">
        <v>-0.00554872918071147</v>
      </c>
      <c r="N250" s="0" t="n">
        <v>-0.00456711206267046</v>
      </c>
      <c r="O250" s="0" t="n">
        <v>-0.00305274547485856</v>
      </c>
      <c r="P250" s="0" t="n">
        <v>-0.00330032978252603</v>
      </c>
      <c r="Q250" s="0" t="n">
        <v>0.00408163454624421</v>
      </c>
      <c r="R250" s="0" t="n">
        <v>-0.00315796380817445</v>
      </c>
      <c r="S250" s="0" t="n">
        <v>-0.0140451610635139</v>
      </c>
      <c r="T250" s="0" t="n">
        <v>-0.008510697106948399</v>
      </c>
      <c r="U250" s="0" t="n">
        <v>-0.00458136550075316</v>
      </c>
      <c r="V250" s="0" t="n">
        <v>-0.0122097702306414</v>
      </c>
      <c r="W250" s="0" t="n">
        <v>-0.0113239471140245</v>
      </c>
      <c r="X250" s="0" t="n">
        <v>-0.014237751441291</v>
      </c>
    </row>
    <row r="251">
      <c r="A251" s="5" t="n">
        <v>42732</v>
      </c>
      <c r="B251" s="0" t="n">
        <v>0.00246403953860507</v>
      </c>
      <c r="C251" s="0" t="n">
        <v>0.000315393221972826</v>
      </c>
      <c r="D251" s="0" t="n">
        <v>0.00682037859612183</v>
      </c>
      <c r="E251" s="0" t="n">
        <v>-0.00163402472122831</v>
      </c>
      <c r="F251" s="0" t="n">
        <v>-0.0148886090770936</v>
      </c>
      <c r="G251" s="0" t="n">
        <v>-0.0025985333516969</v>
      </c>
      <c r="H251" s="0" t="n">
        <v>0.0155796572854487</v>
      </c>
      <c r="I251" s="0" t="n">
        <v>0.0525463117734261</v>
      </c>
      <c r="J251" s="0" t="n">
        <v>-0.00668903508778884</v>
      </c>
      <c r="K251" s="0" t="n">
        <v>0.00235014705703728</v>
      </c>
      <c r="L251" s="0" t="n">
        <v>-0.0138107164671281</v>
      </c>
      <c r="M251" s="0" t="n">
        <v>0.00431842756294464</v>
      </c>
      <c r="N251" s="0" t="n">
        <v>0</v>
      </c>
      <c r="O251" s="0" t="n">
        <v>0.00328714522677575</v>
      </c>
      <c r="P251" s="0" t="n">
        <v>-0.0225668125880158</v>
      </c>
      <c r="Q251" s="0" t="n">
        <v>0.00811362731883713</v>
      </c>
      <c r="R251" s="0" t="n">
        <v>-0.0005062125556793971</v>
      </c>
      <c r="S251" s="0" t="n">
        <v>-0.00212394321583042</v>
      </c>
      <c r="T251" s="0" t="n">
        <v>0.00131402807114033</v>
      </c>
      <c r="U251" s="0" t="n">
        <v>0.00502359709492505</v>
      </c>
      <c r="V251" s="0" t="n">
        <v>0.00493577566168745</v>
      </c>
      <c r="W251" s="0" t="n">
        <v>-0.00871464380347042</v>
      </c>
      <c r="X251" s="0" t="n">
        <v>-0.0129132122360489</v>
      </c>
    </row>
    <row r="252">
      <c r="A252" s="5" t="n">
        <v>42733</v>
      </c>
      <c r="B252" s="0" t="n">
        <v>-0.00366818769701815</v>
      </c>
      <c r="C252" s="0" t="n">
        <v>-0.00347499687952179</v>
      </c>
      <c r="D252" s="0" t="n">
        <v>-0.000135878007067269</v>
      </c>
      <c r="E252" s="0" t="n">
        <v>-0.008210179879013509</v>
      </c>
      <c r="F252" s="0" t="n">
        <v>0.00453517242646439</v>
      </c>
      <c r="G252" s="0" t="n">
        <v>-0.00231553888760993</v>
      </c>
      <c r="H252" s="0" t="n">
        <v>-0.00678625309635361</v>
      </c>
      <c r="I252" s="0" t="n">
        <v>-0.0196584052845221</v>
      </c>
      <c r="J252" s="0" t="n">
        <v>-0.00448430837210445</v>
      </c>
      <c r="K252" s="0" t="n">
        <v>0.00934588129076396</v>
      </c>
      <c r="L252" s="0" t="n">
        <v>-0.037351407808996</v>
      </c>
      <c r="M252" s="0" t="n">
        <v>-0.000307900142267225</v>
      </c>
      <c r="N252" s="0" t="n">
        <v>-0.0104581581853371</v>
      </c>
      <c r="O252" s="0" t="n">
        <v>-0.00305202890299094</v>
      </c>
      <c r="P252" s="0" t="n">
        <v>-0.00763687663705026</v>
      </c>
      <c r="Q252" s="0" t="n">
        <v>-0.00811362731883713</v>
      </c>
      <c r="R252" s="0" t="n">
        <v>-0.00113984352539375</v>
      </c>
      <c r="S252" s="0" t="n">
        <v>-0.0171555154570746</v>
      </c>
      <c r="T252" s="0" t="n">
        <v>-0.007910383287272</v>
      </c>
      <c r="U252" s="0" t="n">
        <v>-0.00339552589424041</v>
      </c>
      <c r="V252" s="0" t="n">
        <v>-0.007840553180466611</v>
      </c>
      <c r="W252" s="0" t="n">
        <v>0.00491134149376204</v>
      </c>
      <c r="X252" s="0" t="n">
        <v>0.0106465144262086</v>
      </c>
    </row>
    <row r="253">
      <c r="A253" s="5" t="n">
        <v>42734</v>
      </c>
      <c r="B253" s="0" t="n">
        <v>0.00720332618066876</v>
      </c>
      <c r="C253" s="0" t="n">
        <v>0.00284404833608675</v>
      </c>
      <c r="D253" s="0" t="n">
        <v>0.0141749982158394</v>
      </c>
      <c r="E253" s="0" t="n">
        <v>0.0372211277855303</v>
      </c>
      <c r="F253" s="0" t="n">
        <v>0.0192701591363144</v>
      </c>
      <c r="G253" s="0" t="n">
        <v>-0.0231579191379829</v>
      </c>
      <c r="H253" s="0" t="n">
        <v>0.040043443205781</v>
      </c>
      <c r="I253" s="0" t="n">
        <v>0.0325525885639392</v>
      </c>
      <c r="J253" s="0" t="n">
        <v>-0.0022496639847569</v>
      </c>
      <c r="K253" s="0" t="n">
        <v>0.0342890407716151</v>
      </c>
      <c r="L253" s="0" t="n">
        <v>0.0548957604441819</v>
      </c>
      <c r="M253" s="0" t="n">
        <v>0.0158830602667121</v>
      </c>
      <c r="N253" s="0" t="n">
        <v>0.0639338249477559</v>
      </c>
      <c r="O253" s="0" t="n">
        <v>0.0114554539169255</v>
      </c>
      <c r="P253" s="0" t="n">
        <v>0.0168922779166256</v>
      </c>
      <c r="Q253" s="0" t="n">
        <v>0.0320669407318856</v>
      </c>
      <c r="R253" s="0" t="n">
        <v>0.0180840642514903</v>
      </c>
      <c r="S253" s="0" t="n">
        <v>0.0128941832794171</v>
      </c>
      <c r="T253" s="0" t="n">
        <v>0.0105333956454258</v>
      </c>
      <c r="U253" s="0" t="n">
        <v>0.00014779307732482</v>
      </c>
      <c r="V253" s="0" t="n">
        <v>0.0171350725867496</v>
      </c>
      <c r="W253" s="0" t="n">
        <v>0.0160204917648547</v>
      </c>
      <c r="X253" s="0" t="n">
        <v>0.00753578757875716</v>
      </c>
    </row>
    <row r="254">
      <c r="A254" s="5" t="n">
        <v>42738</v>
      </c>
      <c r="B254" s="0" t="n">
        <v>0.0123050569358191</v>
      </c>
      <c r="C254" s="0" t="n">
        <v>0.000315555321462213</v>
      </c>
      <c r="D254" s="0" t="n">
        <v>0.00160732350204639</v>
      </c>
      <c r="E254" s="0" t="n">
        <v>0.0450386613721751</v>
      </c>
      <c r="F254" s="0" t="n">
        <v>0.0184701848290078</v>
      </c>
      <c r="G254" s="0" t="n">
        <v>-0.014337148852177</v>
      </c>
      <c r="H254" s="0" t="n">
        <v>0.0129992424570333</v>
      </c>
      <c r="I254" s="0" t="n">
        <v>0.0148360216815794</v>
      </c>
      <c r="J254" s="0" t="n">
        <v>0.0200675964786265</v>
      </c>
      <c r="K254" s="0" t="n">
        <v>0.0222231816777007</v>
      </c>
      <c r="L254" s="0" t="n">
        <v>0</v>
      </c>
      <c r="M254" s="0" t="n">
        <v>0.008749517622025129</v>
      </c>
      <c r="N254" s="0" t="n">
        <v>0.00511506765304803</v>
      </c>
      <c r="O254" s="0" t="n">
        <v>-0.00582820153856911</v>
      </c>
      <c r="P254" s="0" t="n">
        <v>0.0812017005963077</v>
      </c>
      <c r="Q254" s="0" t="n">
        <v>0.0078585788823251</v>
      </c>
      <c r="R254" s="0" t="n">
        <v>-0.0074953315281645</v>
      </c>
      <c r="S254" s="0" t="n">
        <v>0.013432480555477</v>
      </c>
      <c r="T254" s="0" t="n">
        <v>-0.0145121453402174</v>
      </c>
      <c r="U254" s="0" t="n">
        <v>0.00324773281691559</v>
      </c>
      <c r="V254" s="0" t="n">
        <v>-0.0052281318662084</v>
      </c>
      <c r="W254" s="0" t="n">
        <v>0.000892445171253974</v>
      </c>
      <c r="X254" s="0" t="n">
        <v>0.0119404293242828</v>
      </c>
    </row>
    <row r="255">
      <c r="A255" s="5" t="n">
        <v>42739</v>
      </c>
      <c r="B255" s="0" t="n">
        <v>-0.00331399032588741</v>
      </c>
      <c r="C255" s="0" t="n">
        <v>-0.00569446897947711</v>
      </c>
      <c r="D255" s="0" t="n">
        <v>0.0115761405994554</v>
      </c>
      <c r="E255" s="0" t="n">
        <v>-0.0308428156569497</v>
      </c>
      <c r="F255" s="0" t="n">
        <v>-0.0118344774348293</v>
      </c>
      <c r="G255" s="0" t="n">
        <v>-0.000903012661803703</v>
      </c>
      <c r="H255" s="0" t="n">
        <v>0.0272992778168241</v>
      </c>
      <c r="I255" s="0" t="n">
        <v>0.0465837205811077</v>
      </c>
      <c r="J255" s="0" t="n">
        <v>0.0239923516532569</v>
      </c>
      <c r="K255" s="0" t="n">
        <v>0.0217399655075</v>
      </c>
      <c r="L255" s="0" t="n">
        <v>0.0305834226584122</v>
      </c>
      <c r="M255" s="0" t="n">
        <v>0.009566580808328951</v>
      </c>
      <c r="N255" s="0" t="n">
        <v>0.000784639426024913</v>
      </c>
      <c r="O255" s="0" t="n">
        <v>-0.00280962322728273</v>
      </c>
      <c r="P255" s="0" t="n">
        <v>-0.0116505875902532</v>
      </c>
      <c r="Q255" s="0" t="n">
        <v>0.00973711957849809</v>
      </c>
      <c r="R255" s="0" t="n">
        <v>0.0207241789208749</v>
      </c>
      <c r="S255" s="0" t="n">
        <v>-0.014144494030023</v>
      </c>
      <c r="T255" s="0" t="n">
        <v>0.00232287127152863</v>
      </c>
      <c r="U255" s="0" t="n">
        <v>0.0011784039038396</v>
      </c>
      <c r="V255" s="0" t="n">
        <v>0.0166013987110318</v>
      </c>
      <c r="W255" s="0" t="n">
        <v>-0.0156435615867129</v>
      </c>
      <c r="X255" s="0" t="n">
        <v>-0.0164550695066409</v>
      </c>
    </row>
    <row r="256">
      <c r="A256" s="5" t="n">
        <v>42740</v>
      </c>
      <c r="B256" s="0" t="n">
        <v>0.00490792364727621</v>
      </c>
      <c r="C256" s="0" t="n">
        <v>0.00285125647956085</v>
      </c>
      <c r="D256" s="0" t="n">
        <v>0.00105780565145963</v>
      </c>
      <c r="E256" s="0" t="n">
        <v>-0.000783410037158205</v>
      </c>
      <c r="F256" s="0" t="n">
        <v>0</v>
      </c>
      <c r="G256" s="0" t="n">
        <v>-0.00301563782762359</v>
      </c>
      <c r="H256" s="0" t="n">
        <v>-0.00359712271025047</v>
      </c>
      <c r="I256" s="0" t="n">
        <v>-0.0216517051239408</v>
      </c>
      <c r="J256" s="0" t="n">
        <v>-0.0173917264855592</v>
      </c>
      <c r="K256" s="0" t="n">
        <v>0</v>
      </c>
      <c r="L256" s="0" t="n">
        <v>-0.0380648066505102</v>
      </c>
      <c r="M256" s="0" t="n">
        <v>-0.00387542794830997</v>
      </c>
      <c r="N256" s="0" t="n">
        <v>-0.00471702294486098</v>
      </c>
      <c r="O256" s="0" t="n">
        <v>-0.0316806728486791</v>
      </c>
      <c r="P256" s="0" t="n">
        <v>0.0116505875902532</v>
      </c>
      <c r="Q256" s="0" t="n">
        <v>-0.0136586893817687</v>
      </c>
      <c r="R256" s="0" t="n">
        <v>0.00953434435029798</v>
      </c>
      <c r="S256" s="0" t="n">
        <v>0.00992214674490155</v>
      </c>
      <c r="T256" s="0" t="n">
        <v>0.0019867379488998</v>
      </c>
      <c r="U256" s="0" t="n">
        <v>0.00440663233187432</v>
      </c>
      <c r="V256" s="0" t="n">
        <v>-0.00299800861512444</v>
      </c>
      <c r="W256" s="0" t="n">
        <v>-0.00254036406074842</v>
      </c>
      <c r="X256" s="0" t="n">
        <v>0.00225986783601239</v>
      </c>
    </row>
    <row r="257">
      <c r="A257" s="5" t="n">
        <v>42741</v>
      </c>
      <c r="B257" s="0" t="n">
        <v>-0.0111514586034076</v>
      </c>
      <c r="C257" s="0" t="n">
        <v>-0.00475659963417518</v>
      </c>
      <c r="D257" s="0" t="n">
        <v>0.007897875653796399</v>
      </c>
      <c r="E257" s="0" t="n">
        <v>-0.0102403504306534</v>
      </c>
      <c r="F257" s="0" t="n">
        <v>-0.00574846019982189</v>
      </c>
      <c r="G257" s="0" t="n">
        <v>-0.00575504980568775</v>
      </c>
      <c r="H257" s="0" t="n">
        <v>0.00628649870558462</v>
      </c>
      <c r="I257" s="0" t="n">
        <v>-0.0110042271252144</v>
      </c>
      <c r="J257" s="0" t="n">
        <v>0.00873367178505035</v>
      </c>
      <c r="K257" s="0" t="n">
        <v>0.0533878720460825</v>
      </c>
      <c r="L257" s="0" t="n">
        <v>0.0283795104211987</v>
      </c>
      <c r="M257" s="0" t="n">
        <v>-0.000298680253729255</v>
      </c>
      <c r="N257" s="0" t="n">
        <v>-0.00592768471017857</v>
      </c>
      <c r="O257" s="0" t="n">
        <v>-0.0126645741551509</v>
      </c>
      <c r="P257" s="0" t="n">
        <v>-0.0187066852142878</v>
      </c>
      <c r="Q257" s="0" t="n">
        <v>0.00782782095044365</v>
      </c>
      <c r="R257" s="0" t="n">
        <v>-0.00610130042338674</v>
      </c>
      <c r="S257" s="0" t="n">
        <v>0.0133101495015104</v>
      </c>
      <c r="T257" s="0" t="n">
        <v>-0.00165533019711361</v>
      </c>
      <c r="U257" s="0" t="n">
        <v>-0.00411230434225107</v>
      </c>
      <c r="V257" s="0" t="n">
        <v>-0.00367649511945256</v>
      </c>
      <c r="W257" s="0" t="n">
        <v>-0.0146415356816183</v>
      </c>
      <c r="X257" s="0" t="n">
        <v>0.00225477234634574</v>
      </c>
    </row>
    <row r="258">
      <c r="A258" s="5" t="n">
        <v>42744</v>
      </c>
      <c r="B258" s="0" t="n">
        <v>-0.0127863772562983</v>
      </c>
      <c r="C258" s="0" t="n">
        <v>-0.00286487056341089</v>
      </c>
      <c r="D258" s="0" t="n">
        <v>0</v>
      </c>
      <c r="E258" s="0" t="n">
        <v>0.01726889560415</v>
      </c>
      <c r="F258" s="0" t="n">
        <v>0.0171471028664011</v>
      </c>
      <c r="G258" s="0" t="n">
        <v>0.008168264167710319</v>
      </c>
      <c r="H258" s="0" t="n">
        <v>-0.000895655267277195</v>
      </c>
      <c r="I258" s="0" t="n">
        <v>-0.000691818009925349</v>
      </c>
      <c r="J258" s="0" t="n">
        <v>0.00650061005240454</v>
      </c>
      <c r="K258" s="0" t="n">
        <v>-0.0154086104461176</v>
      </c>
      <c r="L258" s="0" t="n">
        <v>0.0861999896909693</v>
      </c>
      <c r="M258" s="0" t="n">
        <v>-0.000896804545610141</v>
      </c>
      <c r="N258" s="0" t="n">
        <v>-0.00118971971658865</v>
      </c>
      <c r="O258" s="0" t="n">
        <v>0.000245120357940109</v>
      </c>
      <c r="P258" s="0" t="n">
        <v>0.00627452440549092</v>
      </c>
      <c r="Q258" s="0" t="n">
        <v>-0.013739209499866</v>
      </c>
      <c r="R258" s="0" t="n">
        <v>0.0118027926028823</v>
      </c>
      <c r="S258" s="0" t="n">
        <v>0.0131353794613118</v>
      </c>
      <c r="T258" s="0" t="n">
        <v>0.00660500609153302</v>
      </c>
      <c r="U258" s="0" t="n">
        <v>-0.00339052039466292</v>
      </c>
      <c r="V258" s="0" t="n">
        <v>0.00417676660859189</v>
      </c>
      <c r="W258" s="0" t="n">
        <v>0.00698142191284834</v>
      </c>
      <c r="X258" s="0" t="n">
        <v>0.000750486265992389</v>
      </c>
    </row>
    <row r="259">
      <c r="A259" s="5" t="n">
        <v>42745</v>
      </c>
      <c r="B259" s="0" t="n">
        <v>0.0133827166021491</v>
      </c>
      <c r="C259" s="0" t="n">
        <v>0.00318266946356082</v>
      </c>
      <c r="D259" s="0" t="n">
        <v>-0.0133308186123679</v>
      </c>
      <c r="E259" s="0" t="n">
        <v>-0.0141068406729192</v>
      </c>
      <c r="F259" s="0" t="n">
        <v>0.0056509239755571</v>
      </c>
      <c r="G259" s="0" t="n">
        <v>-0.00362206658970709</v>
      </c>
      <c r="H259" s="0" t="n">
        <v>0.0247800054685685</v>
      </c>
      <c r="I259" s="0" t="n">
        <v>0.00138315773855612</v>
      </c>
      <c r="J259" s="0" t="n">
        <v>-0.0086768354994009</v>
      </c>
      <c r="K259" s="0" t="n">
        <v>-0.0219789355132894</v>
      </c>
      <c r="L259" s="0" t="n">
        <v>0.038318905116272</v>
      </c>
      <c r="M259" s="0" t="n">
        <v>-0.0184099598618598</v>
      </c>
      <c r="N259" s="0" t="n">
        <v>0.00158600381204188</v>
      </c>
      <c r="O259" s="0" t="n">
        <v>-0.00491282634076517</v>
      </c>
      <c r="P259" s="0" t="n">
        <v>0.0208905433700112</v>
      </c>
      <c r="Q259" s="0" t="n">
        <v>0.021506231286404</v>
      </c>
      <c r="R259" s="0" t="n">
        <v>0.00120887922431034</v>
      </c>
      <c r="S259" s="0" t="n">
        <v>-0.00137460210658257</v>
      </c>
      <c r="T259" s="0" t="n">
        <v>-0.00759955902229192</v>
      </c>
      <c r="U259" s="0" t="n">
        <v>-0.00103419811838723</v>
      </c>
      <c r="V259" s="0" t="n">
        <v>-0.0544748533938515</v>
      </c>
      <c r="W259" s="0" t="n">
        <v>0.00329008354154503</v>
      </c>
      <c r="X259" s="0" t="n">
        <v>0.0082181754063817</v>
      </c>
    </row>
    <row r="260">
      <c r="A260" s="5" t="n">
        <v>42746</v>
      </c>
      <c r="B260" s="0" t="n">
        <v>0.00119152203587713</v>
      </c>
      <c r="C260" s="0" t="n">
        <v>-0.00254534998159527</v>
      </c>
      <c r="D260" s="0" t="n">
        <v>0.024802785037286</v>
      </c>
      <c r="E260" s="0" t="n">
        <v>-0.00633414017864453</v>
      </c>
      <c r="F260" s="0" t="n">
        <v>-0.00652316378216477</v>
      </c>
      <c r="G260" s="0" t="n">
        <v>0.0135157715047911</v>
      </c>
      <c r="H260" s="0" t="n">
        <v>0.0061002310785363</v>
      </c>
      <c r="I260" s="0" t="n">
        <v>0.009628643166093459</v>
      </c>
      <c r="J260" s="0" t="n">
        <v>-0.00218107584797544</v>
      </c>
      <c r="K260" s="0" t="n">
        <v>-0.00317967521413331</v>
      </c>
      <c r="L260" s="0" t="n">
        <v>0.0138667993459011</v>
      </c>
      <c r="M260" s="0" t="n">
        <v>-0.00703054572076577</v>
      </c>
      <c r="N260" s="0" t="n">
        <v>-0.00237998786882398</v>
      </c>
      <c r="O260" s="0" t="n">
        <v>0.00980154174794067</v>
      </c>
      <c r="P260" s="0" t="n">
        <v>-0.0015326024050748</v>
      </c>
      <c r="Q260" s="0" t="n">
        <v>0.0153553733261453</v>
      </c>
      <c r="R260" s="0" t="n">
        <v>-0.00205597428611081</v>
      </c>
      <c r="S260" s="0" t="n">
        <v>-0.00828733233413991</v>
      </c>
      <c r="T260" s="0" t="n">
        <v>-0.00365505314792313</v>
      </c>
      <c r="U260" s="0" t="n">
        <v>-0.00207161047533777</v>
      </c>
      <c r="V260" s="0" t="n">
        <v>-0.00441112322435799</v>
      </c>
      <c r="W260" s="0" t="n">
        <v>-0.00548947836251878</v>
      </c>
      <c r="X260" s="0" t="n">
        <v>-0.00896866167237409</v>
      </c>
    </row>
    <row r="261">
      <c r="A261" s="5" t="n">
        <v>42747</v>
      </c>
      <c r="B261" s="0" t="n">
        <v>-0.00363864890445952</v>
      </c>
      <c r="C261" s="0" t="n">
        <v>-0.00095613160373853</v>
      </c>
      <c r="D261" s="0" t="n">
        <v>0.00323520172262892</v>
      </c>
      <c r="E261" s="0" t="n">
        <v>0.00317208524741374</v>
      </c>
      <c r="F261" s="0" t="n">
        <v>0.00391901881908873</v>
      </c>
      <c r="G261" s="0" t="n">
        <v>0.0171550502719717</v>
      </c>
      <c r="H261" s="0" t="n">
        <v>-0.0255182985467099</v>
      </c>
      <c r="I261" s="0" t="n">
        <v>-0.0006846474210924209</v>
      </c>
      <c r="J261" s="0" t="n">
        <v>0.0065289045024397</v>
      </c>
      <c r="K261" s="0" t="n">
        <v>0.013182418937303</v>
      </c>
      <c r="L261" s="0" t="n">
        <v>0.0147216483124048</v>
      </c>
      <c r="M261" s="0" t="n">
        <v>-0.00245694281057584</v>
      </c>
      <c r="N261" s="0" t="n">
        <v>0.00317208524741374</v>
      </c>
      <c r="O261" s="0" t="n">
        <v>-0.00121994009622472</v>
      </c>
      <c r="P261" s="0" t="n">
        <v>0.000766594811275389</v>
      </c>
      <c r="Q261" s="0" t="n">
        <v>0.011363747874334</v>
      </c>
      <c r="R261" s="0" t="n">
        <v>-0.00753430602942906</v>
      </c>
      <c r="S261" s="0" t="n">
        <v>0.00346142194970733</v>
      </c>
      <c r="T261" s="0" t="n">
        <v>0.000998129478716691</v>
      </c>
      <c r="U261" s="0" t="n">
        <v>0.00103634168381816</v>
      </c>
      <c r="V261" s="0" t="n">
        <v>-0.00585260187936054</v>
      </c>
      <c r="W261" s="0" t="n">
        <v>0.0147530471663706</v>
      </c>
      <c r="X261" s="0" t="n">
        <v>0.0111983680450893</v>
      </c>
    </row>
    <row r="262">
      <c r="A262" s="5" t="n">
        <v>42748</v>
      </c>
      <c r="B262" s="0" t="n">
        <v>0.00328135042967225</v>
      </c>
      <c r="C262" s="0" t="n">
        <v>-0.00287401907675066</v>
      </c>
      <c r="D262" s="0" t="n">
        <v>-0.0071313501805621</v>
      </c>
      <c r="E262" s="0" t="n">
        <v>-0.00158482267283988</v>
      </c>
      <c r="F262" s="0" t="n">
        <v>-0.0426163467019082</v>
      </c>
      <c r="G262" s="0" t="n">
        <v>0.0214688168216894</v>
      </c>
      <c r="H262" s="0" t="n">
        <v>0.0211647911664045</v>
      </c>
      <c r="I262" s="0" t="n">
        <v>0.0369789519335044</v>
      </c>
      <c r="J262" s="0" t="n">
        <v>-0.00871464350168937</v>
      </c>
      <c r="K262" s="0" t="n">
        <v>0.0465676153340682</v>
      </c>
      <c r="L262" s="0" t="n">
        <v>-0.00733368339410267</v>
      </c>
      <c r="M262" s="0" t="n">
        <v>-0.0142461087395489</v>
      </c>
      <c r="N262" s="0" t="n">
        <v>0.008279136048990219</v>
      </c>
      <c r="O262" s="0" t="n">
        <v>0.00365545737706707</v>
      </c>
      <c r="P262" s="0" t="n">
        <v>0.0227282650363687</v>
      </c>
      <c r="Q262" s="0" t="n">
        <v>0.00563385706874797</v>
      </c>
      <c r="R262" s="0" t="n">
        <v>0.0233885862445983</v>
      </c>
      <c r="S262" s="0" t="n">
        <v>-0.0174281159438609</v>
      </c>
      <c r="T262" s="0" t="n">
        <v>-0.00266400172261338</v>
      </c>
      <c r="U262" s="0" t="n">
        <v>0.0132296724733604</v>
      </c>
      <c r="V262" s="0" t="n">
        <v>0.00106662336501184</v>
      </c>
      <c r="W262" s="0" t="n">
        <v>-0.028052120692938</v>
      </c>
      <c r="X262" s="0" t="n">
        <v>-0.0393692368292515</v>
      </c>
    </row>
    <row r="263">
      <c r="A263" s="5" t="n">
        <v>42752</v>
      </c>
      <c r="B263" s="0" t="n">
        <v>-0.00651349119232502</v>
      </c>
      <c r="C263" s="0" t="n">
        <v>-0.00128000502945235</v>
      </c>
      <c r="D263" s="0" t="n">
        <v>0.00880949235663752</v>
      </c>
      <c r="E263" s="0" t="n">
        <v>-0.0159875358296419</v>
      </c>
      <c r="F263" s="0" t="n">
        <v>0.0259638552680265</v>
      </c>
      <c r="G263" s="0" t="n">
        <v>0.00200716038207371</v>
      </c>
      <c r="H263" s="0" t="n">
        <v>-0.0114086255047705</v>
      </c>
      <c r="I263" s="0" t="n">
        <v>0.0105057303017481</v>
      </c>
      <c r="J263" s="0" t="n">
        <v>0.00654304029422148</v>
      </c>
      <c r="K263" s="0" t="n">
        <v>-0.0356272048203988</v>
      </c>
      <c r="L263" s="0" t="n">
        <v>0.0442230778287329</v>
      </c>
      <c r="M263" s="0" t="n">
        <v>-0.000936264506611994</v>
      </c>
      <c r="N263" s="0" t="n">
        <v>0</v>
      </c>
      <c r="O263" s="0" t="n">
        <v>-0.00756935304595796</v>
      </c>
      <c r="P263" s="0" t="n">
        <v>-0.0189041540938377</v>
      </c>
      <c r="Q263" s="0" t="n">
        <v>-0.00563385706874797</v>
      </c>
      <c r="R263" s="0" t="n">
        <v>-0.00453837224081254</v>
      </c>
      <c r="S263" s="0" t="n">
        <v>-0.000703498359966303</v>
      </c>
      <c r="T263" s="0" t="n">
        <v>0.00133291973157767</v>
      </c>
      <c r="U263" s="0" t="n">
        <v>0.0098809329122238</v>
      </c>
      <c r="V263" s="0" t="n">
        <v>-0.00373830586354984</v>
      </c>
      <c r="W263" s="0" t="n">
        <v>0.009069968367612979</v>
      </c>
      <c r="X263" s="0" t="n">
        <v>0.0153259561976826</v>
      </c>
    </row>
    <row r="264">
      <c r="A264" s="5" t="n">
        <v>42753</v>
      </c>
      <c r="B264" s="6" t="n">
        <v>5.99173095574556e-05</v>
      </c>
      <c r="C264" s="0" t="n">
        <v>-0.000640649223268674</v>
      </c>
      <c r="D264" s="0" t="n">
        <v>-0.008939652244492891</v>
      </c>
      <c r="E264" s="0" t="n">
        <v>0.00161034315321417</v>
      </c>
      <c r="F264" s="0" t="n">
        <v>-0.00442863763935719</v>
      </c>
      <c r="G264" s="0" t="n">
        <v>-0.0187948728421041</v>
      </c>
      <c r="H264" s="0" t="n">
        <v>0.00440334949772269</v>
      </c>
      <c r="I264" s="0" t="n">
        <v>-0.0144739541859939</v>
      </c>
      <c r="J264" s="0" t="n">
        <v>-0.00217622544699636</v>
      </c>
      <c r="K264" s="0" t="n">
        <v>-0.00103679340123463</v>
      </c>
      <c r="L264" s="0" t="n">
        <v>-0.0141845733142549</v>
      </c>
      <c r="M264" s="0" t="n">
        <v>-0.0103562205590974</v>
      </c>
      <c r="N264" s="0" t="n">
        <v>0.00117719013200634</v>
      </c>
      <c r="O264" s="0" t="n">
        <v>0.00489000399368855</v>
      </c>
      <c r="P264" s="0" t="n">
        <v>-0.00229275504013459</v>
      </c>
      <c r="Q264" s="0" t="n">
        <v>0.009372175514247511</v>
      </c>
      <c r="R264" s="0" t="n">
        <v>-0.00407825888079749</v>
      </c>
      <c r="S264" s="0" t="n">
        <v>-0.00777112035481275</v>
      </c>
      <c r="T264" s="0" t="n">
        <v>-0.00166642745507372</v>
      </c>
      <c r="U264" s="0" t="n">
        <v>0.00562324848171602</v>
      </c>
      <c r="V264" s="0" t="n">
        <v>-0.0103980501069127</v>
      </c>
      <c r="W264" s="0" t="n">
        <v>0.00569595231803665</v>
      </c>
      <c r="X264" s="0" t="n">
        <v>-0.0107034194974926</v>
      </c>
    </row>
    <row r="265">
      <c r="A265" s="5" t="n">
        <v>42754</v>
      </c>
      <c r="B265" s="0" t="n">
        <v>0.0221731012281667</v>
      </c>
      <c r="C265" s="0" t="n">
        <v>-0.0220287048808964</v>
      </c>
      <c r="D265" s="0" t="n">
        <v>-0.000390482015876436</v>
      </c>
      <c r="E265" s="0" t="n">
        <v>-0.00564750582154838</v>
      </c>
      <c r="F265" s="0" t="n">
        <v>0.00487044145489568</v>
      </c>
      <c r="G265" s="0" t="n">
        <v>-0.0049743532781048</v>
      </c>
      <c r="H265" s="0" t="n">
        <v>0.0122272151121647</v>
      </c>
      <c r="I265" s="0" t="n">
        <v>0.0190356886267775</v>
      </c>
      <c r="J265" s="0" t="n">
        <v>0</v>
      </c>
      <c r="K265" s="0" t="n">
        <v>0.00620482023200641</v>
      </c>
      <c r="L265" s="0" t="n">
        <v>0.0231981702115646</v>
      </c>
      <c r="M265" s="0" t="n">
        <v>0.00220575773937659</v>
      </c>
      <c r="N265" s="0" t="n">
        <v>0.0023501564506807</v>
      </c>
      <c r="O265" s="0" t="n">
        <v>0.010915833283255</v>
      </c>
      <c r="P265" s="0" t="n">
        <v>0.0114113503355937</v>
      </c>
      <c r="Q265" s="0" t="n">
        <v>0.0129751023402162</v>
      </c>
      <c r="R265" s="0" t="n">
        <v>-0.019908395374995</v>
      </c>
      <c r="S265" s="0" t="n">
        <v>0.000708917094134786</v>
      </c>
      <c r="T265" s="0" t="n">
        <v>0.00399470702275994</v>
      </c>
      <c r="U265" s="0" t="n">
        <v>0.0065921572542571</v>
      </c>
      <c r="V265" s="0" t="n">
        <v>-0.119699670114264</v>
      </c>
      <c r="W265" s="0" t="n">
        <v>0.00893754890451203</v>
      </c>
      <c r="X265" s="0" t="n">
        <v>0.00841946467613619</v>
      </c>
    </row>
    <row r="266">
      <c r="A266" s="5" t="n">
        <v>42755</v>
      </c>
      <c r="B266" s="0" t="n">
        <v>0.00281044581595768</v>
      </c>
      <c r="C266" s="0" t="n">
        <v>-0.025880673968913</v>
      </c>
      <c r="D266" s="0" t="n">
        <v>-0.00639978508418792</v>
      </c>
      <c r="E266" s="0" t="n">
        <v>-0.00405344996879541</v>
      </c>
      <c r="F266" s="0" t="n">
        <v>-0.00353982341889924</v>
      </c>
      <c r="G266" s="0" t="n">
        <v>-0.0165635665540024</v>
      </c>
      <c r="H266" s="0" t="n">
        <v>0.040822016871997</v>
      </c>
      <c r="I266" s="0" t="n">
        <v>0.0244071274343022</v>
      </c>
      <c r="J266" s="0" t="n">
        <v>0</v>
      </c>
      <c r="K266" s="0" t="n">
        <v>0.0404094994004751</v>
      </c>
      <c r="L266" s="0" t="n">
        <v>0.0467466313155573</v>
      </c>
      <c r="M266" s="0" t="n">
        <v>-0.009805594161284681</v>
      </c>
      <c r="N266" s="0" t="n">
        <v>0.00973338442357363</v>
      </c>
      <c r="O266" s="0" t="n">
        <v>0.0131817182958053</v>
      </c>
      <c r="P266" s="0" t="n">
        <v>-0.0106465144262086</v>
      </c>
      <c r="Q266" s="0" t="n">
        <v>0.00916600210815721</v>
      </c>
      <c r="R266" s="0" t="n">
        <v>-0.00380809456253938</v>
      </c>
      <c r="S266" s="0" t="n">
        <v>-0.0114042469382229</v>
      </c>
      <c r="T266" s="0" t="n">
        <v>0.00563195372806912</v>
      </c>
      <c r="U266" s="0" t="n">
        <v>0.00768360205316298</v>
      </c>
      <c r="V266" s="0" t="n">
        <v>0.0155198209565066</v>
      </c>
      <c r="W266" s="0" t="n">
        <v>-0.0150021053122237</v>
      </c>
      <c r="X266" s="0" t="n">
        <v>-0.00458361881511182</v>
      </c>
    </row>
    <row r="267">
      <c r="A267" s="5" t="n">
        <v>42758</v>
      </c>
      <c r="B267" s="0" t="n">
        <v>0.0280766444704925</v>
      </c>
      <c r="C267" s="0" t="n">
        <v>0.008368198551436111</v>
      </c>
      <c r="D267" s="0" t="n">
        <v>-0.0194489326615832</v>
      </c>
      <c r="E267" s="0" t="n">
        <v>0.0240781484667715</v>
      </c>
      <c r="F267" s="0" t="n">
        <v>0.0171395667930114</v>
      </c>
      <c r="G267" s="0" t="n">
        <v>-0.0041840883957489</v>
      </c>
      <c r="H267" s="0" t="n">
        <v>-0.008368241656446781</v>
      </c>
      <c r="I267" s="0" t="n">
        <v>0.0176105605634391</v>
      </c>
      <c r="J267" s="0" t="n">
        <v>0.0086768354994009</v>
      </c>
      <c r="K267" s="0" t="n">
        <v>-0.0250639446979371</v>
      </c>
      <c r="L267" s="0" t="n">
        <v>0.0235083693387951</v>
      </c>
      <c r="M267" s="0" t="n">
        <v>-0.00990263554157389</v>
      </c>
      <c r="N267" s="0" t="n">
        <v>-0.009342215670454561</v>
      </c>
      <c r="O267" s="0" t="n">
        <v>-0.0153553733261455</v>
      </c>
      <c r="P267" s="0" t="n">
        <v>0.0353022212059013</v>
      </c>
      <c r="Q267" s="0" t="n">
        <v>-0.00916600210815721</v>
      </c>
      <c r="R267" s="0" t="n">
        <v>0.00650187879997865</v>
      </c>
      <c r="S267" s="0" t="n">
        <v>0.0393585880755473</v>
      </c>
      <c r="T267" s="0" t="n">
        <v>0.0108428832683538</v>
      </c>
      <c r="U267" s="0" t="n">
        <v>0.00297217792589954</v>
      </c>
      <c r="V267" s="0" t="n">
        <v>-0.0210193859235721</v>
      </c>
      <c r="W267" s="0" t="n">
        <v>0.008260730955071511</v>
      </c>
      <c r="X267" s="0" t="n">
        <v>0.0144433964540309</v>
      </c>
    </row>
    <row r="268">
      <c r="A268" s="5" t="n">
        <v>42759</v>
      </c>
      <c r="B268" s="0" t="n">
        <v>0.0134957833449442</v>
      </c>
      <c r="C268" s="0" t="n">
        <v>0.0122579277891476</v>
      </c>
      <c r="D268" s="0" t="n">
        <v>0</v>
      </c>
      <c r="E268" s="0" t="n">
        <v>0.0141734898575904</v>
      </c>
      <c r="F268" s="0" t="n">
        <v>0.0181352147113775</v>
      </c>
      <c r="G268" s="0" t="n">
        <v>0.00239311601870406</v>
      </c>
      <c r="H268" s="0" t="n">
        <v>0.0207908087500308</v>
      </c>
      <c r="I268" s="0" t="n">
        <v>-0.00124768930140728</v>
      </c>
      <c r="J268" s="0" t="n">
        <v>0.01074118043437</v>
      </c>
      <c r="K268" s="0" t="n">
        <v>-0.062847905295132</v>
      </c>
      <c r="L268" s="0" t="n">
        <v>0.00185696470490492</v>
      </c>
      <c r="M268" s="0" t="n">
        <v>0.00448435395297019</v>
      </c>
      <c r="N268" s="0" t="n">
        <v>0.00468205454215286</v>
      </c>
      <c r="O268" s="0" t="n">
        <v>0.000725046057064915</v>
      </c>
      <c r="P268" s="0" t="n">
        <v>0.013924708734053</v>
      </c>
      <c r="Q268" s="0" t="n">
        <v>0.00916600210815721</v>
      </c>
      <c r="R268" s="0" t="n">
        <v>-0.028401499299008</v>
      </c>
      <c r="S268" s="0" t="n">
        <v>0.0503969581849488</v>
      </c>
      <c r="T268" s="0" t="n">
        <v>0.00326265801993308</v>
      </c>
      <c r="U268" s="0" t="n">
        <v>0.00282242561791612</v>
      </c>
      <c r="V268" s="0" t="n">
        <v>0.0119786258740575</v>
      </c>
      <c r="W268" s="0" t="n">
        <v>0.0344985374434854</v>
      </c>
      <c r="X268" s="0" t="n">
        <v>0.0564873618249737</v>
      </c>
    </row>
    <row r="269">
      <c r="A269" s="5" t="n">
        <v>42760</v>
      </c>
      <c r="B269" s="0" t="n">
        <v>0.00207317838166343</v>
      </c>
      <c r="C269" s="0" t="n">
        <v>-0.00164770820175119</v>
      </c>
      <c r="D269" s="0" t="n">
        <v>-0.00361369117758858</v>
      </c>
      <c r="E269" s="0" t="n">
        <v>-0.0333894354552812</v>
      </c>
      <c r="F269" s="0" t="n">
        <v>0.00299080303135923</v>
      </c>
      <c r="G269" s="0" t="n">
        <v>0.00803457517011541</v>
      </c>
      <c r="H269" s="0" t="n">
        <v>-0.000823442248123473</v>
      </c>
      <c r="I269" s="0" t="n">
        <v>-0.0252858331297471</v>
      </c>
      <c r="J269" s="0" t="n">
        <v>0.0148465447967767</v>
      </c>
      <c r="K269" s="0" t="n">
        <v>-0.0202027401937715</v>
      </c>
      <c r="L269" s="0" t="n">
        <v>-0.0149535356722774</v>
      </c>
      <c r="M269" s="0" t="n">
        <v>-0.000319649311520286</v>
      </c>
      <c r="N269" s="0" t="n">
        <v>0.0142997192929805</v>
      </c>
      <c r="O269" s="0" t="n">
        <v>0.009139098453945669</v>
      </c>
      <c r="P269" s="0" t="n">
        <v>-0.022820236877552</v>
      </c>
      <c r="Q269" s="0" t="n">
        <v>-0.00732603305416956</v>
      </c>
      <c r="R269" s="0" t="n">
        <v>-0.00201481031541472</v>
      </c>
      <c r="S269" s="0" t="n">
        <v>-0.0092166776725775</v>
      </c>
      <c r="T269" s="0" t="n">
        <v>0.00130205122011783</v>
      </c>
      <c r="U269" s="0" t="n">
        <v>-0.0015513804993672</v>
      </c>
      <c r="V269" s="0" t="n">
        <v>-0.0566717898339312</v>
      </c>
      <c r="W269" s="0" t="n">
        <v>0.009841931412147171</v>
      </c>
      <c r="X269" s="0" t="n">
        <v>-0.0007135375712561389</v>
      </c>
    </row>
    <row r="270">
      <c r="A270" s="5" t="n">
        <v>42761</v>
      </c>
      <c r="B270" s="0" t="n">
        <v>-0.0076413484787805</v>
      </c>
      <c r="C270" s="0" t="n">
        <v>-0.0102768909448149</v>
      </c>
      <c r="D270" s="0" t="n">
        <v>0.010669552100281</v>
      </c>
      <c r="E270" s="0" t="n">
        <v>0.00965412865937143</v>
      </c>
      <c r="F270" s="0" t="n">
        <v>-0.0034188034047502</v>
      </c>
      <c r="G270" s="0" t="n">
        <v>-0.0113265310784544</v>
      </c>
      <c r="H270" s="0" t="n">
        <v>-0.00578268579589158</v>
      </c>
      <c r="I270" s="0" t="n">
        <v>0.008922961867715349</v>
      </c>
      <c r="J270" s="0" t="n">
        <v>0</v>
      </c>
      <c r="K270" s="0" t="n">
        <v>-0.00165609811973199</v>
      </c>
      <c r="L270" s="0" t="n">
        <v>0.00469706742617281</v>
      </c>
      <c r="M270" s="0" t="n">
        <v>0.00446569762697901</v>
      </c>
      <c r="N270" s="0" t="n">
        <v>-0.00384469463427183</v>
      </c>
      <c r="O270" s="0" t="n">
        <v>0.00572925575907401</v>
      </c>
      <c r="P270" s="0" t="n">
        <v>-0.0325416757970478</v>
      </c>
      <c r="Q270" s="0" t="n">
        <v>0.00183650229161158</v>
      </c>
      <c r="R270" s="0" t="n">
        <v>-0.0201178393360592</v>
      </c>
      <c r="S270" s="0" t="n">
        <v>-0.00198608029093083</v>
      </c>
      <c r="T270" s="0" t="n">
        <v>0.00777708954790279</v>
      </c>
      <c r="U270" s="0" t="n">
        <v>0.00253736122404202</v>
      </c>
      <c r="V270" s="0" t="n">
        <v>0.0194592005244835</v>
      </c>
      <c r="W270" s="0" t="n">
        <v>-0.0103718983804652</v>
      </c>
      <c r="X270" s="0" t="n">
        <v>-0.0165531304784343</v>
      </c>
    </row>
    <row r="271">
      <c r="A271" s="5" t="n">
        <v>42762</v>
      </c>
      <c r="B271" s="0" t="n">
        <v>-0.00849622768222158</v>
      </c>
      <c r="C271" s="0" t="n">
        <v>-0.00166755677593499</v>
      </c>
      <c r="D271" s="0" t="n">
        <v>-0.0090619001172536</v>
      </c>
      <c r="E271" s="0" t="n">
        <v>-0.00965412865937143</v>
      </c>
      <c r="F271" s="0" t="n">
        <v>-0.0177072143379866</v>
      </c>
      <c r="G271" s="0" t="n">
        <v>0.00716842576963872</v>
      </c>
      <c r="H271" s="0" t="n">
        <v>-0.0125054207998664</v>
      </c>
      <c r="I271" s="0" t="n">
        <v>0.00190172689896428</v>
      </c>
      <c r="J271" s="0" t="n">
        <v>0.00210309828119692</v>
      </c>
      <c r="K271" s="0" t="n">
        <v>-0.039441694956896</v>
      </c>
      <c r="L271" s="0" t="n">
        <v>-0.0343217337351462</v>
      </c>
      <c r="M271" s="0" t="n">
        <v>-0.00350711697445182</v>
      </c>
      <c r="N271" s="0" t="n">
        <v>-0.00579486353040703</v>
      </c>
      <c r="O271" s="0" t="n">
        <v>-0.00453295852418422</v>
      </c>
      <c r="P271" s="0" t="n">
        <v>-0.0257123571068675</v>
      </c>
      <c r="Q271" s="0" t="n">
        <v>-0.00921660244706545</v>
      </c>
      <c r="R271" s="0" t="n">
        <v>0.0118904463402111</v>
      </c>
      <c r="S271" s="0" t="n">
        <v>-0.0120001643488949</v>
      </c>
      <c r="T271" s="0" t="n">
        <v>-0.00485358078922626</v>
      </c>
      <c r="U271" s="0" t="n">
        <v>0.00379406439792351</v>
      </c>
      <c r="V271" s="0" t="n">
        <v>0.0197039859206396</v>
      </c>
      <c r="W271" s="0" t="n">
        <v>-0.00905301847371209</v>
      </c>
      <c r="X271" s="0" t="n">
        <v>-0.0116789538885648</v>
      </c>
    </row>
    <row r="272">
      <c r="A272" s="5" t="n">
        <v>42765</v>
      </c>
      <c r="B272" s="0" t="n">
        <v>-0.00730762987371669</v>
      </c>
      <c r="C272" s="0" t="n">
        <v>-0.008716113063292671</v>
      </c>
      <c r="D272" s="0" t="n">
        <v>0.0307148892325086</v>
      </c>
      <c r="E272" s="0" t="n">
        <v>-0.0008087529002853699</v>
      </c>
      <c r="F272" s="0" t="n">
        <v>-0.0135997433741121</v>
      </c>
      <c r="G272" s="0" t="n">
        <v>0.01065731292806</v>
      </c>
      <c r="H272" s="0" t="n">
        <v>-0.00927102248566136</v>
      </c>
      <c r="I272" s="0" t="n">
        <v>0.0237808524555993</v>
      </c>
      <c r="J272" s="0" t="n">
        <v>-0.00843896118120524</v>
      </c>
      <c r="K272" s="0" t="n">
        <v>0.00573066922809817</v>
      </c>
      <c r="L272" s="0" t="n">
        <v>-0.0126892976284875</v>
      </c>
      <c r="M272" s="0" t="n">
        <v>0.0133250728870426</v>
      </c>
      <c r="N272" s="0" t="n">
        <v>0.00193540390722501</v>
      </c>
      <c r="O272" s="0" t="n">
        <v>0.008097213910726261</v>
      </c>
      <c r="P272" s="0" t="n">
        <v>0.00707829549942262</v>
      </c>
      <c r="Q272" s="0" t="n">
        <v>-0.0018536110807199</v>
      </c>
      <c r="R272" s="0" t="n">
        <v>0.00165086398762159</v>
      </c>
      <c r="S272" s="0" t="n">
        <v>-0.00268636576674774</v>
      </c>
      <c r="T272" s="0" t="n">
        <v>-0.00357435349566381</v>
      </c>
      <c r="U272" s="0" t="n">
        <v>-0.00168448585247471</v>
      </c>
      <c r="V272" s="0" t="n">
        <v>0.00960663960410723</v>
      </c>
      <c r="W272" s="0" t="n">
        <v>0.00444801003537875</v>
      </c>
      <c r="X272" s="0" t="n">
        <v>-0.00662986987230684</v>
      </c>
    </row>
    <row r="273">
      <c r="A273" s="5" t="n">
        <v>42766</v>
      </c>
      <c r="B273" s="0" t="n">
        <v>-0.00131883272427124</v>
      </c>
      <c r="C273" s="0" t="n">
        <v>-0.000336741623527814</v>
      </c>
      <c r="D273" s="0" t="n">
        <v>0.00737246700802352</v>
      </c>
      <c r="E273" s="0" t="n">
        <v>-0.00324149091801029</v>
      </c>
      <c r="F273" s="0" t="n">
        <v>0.0109818809239339</v>
      </c>
      <c r="G273" s="0" t="n">
        <v>-0.0154305873349698</v>
      </c>
      <c r="H273" s="0" t="n">
        <v>0.0126211061599907</v>
      </c>
      <c r="I273" s="0" t="n">
        <v>-0.0130720838954316</v>
      </c>
      <c r="J273" s="0" t="n">
        <v>0.0105375457550738</v>
      </c>
      <c r="K273" s="0" t="n">
        <v>0.011363747874334</v>
      </c>
      <c r="L273" s="0" t="n">
        <v>0.0290435941128044</v>
      </c>
      <c r="M273" s="0" t="n">
        <v>-0.00189272820868557</v>
      </c>
      <c r="N273" s="0" t="n">
        <v>-0.0136268558198997</v>
      </c>
      <c r="O273" s="0" t="n">
        <v>-0.00237469768853504</v>
      </c>
      <c r="P273" s="0" t="n">
        <v>-0.00392620765139373</v>
      </c>
      <c r="Q273" s="0" t="n">
        <v>0.0165597442903433</v>
      </c>
      <c r="R273" s="0" t="n">
        <v>-0.0107157084096058</v>
      </c>
      <c r="S273" s="0" t="n">
        <v>0.0304659351309792</v>
      </c>
      <c r="T273" s="0" t="n">
        <v>-0.00718720231436353</v>
      </c>
      <c r="U273" s="0" t="n">
        <v>0.00294591059540305</v>
      </c>
      <c r="V273" s="0" t="n">
        <v>0.00264095769765759</v>
      </c>
      <c r="W273" s="0" t="n">
        <v>-0.00748403310309075</v>
      </c>
      <c r="X273" s="0" t="n">
        <v>-0.00221973700225897</v>
      </c>
    </row>
    <row r="274">
      <c r="A274" s="5" t="n">
        <v>42767</v>
      </c>
      <c r="B274" s="0" t="n">
        <v>0.00166255978319718</v>
      </c>
      <c r="C274" s="0" t="n">
        <v>-0.0003368550566476</v>
      </c>
      <c r="D274" s="0" t="n">
        <v>-0.00270984213011526</v>
      </c>
      <c r="E274" s="0" t="n">
        <v>-0.00325203236063265</v>
      </c>
      <c r="F274" s="0" t="n">
        <v>-0.00745454366904763</v>
      </c>
      <c r="G274" s="0" t="n">
        <v>0.0195445923931032</v>
      </c>
      <c r="H274" s="0" t="n">
        <v>0.00583583535231824</v>
      </c>
      <c r="I274" s="0" t="n">
        <v>0.027195717157979</v>
      </c>
      <c r="J274" s="0" t="n">
        <v>-0.0042016828550655</v>
      </c>
      <c r="K274" s="0" t="n">
        <v>0</v>
      </c>
      <c r="L274" s="0" t="n">
        <v>-0.0057415915660588</v>
      </c>
      <c r="M274" s="0" t="n">
        <v>0.00189272820868557</v>
      </c>
      <c r="N274" s="0" t="n">
        <v>-0.009848415142576171</v>
      </c>
      <c r="O274" s="0" t="n">
        <v>-0.0211444939148943</v>
      </c>
      <c r="P274" s="0" t="n">
        <v>0.00157228840717627</v>
      </c>
      <c r="Q274" s="0" t="n">
        <v>-0.00548953076255798</v>
      </c>
      <c r="R274" s="0" t="n">
        <v>-0.041506227198238</v>
      </c>
      <c r="S274" s="0" t="n">
        <v>0.00390628225200995</v>
      </c>
      <c r="T274" s="0" t="n">
        <v>0.0220501898038136</v>
      </c>
      <c r="U274" s="0" t="n">
        <v>0.000840066699248964</v>
      </c>
      <c r="V274" s="0" t="n">
        <v>0.0242520969897261</v>
      </c>
      <c r="W274" s="0" t="n">
        <v>-0.00286584196915562</v>
      </c>
      <c r="X274" s="0" t="n">
        <v>-0.0194471522226695</v>
      </c>
    </row>
    <row r="275">
      <c r="A275" s="5" t="n">
        <v>42768</v>
      </c>
      <c r="B275" s="0" t="n">
        <v>0.00707768628496996</v>
      </c>
      <c r="C275" s="0" t="n">
        <v>0.000673596680175414</v>
      </c>
      <c r="D275" s="0" t="n">
        <v>-0.00206953934779363</v>
      </c>
      <c r="E275" s="0" t="n">
        <v>0.0225452934750456</v>
      </c>
      <c r="F275" s="0" t="n">
        <v>0.024778559575262</v>
      </c>
      <c r="G275" s="0" t="n">
        <v>-0.00234873911885014</v>
      </c>
      <c r="H275" s="0" t="n">
        <v>0.0132124002399542</v>
      </c>
      <c r="I275" s="0" t="n">
        <v>-0.00734390881816748</v>
      </c>
      <c r="J275" s="0" t="n">
        <v>0.0104713396037243</v>
      </c>
      <c r="K275" s="0" t="n">
        <v>-0.00566573217830035</v>
      </c>
      <c r="L275" s="0" t="n">
        <v>-0.06851319449580991</v>
      </c>
      <c r="M275" s="0" t="n">
        <v>0.011281868708501</v>
      </c>
      <c r="N275" s="0" t="n">
        <v>0.00631414277925967</v>
      </c>
      <c r="O275" s="0" t="n">
        <v>0.00169840377026986</v>
      </c>
      <c r="P275" s="0" t="n">
        <v>-0.0150378444471228</v>
      </c>
      <c r="Q275" s="0" t="n">
        <v>0.0073126401528285</v>
      </c>
      <c r="R275" s="0" t="n">
        <v>0.008784776624214169</v>
      </c>
      <c r="S275" s="0" t="n">
        <v>0.0212158338286667</v>
      </c>
      <c r="T275" s="0" t="n">
        <v>0.00447998796162396</v>
      </c>
      <c r="U275" s="0" t="n">
        <v>0.0005596882331522219</v>
      </c>
      <c r="V275" s="0" t="n">
        <v>0.00552921595616462</v>
      </c>
      <c r="W275" s="0" t="n">
        <v>0.0268995240586171</v>
      </c>
      <c r="X275" s="0" t="n">
        <v>0.0275622582158883</v>
      </c>
    </row>
    <row r="276">
      <c r="A276" s="5" t="n">
        <v>42769</v>
      </c>
      <c r="B276" s="0" t="n">
        <v>0.000227441341007939</v>
      </c>
      <c r="C276" s="0" t="n">
        <v>-0.00134771427807978</v>
      </c>
      <c r="D276" s="0" t="n">
        <v>0.0077389584497558</v>
      </c>
      <c r="E276" s="0" t="n">
        <v>-0.00318979221447968</v>
      </c>
      <c r="F276" s="0" t="n">
        <v>-0.00732604310294071</v>
      </c>
      <c r="G276" s="0" t="n">
        <v>-0.00974758376754847</v>
      </c>
      <c r="H276" s="0" t="n">
        <v>-0.00658437933868061</v>
      </c>
      <c r="I276" s="0" t="n">
        <v>0.0326312336495404</v>
      </c>
      <c r="J276" s="0" t="n">
        <v>-0.0041753672539504</v>
      </c>
      <c r="K276" s="0" t="n">
        <v>0.00961271763387439</v>
      </c>
      <c r="L276" s="0" t="n">
        <v>-0.0176260781950174</v>
      </c>
      <c r="M276" s="0" t="n">
        <v>0.00435322174755192</v>
      </c>
      <c r="N276" s="0" t="n">
        <v>-0.0146624716884349</v>
      </c>
      <c r="O276" s="0" t="n">
        <v>-0.00461666774394542</v>
      </c>
      <c r="P276" s="0" t="n">
        <v>-0.0193242542774805</v>
      </c>
      <c r="Q276" s="0" t="n">
        <v>-0.00547941708731936</v>
      </c>
      <c r="R276" s="0" t="n">
        <v>0.008051262593887989</v>
      </c>
      <c r="S276" s="0" t="n">
        <v>0.00254129496506649</v>
      </c>
      <c r="T276" s="0" t="n">
        <v>-0.000638788207758977</v>
      </c>
      <c r="U276" s="0" t="n">
        <v>-0.00280147192539725</v>
      </c>
      <c r="V276" s="0" t="n">
        <v>0.00510710473650322</v>
      </c>
      <c r="W276" s="0" t="n">
        <v>-0.0126517453281298</v>
      </c>
      <c r="X276" s="0" t="n">
        <v>-0.00589536899095977</v>
      </c>
    </row>
    <row r="277">
      <c r="A277" s="5" t="n">
        <v>42772</v>
      </c>
      <c r="B277" s="0" t="n">
        <v>0.0146762966716131</v>
      </c>
      <c r="C277" s="0" t="n">
        <v>-0.00337722008631979</v>
      </c>
      <c r="D277" s="0" t="n">
        <v>-0.00167176640019306</v>
      </c>
      <c r="E277" s="0" t="n">
        <v>-0.0144813713919966</v>
      </c>
      <c r="F277" s="0" t="n">
        <v>-0.00956118620107115</v>
      </c>
      <c r="G277" s="0" t="n">
        <v>-0.0182720911480824</v>
      </c>
      <c r="H277" s="0" t="n">
        <v>0.0147543513072077</v>
      </c>
      <c r="I277" s="0" t="n">
        <v>-0.00596306981193661</v>
      </c>
      <c r="J277" s="0" t="n">
        <v>-0.0126318352497822</v>
      </c>
      <c r="K277" s="0" t="n">
        <v>0.0402591307123934</v>
      </c>
      <c r="L277" s="0" t="n">
        <v>0.00729546673755709</v>
      </c>
      <c r="M277" s="0" t="n">
        <v>-0.00466484154823909</v>
      </c>
      <c r="N277" s="0" t="n">
        <v>-0.00680956293447643</v>
      </c>
      <c r="O277" s="0" t="n">
        <v>0.00146015013459965</v>
      </c>
      <c r="P277" s="0" t="n">
        <v>-0.0372713781125932</v>
      </c>
      <c r="Q277" s="0" t="n">
        <v>-0.0129034365932945</v>
      </c>
      <c r="R277" s="0" t="n">
        <v>0.00380504185319274</v>
      </c>
      <c r="S277" s="0" t="n">
        <v>-0.00254129496506649</v>
      </c>
      <c r="T277" s="0" t="n">
        <v>0.00478093423421066</v>
      </c>
      <c r="U277" s="0" t="n">
        <v>0.0126839256588313</v>
      </c>
      <c r="V277" s="0" t="n">
        <v>0.0120741277400173</v>
      </c>
      <c r="W277" s="0" t="n">
        <v>-0.00372042391414861</v>
      </c>
      <c r="X277" s="0" t="n">
        <v>-0.00370235092121173</v>
      </c>
    </row>
    <row r="278">
      <c r="A278" s="5" t="n">
        <v>42773</v>
      </c>
      <c r="B278" s="0" t="n">
        <v>-0.0129150965477684</v>
      </c>
      <c r="C278" s="0" t="n">
        <v>-0.00440753388022319</v>
      </c>
      <c r="D278" s="0" t="n">
        <v>0.00526287933876723</v>
      </c>
      <c r="E278" s="0" t="n">
        <v>0.00323624565791735</v>
      </c>
      <c r="F278" s="0" t="n">
        <v>-0.0100944260172752</v>
      </c>
      <c r="G278" s="0" t="n">
        <v>-0.00728163627717615</v>
      </c>
      <c r="H278" s="0" t="n">
        <v>0.0367453123316035</v>
      </c>
      <c r="I278" s="0" t="n">
        <v>0.013072154161092</v>
      </c>
      <c r="J278" s="0" t="n">
        <v>-0.00424628701241536</v>
      </c>
      <c r="K278" s="0" t="n">
        <v>0.037139511710224</v>
      </c>
      <c r="L278" s="0" t="n">
        <v>0.0144332752148734</v>
      </c>
      <c r="M278" s="0" t="n">
        <v>0.00186850124288628</v>
      </c>
      <c r="N278" s="0" t="n">
        <v>-0.0182523363782376</v>
      </c>
      <c r="O278" s="0" t="n">
        <v>0.00218632796323614</v>
      </c>
      <c r="P278" s="0" t="n">
        <v>-0.00422835213708738</v>
      </c>
      <c r="Q278" s="0" t="n">
        <v>0</v>
      </c>
      <c r="R278" s="0" t="n">
        <v>0.008735933667134431</v>
      </c>
      <c r="S278" s="0" t="n">
        <v>-0.00254776960262281</v>
      </c>
      <c r="T278" s="0" t="n">
        <v>-0.00573982129643679</v>
      </c>
      <c r="U278" s="0" t="n">
        <v>-0.000692697262083541</v>
      </c>
      <c r="V278" s="0" t="n">
        <v>0.00655993386742803</v>
      </c>
      <c r="W278" s="0" t="n">
        <v>-0.0126821218690196</v>
      </c>
      <c r="X278" s="0" t="n">
        <v>-0.00595239303645556</v>
      </c>
    </row>
    <row r="279">
      <c r="A279" s="5" t="n">
        <v>42774</v>
      </c>
      <c r="B279" s="0" t="n">
        <v>0.00588608032838777</v>
      </c>
      <c r="C279" s="0" t="n">
        <v>0.00542192484976133</v>
      </c>
      <c r="D279" s="0" t="n">
        <v>-0.00526287933876723</v>
      </c>
      <c r="E279" s="0" t="n">
        <v>0</v>
      </c>
      <c r="F279" s="0" t="n">
        <v>0.0196556122183464</v>
      </c>
      <c r="G279" s="0" t="n">
        <v>0.0195996476939281</v>
      </c>
      <c r="H279" s="0" t="n">
        <v>-0.00392933070461687</v>
      </c>
      <c r="I279" s="0" t="n">
        <v>-0.00651471708082818</v>
      </c>
      <c r="J279" s="0" t="n">
        <v>0.00212544799334502</v>
      </c>
      <c r="K279" s="0" t="n">
        <v>0.0155042333408945</v>
      </c>
      <c r="L279" s="0" t="n">
        <v>0.0192605625178243</v>
      </c>
      <c r="M279" s="0" t="n">
        <v>0.00743963991740725</v>
      </c>
      <c r="N279" s="0" t="n">
        <v>-0.000409425954695841</v>
      </c>
      <c r="O279" s="0" t="n">
        <v>0.00242371151764153</v>
      </c>
      <c r="P279" s="0" t="n">
        <v>0.0655972965972169</v>
      </c>
      <c r="Q279" s="0" t="n">
        <v>-0.00931967860352966</v>
      </c>
      <c r="R279" s="0" t="n">
        <v>0.00362834123518496</v>
      </c>
      <c r="S279" s="0" t="n">
        <v>-0.00127635356614463</v>
      </c>
      <c r="T279" s="0" t="n">
        <v>0.00732835972276868</v>
      </c>
      <c r="U279" s="0" t="n">
        <v>0.00470128547489157</v>
      </c>
      <c r="V279" s="0" t="n">
        <v>-0.00946778758919508</v>
      </c>
      <c r="W279" s="0" t="n">
        <v>0.0195805199817646</v>
      </c>
      <c r="X279" s="0" t="n">
        <v>0.0111318829131081</v>
      </c>
    </row>
    <row r="280">
      <c r="A280" s="5" t="n">
        <v>42775</v>
      </c>
      <c r="B280" s="0" t="n">
        <v>0.00826094761945839</v>
      </c>
      <c r="C280" s="0" t="n">
        <v>0.00438375339232699</v>
      </c>
      <c r="D280" s="0" t="n">
        <v>0.00115768189046061</v>
      </c>
      <c r="E280" s="0" t="n">
        <v>0.0104460662742638</v>
      </c>
      <c r="F280" s="0" t="n">
        <v>-0.00173164176892948</v>
      </c>
      <c r="G280" s="0" t="n">
        <v>-0.000298704976034791</v>
      </c>
      <c r="H280" s="0" t="n">
        <v>0.0148498656932942</v>
      </c>
      <c r="I280" s="0" t="n">
        <v>0.0100503403867127</v>
      </c>
      <c r="J280" s="0" t="n">
        <v>0.00423729040881992</v>
      </c>
      <c r="K280" s="0" t="n">
        <v>-0.00102621530766144</v>
      </c>
      <c r="L280" s="0" t="n">
        <v>0.0489813868571911</v>
      </c>
      <c r="M280" s="0" t="n">
        <v>-0.000927007457279582</v>
      </c>
      <c r="N280" s="0" t="n">
        <v>0.00286238981134712</v>
      </c>
      <c r="O280" s="0" t="n">
        <v>0.00169306347752939</v>
      </c>
      <c r="P280" s="0" t="n">
        <v>0.0157483415939254</v>
      </c>
      <c r="Q280" s="0" t="n">
        <v>0.0222231151968241</v>
      </c>
      <c r="R280" s="0" t="n">
        <v>0.0156574200894192</v>
      </c>
      <c r="S280" s="0" t="n">
        <v>-0.0115608422285742</v>
      </c>
      <c r="T280" s="0" t="n">
        <v>0.00031741720138001</v>
      </c>
      <c r="U280" s="0" t="n">
        <v>-0.000966112789805073</v>
      </c>
      <c r="V280" s="0" t="n">
        <v>0.00271429411608448</v>
      </c>
      <c r="W280" s="0" t="n">
        <v>0.00228895368782922</v>
      </c>
      <c r="X280" s="0" t="n">
        <v>0.00515273091686596</v>
      </c>
    </row>
    <row r="281">
      <c r="A281" s="5" t="n">
        <v>42776</v>
      </c>
      <c r="B281" s="0" t="n">
        <v>0.00379850723357666</v>
      </c>
      <c r="C281" s="0" t="n">
        <v>0.0107095815395403</v>
      </c>
      <c r="D281" s="0" t="n">
        <v>-0.000257190445939414</v>
      </c>
      <c r="E281" s="0" t="n">
        <v>0.00398885167429519</v>
      </c>
      <c r="F281" s="0" t="n">
        <v>0.0137695677272615</v>
      </c>
      <c r="G281" s="0" t="n">
        <v>-0.00809722412769087</v>
      </c>
      <c r="H281" s="0" t="n">
        <v>-0.00857030391559465</v>
      </c>
      <c r="I281" s="0" t="n">
        <v>-0.014218235345845</v>
      </c>
      <c r="J281" s="0" t="n">
        <v>0.00632250979145565</v>
      </c>
      <c r="K281" s="0" t="n">
        <v>0.015283074139952</v>
      </c>
      <c r="L281" s="0" t="n">
        <v>0.0807778494716129</v>
      </c>
      <c r="M281" s="0" t="n">
        <v>0.00800503473883607</v>
      </c>
      <c r="N281" s="0" t="n">
        <v>0.00529429322562657</v>
      </c>
      <c r="O281" s="0" t="n">
        <v>-0.0177988245989357</v>
      </c>
      <c r="P281" s="0" t="n">
        <v>-0.0109977811634585</v>
      </c>
      <c r="Q281" s="0" t="n">
        <v>0.00182978133426225</v>
      </c>
      <c r="R281" s="0" t="n">
        <v>0.00216241480389101</v>
      </c>
      <c r="S281" s="0" t="n">
        <v>0.0128371957947188</v>
      </c>
      <c r="T281" s="0" t="n">
        <v>0.014492978560975</v>
      </c>
      <c r="U281" s="0" t="n">
        <v>-0.00526094603731586</v>
      </c>
      <c r="V281" s="0" t="n">
        <v>0.00733022673237027</v>
      </c>
      <c r="W281" s="0" t="n">
        <v>0.00386170773023764</v>
      </c>
      <c r="X281" s="0" t="n">
        <v>0.0138537054872398</v>
      </c>
    </row>
    <row r="282">
      <c r="A282" s="5" t="n">
        <v>42779</v>
      </c>
      <c r="B282" s="0" t="n">
        <v>0.00428387681583419</v>
      </c>
      <c r="C282" s="0" t="n">
        <v>0.007957632029476081</v>
      </c>
      <c r="D282" s="0" t="n">
        <v>0.013284151845216</v>
      </c>
      <c r="E282" s="0" t="n">
        <v>0.0071399905687941</v>
      </c>
      <c r="F282" s="0" t="n">
        <v>0.0278146822880938</v>
      </c>
      <c r="G282" s="0" t="n">
        <v>-0.00422449005530811</v>
      </c>
      <c r="H282" s="0" t="n">
        <v>0.0108950384889419</v>
      </c>
      <c r="I282" s="0" t="n">
        <v>-0.00838826878767928</v>
      </c>
      <c r="J282" s="0" t="n">
        <v>-0.00421062890807011</v>
      </c>
      <c r="K282" s="0" t="n">
        <v>-0.009141763155966371</v>
      </c>
      <c r="L282" s="0" t="n">
        <v>-0.0160003684749132</v>
      </c>
      <c r="M282" s="0" t="n">
        <v>0.0042839535633341</v>
      </c>
      <c r="N282" s="0" t="n">
        <v>-0.00325467825345482</v>
      </c>
      <c r="O282" s="0" t="n">
        <v>0.00245696615605606</v>
      </c>
      <c r="P282" s="0" t="n">
        <v>0.0156742874492508</v>
      </c>
      <c r="Q282" s="0" t="n">
        <v>0.023488002633504</v>
      </c>
      <c r="R282" s="0" t="n">
        <v>-0.000381251580238384</v>
      </c>
      <c r="S282" s="0" t="n">
        <v>-0.00639799883931635</v>
      </c>
      <c r="T282" s="0" t="n">
        <v>0.0105788807460545</v>
      </c>
      <c r="U282" s="0" t="n">
        <v>-0.00222350931165227</v>
      </c>
      <c r="V282" s="0" t="n">
        <v>0.0317787350309286</v>
      </c>
      <c r="W282" s="0" t="n">
        <v>0.0156442909109308</v>
      </c>
      <c r="X282" s="0" t="n">
        <v>0.0221992261540258</v>
      </c>
    </row>
    <row r="283">
      <c r="A283" s="5" t="n">
        <v>42780</v>
      </c>
      <c r="B283" s="0" t="n">
        <v>0.00856801794083583</v>
      </c>
      <c r="C283" s="0" t="n">
        <v>0.00230904868053016</v>
      </c>
      <c r="D283" s="0" t="n">
        <v>0.018106900622949</v>
      </c>
      <c r="E283" s="0" t="n">
        <v>-0.00158223959438075</v>
      </c>
      <c r="F283" s="0" t="n">
        <v>0.0213824126843613</v>
      </c>
      <c r="G283" s="0" t="n">
        <v>0.0132173338951577</v>
      </c>
      <c r="H283" s="0" t="n">
        <v>0.0453935280375974</v>
      </c>
      <c r="I283" s="0" t="n">
        <v>0.00240378765706772</v>
      </c>
      <c r="J283" s="0" t="n">
        <v>0.0291081558963866</v>
      </c>
      <c r="K283" s="0" t="n">
        <v>0</v>
      </c>
      <c r="L283" s="0" t="n">
        <v>-0.00449037053101486</v>
      </c>
      <c r="M283" s="0" t="n">
        <v>0.0229408895794223</v>
      </c>
      <c r="N283" s="0" t="n">
        <v>-0.00572135992516642</v>
      </c>
      <c r="O283" s="0" t="n">
        <v>0.009038755484472629</v>
      </c>
      <c r="P283" s="0" t="n">
        <v>-0.00702298622127495</v>
      </c>
      <c r="Q283" s="0" t="n">
        <v>0.0419642422569939</v>
      </c>
      <c r="R283" s="0" t="n">
        <v>0.009362485957576709</v>
      </c>
      <c r="S283" s="0" t="n">
        <v>0.0146546422169144</v>
      </c>
      <c r="T283" s="0" t="n">
        <v>0.0156612540234779</v>
      </c>
      <c r="U283" s="0" t="n">
        <v>0.00402639800807058</v>
      </c>
      <c r="V283" s="0" t="n">
        <v>0.0242792820175488</v>
      </c>
      <c r="W283" s="0" t="n">
        <v>0.009782961414853899</v>
      </c>
      <c r="X283" s="0" t="n">
        <v>0.0070572191932765</v>
      </c>
    </row>
    <row r="284">
      <c r="A284" s="5" t="n">
        <v>42781</v>
      </c>
      <c r="B284" s="0" t="n">
        <v>-0.00137699347078168</v>
      </c>
      <c r="C284" s="0" t="n">
        <v>0.00328952183282327</v>
      </c>
      <c r="D284" s="0" t="n">
        <v>-0.0026202408562197</v>
      </c>
      <c r="E284" s="0" t="n">
        <v>-0.00715141326068691</v>
      </c>
      <c r="F284" s="0" t="n">
        <v>0</v>
      </c>
      <c r="G284" s="0" t="n">
        <v>0.01275036768308</v>
      </c>
      <c r="H284" s="0" t="n">
        <v>-0.0231959838787703</v>
      </c>
      <c r="I284" s="0" t="n">
        <v>0.0588576630695558</v>
      </c>
      <c r="J284" s="0" t="n">
        <v>0.00612866741340201</v>
      </c>
      <c r="K284" s="0" t="n">
        <v>0.0101523616343508</v>
      </c>
      <c r="L284" s="0" t="n">
        <v>-0.0227592898571242</v>
      </c>
      <c r="M284" s="0" t="n">
        <v>0.0032772445495528</v>
      </c>
      <c r="N284" s="0" t="n">
        <v>-0.00493012219356137</v>
      </c>
      <c r="O284" s="0" t="n">
        <v>0.00315651760934576</v>
      </c>
      <c r="P284" s="0" t="n">
        <v>-0.0269857758170792</v>
      </c>
      <c r="Q284" s="0" t="n">
        <v>-0.00515026195299506</v>
      </c>
      <c r="R284" s="0" t="n">
        <v>0.000503503548080708</v>
      </c>
      <c r="S284" s="0" t="n">
        <v>-0.00126585191094452</v>
      </c>
      <c r="T284" s="0" t="n">
        <v>0.0234879451926199</v>
      </c>
      <c r="U284" s="0" t="n">
        <v>0.00745449235770312</v>
      </c>
      <c r="V284" s="0" t="n">
        <v>-0.0137226564115002</v>
      </c>
      <c r="W284" s="0" t="n">
        <v>-0.0073712566888382</v>
      </c>
      <c r="X284" s="0" t="n">
        <v>-0.00352238406671467</v>
      </c>
    </row>
    <row r="285">
      <c r="A285" s="5" t="n">
        <v>42782</v>
      </c>
      <c r="B285" s="0" t="n">
        <v>-0.00419771136164559</v>
      </c>
      <c r="C285" s="0" t="n">
        <v>-0.0026307250940416</v>
      </c>
      <c r="D285" s="0" t="n">
        <v>0.00436326159358291</v>
      </c>
      <c r="E285" s="0" t="n">
        <v>0.00318471304484146</v>
      </c>
      <c r="F285" s="0" t="n">
        <v>-0.0024439712969837</v>
      </c>
      <c r="G285" s="0" t="n">
        <v>0.00206033032318453</v>
      </c>
      <c r="H285" s="0" t="n">
        <v>-0.00759881373753179</v>
      </c>
      <c r="I285" s="0" t="n">
        <v>-0.0159729973809716</v>
      </c>
      <c r="J285" s="0" t="n">
        <v>0.00609143205345463</v>
      </c>
      <c r="K285" s="0" t="n">
        <v>0.0150378629868183</v>
      </c>
      <c r="L285" s="0" t="n">
        <v>0.0100780157365956</v>
      </c>
      <c r="M285" s="0" t="n">
        <v>0</v>
      </c>
      <c r="N285" s="0" t="n">
        <v>0</v>
      </c>
      <c r="O285" s="0" t="n">
        <v>0.00556025954486827</v>
      </c>
      <c r="P285" s="0" t="n">
        <v>-0.00645683611194813</v>
      </c>
      <c r="Q285" s="0" t="n">
        <v>-0.0156117923032792</v>
      </c>
      <c r="R285" s="0" t="n">
        <v>0.00301628347427485</v>
      </c>
      <c r="S285" s="0" t="n">
        <v>0.00126585191094452</v>
      </c>
      <c r="T285" s="0" t="n">
        <v>0.00415810530881577</v>
      </c>
      <c r="U285" s="0" t="n">
        <v>0.00356950043588977</v>
      </c>
      <c r="V285" s="0" t="n">
        <v>0.00569490611116396</v>
      </c>
      <c r="W285" s="0" t="n">
        <v>-0.000516285693134221</v>
      </c>
      <c r="X285" s="0" t="n">
        <v>-0.00282685429119622</v>
      </c>
    </row>
    <row r="286">
      <c r="A286" s="5" t="n">
        <v>42783</v>
      </c>
      <c r="B286" s="0" t="n">
        <v>-0.00227192999633096</v>
      </c>
      <c r="C286" s="0" t="n">
        <v>0.00492689731159234</v>
      </c>
      <c r="D286" s="0" t="n">
        <v>-0.000373235205538335</v>
      </c>
      <c r="E286" s="0" t="n">
        <v>0.008706003451981021</v>
      </c>
      <c r="F286" s="0" t="n">
        <v>0.0105477741736597</v>
      </c>
      <c r="G286" s="0" t="n">
        <v>0.00615575446931204</v>
      </c>
      <c r="H286" s="0" t="n">
        <v>0.00608366332822285</v>
      </c>
      <c r="I286" s="0" t="n">
        <v>-0.0174017872123544</v>
      </c>
      <c r="J286" s="0" t="n">
        <v>0.0200407317315134</v>
      </c>
      <c r="K286" s="0" t="n">
        <v>0.0428498162850734</v>
      </c>
      <c r="L286" s="0" t="n">
        <v>0.0489203963753031</v>
      </c>
      <c r="M286" s="0" t="n">
        <v>0</v>
      </c>
      <c r="N286" s="0" t="n">
        <v>0.0159349391622556</v>
      </c>
      <c r="O286" s="0" t="n">
        <v>0.00600891130824887</v>
      </c>
      <c r="P286" s="0" t="n">
        <v>-0.0138608066249892</v>
      </c>
      <c r="Q286" s="0" t="n">
        <v>0.0138891817257698</v>
      </c>
      <c r="R286" s="0" t="n">
        <v>0.00087801439086288</v>
      </c>
      <c r="S286" s="0" t="n">
        <v>0.0249856015058123</v>
      </c>
      <c r="T286" s="0" t="n">
        <v>0.0114926673491995</v>
      </c>
      <c r="U286" s="0" t="n">
        <v>0.009275749120250859</v>
      </c>
      <c r="V286" s="0" t="n">
        <v>0.00347442296236666</v>
      </c>
      <c r="W286" s="0" t="n">
        <v>0.00275055781461919</v>
      </c>
      <c r="X286" s="0" t="n">
        <v>0.00423725680507347</v>
      </c>
    </row>
    <row r="287">
      <c r="A287" s="5" t="n">
        <v>42787</v>
      </c>
      <c r="B287" s="0" t="n">
        <v>0.00492516099322504</v>
      </c>
      <c r="C287" s="0" t="n">
        <v>-0.00624485968643018</v>
      </c>
      <c r="D287" s="0" t="n">
        <v>0.008796427693316559</v>
      </c>
      <c r="E287" s="0" t="n">
        <v>-0.00157724830490479</v>
      </c>
      <c r="F287" s="0" t="n">
        <v>0.000403479067753842</v>
      </c>
      <c r="G287" s="0" t="n">
        <v>-0.0293572355453712</v>
      </c>
      <c r="H287" s="0" t="n">
        <v>0.008305114652697119</v>
      </c>
      <c r="I287" s="0" t="n">
        <v>-0.011771811373141</v>
      </c>
      <c r="J287" s="0" t="n">
        <v>0.0215906586791589</v>
      </c>
      <c r="K287" s="0" t="n">
        <v>0.00948772797648223</v>
      </c>
      <c r="L287" s="0" t="n">
        <v>-0.024605870901782</v>
      </c>
      <c r="M287" s="0" t="n">
        <v>-0.000892688043376388</v>
      </c>
      <c r="N287" s="0" t="n">
        <v>0.00646466281357804</v>
      </c>
      <c r="O287" s="0" t="n">
        <v>-0.00336052621012683</v>
      </c>
      <c r="P287" s="0" t="n">
        <v>-0.0600603329153259</v>
      </c>
      <c r="Q287" s="0" t="n">
        <v>0.0187878551617182</v>
      </c>
      <c r="R287" s="0" t="n">
        <v>0.0050025305847372</v>
      </c>
      <c r="S287" s="0" t="n">
        <v>0.00430912348322243</v>
      </c>
      <c r="T287" s="0" t="n">
        <v>-0.00117270358826759</v>
      </c>
      <c r="U287" s="0" t="n">
        <v>-0.0006791586238348299</v>
      </c>
      <c r="V287" s="0" t="n">
        <v>0.0103514900356289</v>
      </c>
      <c r="W287" s="0" t="n">
        <v>0.00188664166716367</v>
      </c>
      <c r="X287" s="0" t="n">
        <v>0</v>
      </c>
    </row>
    <row r="288">
      <c r="A288" s="5" t="n">
        <v>42788</v>
      </c>
      <c r="B288" s="0" t="n">
        <v>0.00275634141886627</v>
      </c>
      <c r="C288" s="0" t="n">
        <v>-0.0102734852774735</v>
      </c>
      <c r="D288" s="0" t="n">
        <v>0.0180912320994686</v>
      </c>
      <c r="E288" s="0" t="n">
        <v>-0.00871980590564414</v>
      </c>
      <c r="F288" s="0" t="n">
        <v>-0.00850728194442984</v>
      </c>
      <c r="G288" s="0" t="n">
        <v>-0.00724853247235168</v>
      </c>
      <c r="H288" s="0" t="n">
        <v>-0.0136262384310676</v>
      </c>
      <c r="I288" s="0" t="n">
        <v>-0.004153058281672</v>
      </c>
      <c r="J288" s="0" t="n">
        <v>-0.0156558817322414</v>
      </c>
      <c r="K288" s="0" t="n">
        <v>-0.0326324916979243</v>
      </c>
      <c r="L288" s="0" t="n">
        <v>-0.0445730695287207</v>
      </c>
      <c r="M288" s="0" t="n">
        <v>0.0138953073874414</v>
      </c>
      <c r="N288" s="0" t="n">
        <v>-0.0048446134977893</v>
      </c>
      <c r="O288" s="0" t="n">
        <v>0.00861869367641077</v>
      </c>
      <c r="P288" s="0" t="n">
        <v>-0.00699914682034519</v>
      </c>
      <c r="Q288" s="0" t="n">
        <v>-0.0050890242261361</v>
      </c>
      <c r="R288" s="0" t="n">
        <v>0.00869458873932504</v>
      </c>
      <c r="S288" s="0" t="n">
        <v>-0.0167238614468328</v>
      </c>
      <c r="T288" s="0" t="n">
        <v>-0.00146776002503656</v>
      </c>
      <c r="U288" s="0" t="n">
        <v>0.0116170511462314</v>
      </c>
      <c r="V288" s="0" t="n">
        <v>0.00755946702270105</v>
      </c>
      <c r="W288" s="0" t="n">
        <v>0.00222509403860549</v>
      </c>
      <c r="X288" s="0" t="n">
        <v>-0.000704918975108714</v>
      </c>
    </row>
    <row r="289">
      <c r="A289" s="5" t="n">
        <v>42789</v>
      </c>
      <c r="B289" s="0" t="n">
        <v>-0.00165282568188285</v>
      </c>
      <c r="C289" s="0" t="n">
        <v>0.00564692248181897</v>
      </c>
      <c r="D289" s="0" t="n">
        <v>0.00386894066947629</v>
      </c>
      <c r="E289" s="0" t="n">
        <v>-0.0071914133433828</v>
      </c>
      <c r="F289" s="0" t="n">
        <v>-0.0143415850979851</v>
      </c>
      <c r="G289" s="0" t="n">
        <v>0.0090525429699686</v>
      </c>
      <c r="H289" s="0" t="n">
        <v>-0.023911699695823</v>
      </c>
      <c r="I289" s="0" t="n">
        <v>-0.0149748233800726</v>
      </c>
      <c r="J289" s="0" t="n">
        <v>0.00981356523832333</v>
      </c>
      <c r="K289" s="0" t="n">
        <v>-0.0297051263612331</v>
      </c>
      <c r="L289" s="0" t="n">
        <v>-0.0216275037504516</v>
      </c>
      <c r="M289" s="0" t="n">
        <v>0.00585472834964617</v>
      </c>
      <c r="N289" s="0" t="n">
        <v>-0.00527488191564851</v>
      </c>
      <c r="O289" s="0" t="n">
        <v>0.00972608404179187</v>
      </c>
      <c r="P289" s="0" t="n">
        <v>-0.0177153227769872</v>
      </c>
      <c r="Q289" s="0" t="n">
        <v>-0.0293377510246268</v>
      </c>
      <c r="R289" s="0" t="n">
        <v>0.00763836079720814</v>
      </c>
      <c r="S289" s="0" t="n">
        <v>0</v>
      </c>
      <c r="T289" s="0" t="n">
        <v>0.00819193512688754</v>
      </c>
      <c r="U289" s="0" t="n">
        <v>-0.000402965677020361</v>
      </c>
      <c r="V289" s="0" t="n">
        <v>0.0119420040432132</v>
      </c>
      <c r="W289" s="0" t="n">
        <v>-0.0116940333019446</v>
      </c>
      <c r="X289" s="0" t="n">
        <v>0</v>
      </c>
    </row>
    <row r="290">
      <c r="A290" s="5" t="n">
        <v>42790</v>
      </c>
      <c r="B290" s="0" t="n">
        <v>-0.0108109837820418</v>
      </c>
      <c r="C290" s="0" t="n">
        <v>-0.00831537984781993</v>
      </c>
      <c r="D290" s="0" t="n">
        <v>0.00229006080511062</v>
      </c>
      <c r="E290" s="0" t="n">
        <v>0.0151216235576319</v>
      </c>
      <c r="F290" s="0" t="n">
        <v>0.0139346581764203</v>
      </c>
      <c r="G290" s="0" t="n">
        <v>-0.0326696634531749</v>
      </c>
      <c r="H290" s="0" t="n">
        <v>0.00855042972467545</v>
      </c>
      <c r="I290" s="0" t="n">
        <v>-0.0337558428063795</v>
      </c>
      <c r="J290" s="0" t="n">
        <v>0.0116506064324548</v>
      </c>
      <c r="K290" s="0" t="n">
        <v>0.00750947430756121</v>
      </c>
      <c r="L290" s="0" t="n">
        <v>0.00851866944425916</v>
      </c>
      <c r="M290" s="0" t="n">
        <v>0.0005836142158552879</v>
      </c>
      <c r="N290" s="0" t="n">
        <v>0.00121978816993628</v>
      </c>
      <c r="O290" s="0" t="n">
        <v>-0.0128298484387596</v>
      </c>
      <c r="P290" s="0" t="n">
        <v>-0.000893989801040717</v>
      </c>
      <c r="Q290" s="0" t="n">
        <v>0.00524014010794049</v>
      </c>
      <c r="R290" s="0" t="n">
        <v>-0.000859471988666094</v>
      </c>
      <c r="S290" s="0" t="n">
        <v>0.000624428909921093</v>
      </c>
      <c r="T290" s="0" t="n">
        <v>-0.00174982182374616</v>
      </c>
      <c r="U290" s="0" t="n">
        <v>0.00214731039856008</v>
      </c>
      <c r="V290" s="0" t="n">
        <v>0.00212394321582998</v>
      </c>
      <c r="W290" s="0" t="n">
        <v>0.00431518739981129</v>
      </c>
      <c r="X290" s="0" t="n">
        <v>0.00211340216797983</v>
      </c>
    </row>
    <row r="291">
      <c r="A291" s="5" t="n">
        <v>42793</v>
      </c>
      <c r="B291" s="0" t="n">
        <v>0.00233847568459211</v>
      </c>
      <c r="C291" s="0" t="n">
        <v>-0.0043514712792767</v>
      </c>
      <c r="D291" s="0" t="n">
        <v>-0.00301441124573553</v>
      </c>
      <c r="E291" s="0" t="n">
        <v>-0.0103216570664552</v>
      </c>
      <c r="F291" s="0" t="n">
        <v>0.00446703729007325</v>
      </c>
      <c r="G291" s="0" t="n">
        <v>-0.0131211498410062</v>
      </c>
      <c r="H291" s="0" t="n">
        <v>-0.010112928558271</v>
      </c>
      <c r="I291" s="0" t="n">
        <v>-0.00437915294216928</v>
      </c>
      <c r="J291" s="0" t="n">
        <v>-0.0175271625917237</v>
      </c>
      <c r="K291" s="0" t="n">
        <v>-0.0433189541483473</v>
      </c>
      <c r="L291" s="0" t="n">
        <v>-0.0248103636991232</v>
      </c>
      <c r="M291" s="0" t="n">
        <v>-0.00467836680099154</v>
      </c>
      <c r="N291" s="0" t="n">
        <v>-0.0143239762534821</v>
      </c>
      <c r="O291" s="0" t="n">
        <v>-0.000717588335490404</v>
      </c>
      <c r="P291" s="0" t="n">
        <v>-0.00718135233860417</v>
      </c>
      <c r="Q291" s="0" t="n">
        <v>-0.00874891226203078</v>
      </c>
      <c r="R291" s="0" t="n">
        <v>-0.0102476580827781</v>
      </c>
      <c r="S291" s="0" t="n">
        <v>-0.0265670315060453</v>
      </c>
      <c r="T291" s="0" t="n">
        <v>-0.00233775728801255</v>
      </c>
      <c r="U291" s="0" t="n">
        <v>0.00441445226520453</v>
      </c>
      <c r="V291" s="0" t="n">
        <v>0.0026485000133487</v>
      </c>
      <c r="W291" s="0" t="n">
        <v>-0.00310506203220306</v>
      </c>
      <c r="X291" s="0" t="n">
        <v>-0.00493826004484754</v>
      </c>
    </row>
    <row r="292">
      <c r="A292" s="5" t="n">
        <v>42794</v>
      </c>
      <c r="B292" s="0" t="n">
        <v>0.0117755159981998</v>
      </c>
      <c r="C292" s="0" t="n">
        <v>0.0126668511270966</v>
      </c>
      <c r="D292" s="0" t="n">
        <v>0.0124806725079098</v>
      </c>
      <c r="E292" s="0" t="n">
        <v>0.012688501062755</v>
      </c>
      <c r="F292" s="0" t="n">
        <v>0.0326852407618862</v>
      </c>
      <c r="G292" s="0" t="n">
        <v>0.00814292422211027</v>
      </c>
      <c r="H292" s="0" t="n">
        <v>0.00701215397470056</v>
      </c>
      <c r="I292" s="0" t="n">
        <v>-0.0202666655172936</v>
      </c>
      <c r="J292" s="0" t="n">
        <v>0.0155948427369816</v>
      </c>
      <c r="K292" s="0" t="n">
        <v>0.00984721798278709</v>
      </c>
      <c r="L292" s="0" t="n">
        <v>0.0323221292153981</v>
      </c>
      <c r="M292" s="0" t="n">
        <v>0.00875404626717557</v>
      </c>
      <c r="N292" s="0" t="n">
        <v>-0.00910976519993322</v>
      </c>
      <c r="O292" s="0" t="n">
        <v>0.0059644694186467</v>
      </c>
      <c r="P292" s="0" t="n">
        <v>0.0406057568583233</v>
      </c>
      <c r="Q292" s="0" t="n">
        <v>0.0104895966146998</v>
      </c>
      <c r="R292" s="0" t="n">
        <v>0.00148803497318095</v>
      </c>
      <c r="S292" s="0" t="n">
        <v>0.0209332043705776</v>
      </c>
      <c r="T292" s="0" t="n">
        <v>0.00757795306871011</v>
      </c>
      <c r="U292" s="0" t="n">
        <v>0.009035409866148029</v>
      </c>
      <c r="V292" s="0" t="n">
        <v>0.0082536463493561</v>
      </c>
      <c r="W292" s="0" t="n">
        <v>0.0314624788630899</v>
      </c>
      <c r="X292" s="0" t="n">
        <v>0.0361150013013764</v>
      </c>
    </row>
    <row r="293">
      <c r="A293" s="5" t="n">
        <v>42795</v>
      </c>
      <c r="B293" s="0" t="n">
        <v>-0.00783494509886839</v>
      </c>
      <c r="C293" s="0" t="n">
        <v>0</v>
      </c>
      <c r="D293" s="0" t="n">
        <v>-0.0112737437736756</v>
      </c>
      <c r="E293" s="0" t="n">
        <v>-0.00236684399629982</v>
      </c>
      <c r="F293" s="0" t="n">
        <v>-0.0106447076550395</v>
      </c>
      <c r="G293" s="0" t="n">
        <v>-0.0443242094026987</v>
      </c>
      <c r="H293" s="0" t="n">
        <v>-0.0275499809304311</v>
      </c>
      <c r="I293" s="0" t="n">
        <v>-0.0391439657567658</v>
      </c>
      <c r="J293" s="0" t="n">
        <v>-0.00776702178653798</v>
      </c>
      <c r="K293" s="0" t="n">
        <v>-0.0287752353821613</v>
      </c>
      <c r="L293" s="0" t="n">
        <v>-0.0707316103572299</v>
      </c>
      <c r="M293" s="0" t="n">
        <v>0.00261135088681063</v>
      </c>
      <c r="N293" s="0" t="n">
        <v>-0.0214429158295312</v>
      </c>
      <c r="O293" s="0" t="n">
        <v>0.000713322562150065</v>
      </c>
      <c r="P293" s="0" t="n">
        <v>-0.0139375776050609</v>
      </c>
      <c r="Q293" s="0" t="n">
        <v>-0.0591040252813306</v>
      </c>
      <c r="R293" s="0" t="n">
        <v>0.008022277448263891</v>
      </c>
      <c r="S293" s="0" t="n">
        <v>-0.00503461868847621</v>
      </c>
      <c r="T293" s="0" t="n">
        <v>-0.00145283298840714</v>
      </c>
      <c r="U293" s="0" t="n">
        <v>0.0015860794604956</v>
      </c>
      <c r="V293" s="0" t="n">
        <v>-0.00561207527413198</v>
      </c>
      <c r="W293" s="0" t="n">
        <v>-0.0172243445982998</v>
      </c>
      <c r="X293" s="0" t="n">
        <v>-0.0255626967777655</v>
      </c>
    </row>
    <row r="294">
      <c r="A294" s="5" t="n">
        <v>42796</v>
      </c>
      <c r="B294" s="0" t="n">
        <v>-0.00266235514240698</v>
      </c>
      <c r="C294" s="0" t="n">
        <v>-0.00232136607006427</v>
      </c>
      <c r="D294" s="0" t="n">
        <v>0.0104385746507276</v>
      </c>
      <c r="E294" s="0" t="n">
        <v>-0.000790219645455003</v>
      </c>
      <c r="F294" s="0" t="n">
        <v>0.008289014955411121</v>
      </c>
      <c r="G294" s="0" t="n">
        <v>-0.0344976473520355</v>
      </c>
      <c r="H294" s="0" t="n">
        <v>0.0252180182671803</v>
      </c>
      <c r="I294" s="0" t="n">
        <v>0.0059701771840479</v>
      </c>
      <c r="J294" s="0" t="n">
        <v>-0.00390625114717302</v>
      </c>
      <c r="K294" s="0" t="n">
        <v>0.0189280173993742</v>
      </c>
      <c r="L294" s="0" t="n">
        <v>0.0218479656738268</v>
      </c>
      <c r="M294" s="0" t="n">
        <v>0.00028979100325488</v>
      </c>
      <c r="N294" s="0" t="n">
        <v>-0.0021272564569772</v>
      </c>
      <c r="O294" s="0" t="n">
        <v>-0.00142724512112213</v>
      </c>
      <c r="P294" s="0" t="n">
        <v>0.00350262733367756</v>
      </c>
      <c r="Q294" s="0" t="n">
        <v>0.0218986643455287</v>
      </c>
      <c r="R294" s="0" t="n">
        <v>-0.00406481856693474</v>
      </c>
      <c r="S294" s="0" t="n">
        <v>0.0150284460969105</v>
      </c>
      <c r="T294" s="0" t="n">
        <v>-0.00291201352186565</v>
      </c>
      <c r="U294" s="0" t="n">
        <v>-0.00198296746809045</v>
      </c>
      <c r="V294" s="0" t="n">
        <v>0.00701015339974997</v>
      </c>
      <c r="W294" s="0" t="n">
        <v>0.0030612321101815</v>
      </c>
      <c r="X294" s="0" t="n">
        <v>0.00766819081871261</v>
      </c>
    </row>
    <row r="295">
      <c r="A295" s="5" t="n">
        <v>42797</v>
      </c>
      <c r="B295" s="0" t="n">
        <v>0.00232995869284291</v>
      </c>
      <c r="C295" s="0" t="n">
        <v>-0.00399203654859103</v>
      </c>
      <c r="D295" s="0" t="n">
        <v>0.000596659543692368</v>
      </c>
      <c r="E295" s="0" t="n">
        <v>-0.0103297827832737</v>
      </c>
      <c r="F295" s="0" t="n">
        <v>-0.00749660374338301</v>
      </c>
      <c r="G295" s="0" t="n">
        <v>-0.00881355947666051</v>
      </c>
      <c r="H295" s="0" t="n">
        <v>-0.00938238985201334</v>
      </c>
      <c r="I295" s="0" t="n">
        <v>-0.00796816208033313</v>
      </c>
      <c r="J295" s="0" t="n">
        <v>-0.00392156980327063</v>
      </c>
      <c r="K295" s="0" t="n">
        <v>-0.00574559846207112</v>
      </c>
      <c r="L295" s="0" t="n">
        <v>-0.0238580626468287</v>
      </c>
      <c r="M295" s="0" t="n">
        <v>-0.00493690522920564</v>
      </c>
      <c r="N295" s="0" t="n">
        <v>-0.0163163414224092</v>
      </c>
      <c r="O295" s="0" t="n">
        <v>-0.00119088351826146</v>
      </c>
      <c r="P295" s="0" t="n">
        <v>0</v>
      </c>
      <c r="Q295" s="0" t="n">
        <v>-0.0145456971300186</v>
      </c>
      <c r="R295" s="0" t="n">
        <v>-0.00210042919099517</v>
      </c>
      <c r="S295" s="0" t="n">
        <v>-0.00373596103120155</v>
      </c>
      <c r="T295" s="0" t="n">
        <v>-0.00292062968961559</v>
      </c>
      <c r="U295" s="0" t="n">
        <v>0.000132347153742884</v>
      </c>
      <c r="V295" s="0" t="n">
        <v>-0.00507743543746563</v>
      </c>
      <c r="W295" s="0" t="n">
        <v>-0.00476594569009858</v>
      </c>
      <c r="X295" s="0" t="n">
        <v>-0.00626955719932276</v>
      </c>
    </row>
    <row r="296">
      <c r="A296" s="5" t="n">
        <v>42800</v>
      </c>
      <c r="B296" s="0" t="n">
        <v>-0.000498801930077341</v>
      </c>
      <c r="C296" s="0" t="n">
        <v>-0.00467757431616888</v>
      </c>
      <c r="D296" s="0" t="n">
        <v>-0.0130878252775694</v>
      </c>
      <c r="E296" s="0" t="n">
        <v>-0.00480388581368362</v>
      </c>
      <c r="F296" s="0" t="n">
        <v>-0.0015854508375801</v>
      </c>
      <c r="G296" s="0" t="n">
        <v>-0.0192512432258333</v>
      </c>
      <c r="H296" s="0" t="n">
        <v>-0.0126483778090351</v>
      </c>
      <c r="I296" s="0" t="n">
        <v>-0.0181640017046351</v>
      </c>
      <c r="J296" s="0" t="n">
        <v>0.00587655615926885</v>
      </c>
      <c r="K296" s="0" t="n">
        <v>-0.069966216995046</v>
      </c>
      <c r="L296" s="0" t="n">
        <v>-0.00100646966373441</v>
      </c>
      <c r="M296" s="0" t="n">
        <v>-0.0105355611576287</v>
      </c>
      <c r="N296" s="0" t="n">
        <v>-0.0263173248312145</v>
      </c>
      <c r="O296" s="0" t="n">
        <v>-0.00190835020252588</v>
      </c>
      <c r="P296" s="0" t="n">
        <v>-0.0167478206214406</v>
      </c>
      <c r="Q296" s="0" t="n">
        <v>-0.0147604012981996</v>
      </c>
      <c r="R296" s="0" t="n">
        <v>-0.000494877116483216</v>
      </c>
      <c r="S296" s="0" t="n">
        <v>-0.00563036241918224</v>
      </c>
      <c r="T296" s="0" t="n">
        <v>0.0002925028919738</v>
      </c>
      <c r="U296" s="0" t="n">
        <v>0.0068565226686168</v>
      </c>
      <c r="V296" s="0" t="n">
        <v>-0.0112975495069509</v>
      </c>
      <c r="W296" s="0" t="n">
        <v>-0.00530326063210928</v>
      </c>
      <c r="X296" s="0" t="n">
        <v>-0.00490373298101154</v>
      </c>
    </row>
    <row r="297">
      <c r="A297" s="5" t="n">
        <v>42801</v>
      </c>
      <c r="B297" s="0" t="n">
        <v>-0.00516916321970839</v>
      </c>
      <c r="C297" s="0" t="n">
        <v>-0.00201137300797915</v>
      </c>
      <c r="D297" s="0" t="n">
        <v>0.00806511494376849</v>
      </c>
      <c r="E297" s="0" t="n">
        <v>0.00560223117595715</v>
      </c>
      <c r="F297" s="0" t="n">
        <v>0.00198142109959498</v>
      </c>
      <c r="G297" s="0" t="n">
        <v>0.0065732994272678</v>
      </c>
      <c r="H297" s="0" t="n">
        <v>-0.0225270769857584</v>
      </c>
      <c r="I297" s="0" t="n">
        <v>-0.00476351334752056</v>
      </c>
      <c r="J297" s="0" t="n">
        <v>0.00778213322249987</v>
      </c>
      <c r="K297" s="0" t="n">
        <v>-0.0578195860371445</v>
      </c>
      <c r="L297" s="0" t="n">
        <v>-0.0484881216935511</v>
      </c>
      <c r="M297" s="0" t="n">
        <v>-0.00235646145146084</v>
      </c>
      <c r="N297" s="0" t="n">
        <v>-0.00222466103817131</v>
      </c>
      <c r="O297" s="0" t="n">
        <v>-0.00263002203828666</v>
      </c>
      <c r="P297" s="0" t="n">
        <v>-0.06708987782720929</v>
      </c>
      <c r="Q297" s="0" t="n">
        <v>0.00371057578562505</v>
      </c>
      <c r="R297" s="0" t="n">
        <v>0.00284218120398449</v>
      </c>
      <c r="S297" s="0" t="n">
        <v>-0.00629325101795341</v>
      </c>
      <c r="T297" s="0" t="n">
        <v>-0.00527706595329213</v>
      </c>
      <c r="U297" s="0" t="n">
        <v>-0.0034224351572103</v>
      </c>
      <c r="V297" s="0" t="n">
        <v>0.0139270139193579</v>
      </c>
      <c r="W297" s="0" t="n">
        <v>-0.00154493471437078</v>
      </c>
      <c r="X297" s="0" t="n">
        <v>-0.00422234728512149</v>
      </c>
    </row>
    <row r="298">
      <c r="A298" s="5" t="n">
        <v>42802</v>
      </c>
      <c r="B298" s="0" t="n">
        <v>-0.0127304769412859</v>
      </c>
      <c r="C298" s="0" t="n">
        <v>-0.0047091081505779</v>
      </c>
      <c r="D298" s="0" t="n">
        <v>0.0135748612802686</v>
      </c>
      <c r="E298" s="0" t="n">
        <v>-0.00239710328856324</v>
      </c>
      <c r="F298" s="0" t="n">
        <v>0.00355661910192361</v>
      </c>
      <c r="G298" s="0" t="n">
        <v>-0.0058793209825021</v>
      </c>
      <c r="H298" s="0" t="n">
        <v>-0.00653062897297651</v>
      </c>
      <c r="I298" s="0" t="n">
        <v>-0.00547196470232291</v>
      </c>
      <c r="J298" s="0" t="n">
        <v>-0.00193981672858178</v>
      </c>
      <c r="K298" s="0" t="n">
        <v>0.0578195860371445</v>
      </c>
      <c r="L298" s="0" t="n">
        <v>0</v>
      </c>
      <c r="M298" s="0" t="n">
        <v>0.00412005855131925</v>
      </c>
      <c r="N298" s="0" t="n">
        <v>0.012394969553064</v>
      </c>
      <c r="O298" s="0" t="n">
        <v>0.0040616032613574</v>
      </c>
      <c r="P298" s="0" t="n">
        <v>-0.000951044156830782</v>
      </c>
      <c r="Q298" s="0" t="n">
        <v>-0.00557108402124884</v>
      </c>
      <c r="R298" s="0" t="n">
        <v>-0.00420433377783524</v>
      </c>
      <c r="S298" s="0" t="n">
        <v>-0.000631526946012428</v>
      </c>
      <c r="T298" s="0" t="n">
        <v>0.00146862229212052</v>
      </c>
      <c r="U298" s="0" t="n">
        <v>0.00460444286911698</v>
      </c>
      <c r="V298" s="0" t="n">
        <v>0.0151163115005896</v>
      </c>
      <c r="W298" s="0" t="n">
        <v>0.00838259427567944</v>
      </c>
      <c r="X298" s="0" t="n">
        <v>0.00211340216797983</v>
      </c>
    </row>
    <row r="299">
      <c r="A299" s="5" t="n">
        <v>42803</v>
      </c>
      <c r="B299" s="0" t="n">
        <v>0.00366192440607004</v>
      </c>
      <c r="C299" s="0" t="n">
        <v>0.0206881378445618</v>
      </c>
      <c r="D299" s="0" t="n">
        <v>-0.00224974859305238</v>
      </c>
      <c r="E299" s="0" t="n">
        <v>0.00239710328856324</v>
      </c>
      <c r="F299" s="0" t="n">
        <v>-0.00157919162893138</v>
      </c>
      <c r="G299" s="0" t="n">
        <v>-0.000346929021624031</v>
      </c>
      <c r="H299" s="0" t="n">
        <v>0.0154411115474477</v>
      </c>
      <c r="I299" s="0" t="n">
        <v>0.0163268779280514</v>
      </c>
      <c r="J299" s="0" t="n">
        <v>0.00773697500934145</v>
      </c>
      <c r="K299" s="0" t="n">
        <v>0.00448432158661771</v>
      </c>
      <c r="L299" s="0" t="n">
        <v>0.00105654829908985</v>
      </c>
      <c r="M299" s="0" t="n">
        <v>0.0017606041351037</v>
      </c>
      <c r="N299" s="0" t="n">
        <v>0.0178770776637913</v>
      </c>
      <c r="O299" s="0" t="n">
        <v>0.00972839233827338</v>
      </c>
      <c r="P299" s="0" t="n">
        <v>-0.0143750029743148</v>
      </c>
      <c r="Q299" s="0" t="n">
        <v>0.0166209095338234</v>
      </c>
      <c r="R299" s="0" t="n">
        <v>-0.00372434229630691</v>
      </c>
      <c r="S299" s="0" t="n">
        <v>0.0347644864431311</v>
      </c>
      <c r="T299" s="0" t="n">
        <v>0.00556122118838864</v>
      </c>
      <c r="U299" s="0" t="n">
        <v>0.00340663992814604</v>
      </c>
      <c r="V299" s="0" t="n">
        <v>0.00567447163520018</v>
      </c>
      <c r="W299" s="0" t="n">
        <v>0.00255206794669593</v>
      </c>
      <c r="X299" s="0" t="n">
        <v>-0.00140848319287112</v>
      </c>
    </row>
    <row r="300">
      <c r="A300" s="5" t="n">
        <v>42804</v>
      </c>
      <c r="B300" s="0" t="n">
        <v>-0.00773378821073933</v>
      </c>
      <c r="C300" s="0" t="n">
        <v>-0.0139676566860047</v>
      </c>
      <c r="D300" s="0" t="n">
        <v>-0.00261129193728137</v>
      </c>
      <c r="E300" s="0" t="n">
        <v>0.0007977845659326019</v>
      </c>
      <c r="F300" s="0" t="n">
        <v>-0.00039518787861148</v>
      </c>
      <c r="G300" s="0" t="n">
        <v>-0.00452093137430953</v>
      </c>
      <c r="H300" s="0" t="n">
        <v>0.0152064183287219</v>
      </c>
      <c r="I300" s="0" t="n">
        <v>0.00269541691001062</v>
      </c>
      <c r="J300" s="0" t="n">
        <v>0.047045363183384</v>
      </c>
      <c r="K300" s="0" t="n">
        <v>0.00390732821452344</v>
      </c>
      <c r="L300" s="0" t="n">
        <v>0.0383267911757347</v>
      </c>
      <c r="M300" s="0" t="n">
        <v>0</v>
      </c>
      <c r="N300" s="0" t="n">
        <v>0.0137341088112341</v>
      </c>
      <c r="O300" s="0" t="n">
        <v>0.000472154361369714</v>
      </c>
      <c r="P300" s="0" t="n">
        <v>0.0266683124885993</v>
      </c>
      <c r="Q300" s="0" t="n">
        <v>0.00365630769704883</v>
      </c>
      <c r="R300" s="0" t="n">
        <v>0.000497400091586719</v>
      </c>
      <c r="S300" s="0" t="n">
        <v>-0.00734840615008236</v>
      </c>
      <c r="T300" s="0" t="n">
        <v>-0.00468110436165902</v>
      </c>
      <c r="U300" s="0" t="n">
        <v>-0.0105194320521135</v>
      </c>
      <c r="V300" s="0" t="n">
        <v>-0.0241226341440876</v>
      </c>
      <c r="W300" s="0" t="n">
        <v>-0.00255206794669593</v>
      </c>
      <c r="X300" s="0" t="n">
        <v>0.00140848319287112</v>
      </c>
    </row>
    <row r="301">
      <c r="A301" s="5" t="n">
        <v>42807</v>
      </c>
      <c r="B301" s="0" t="n">
        <v>-0.00420243378704388</v>
      </c>
      <c r="C301" s="0" t="n">
        <v>-0.0107744892358332</v>
      </c>
      <c r="D301" s="0" t="n">
        <v>0.00379596775764845</v>
      </c>
      <c r="E301" s="0" t="n">
        <v>0.000797148613038256</v>
      </c>
      <c r="F301" s="0" t="n">
        <v>0.000790219645455003</v>
      </c>
      <c r="G301" s="0" t="n">
        <v>0.000348500740792623</v>
      </c>
      <c r="H301" s="0" t="n">
        <v>-0.0152064183287219</v>
      </c>
      <c r="I301" s="0" t="n">
        <v>-0.0203949445974256</v>
      </c>
      <c r="J301" s="0" t="n">
        <v>-0.009233711236173781</v>
      </c>
      <c r="K301" s="0" t="n">
        <v>-0.00278939949046663</v>
      </c>
      <c r="L301" s="0" t="n">
        <v>0.00203040722373026</v>
      </c>
      <c r="M301" s="0" t="n">
        <v>0.00321968981207998</v>
      </c>
      <c r="N301" s="0" t="n">
        <v>-0.00512817080426941</v>
      </c>
      <c r="O301" s="0" t="n">
        <v>-0.00663035302147818</v>
      </c>
      <c r="P301" s="0" t="n">
        <v>-0.0305367856985538</v>
      </c>
      <c r="Q301" s="0" t="n">
        <v>-0.025879422893873</v>
      </c>
      <c r="R301" s="0" t="n">
        <v>-0.00686091440104874</v>
      </c>
      <c r="S301" s="0" t="n">
        <v>-0.0154849791516658</v>
      </c>
      <c r="T301" s="0" t="n">
        <v>0.000586351776522775</v>
      </c>
      <c r="U301" s="0" t="n">
        <v>-0.00410630674848366</v>
      </c>
      <c r="V301" s="0" t="n">
        <v>-0.00422464421189516</v>
      </c>
      <c r="W301" s="0" t="n">
        <v>0.00102158290957543</v>
      </c>
      <c r="X301" s="0" t="n">
        <v>-0.00919059948223299</v>
      </c>
    </row>
    <row r="302">
      <c r="A302" s="5" t="n">
        <v>42808</v>
      </c>
      <c r="B302" s="0" t="n">
        <v>0.000512026513636243</v>
      </c>
      <c r="C302" s="0" t="n">
        <v>0.00741992758163423</v>
      </c>
      <c r="D302" s="0" t="n">
        <v>0.0166729023629308</v>
      </c>
      <c r="E302" s="0" t="n">
        <v>0.0079365042420294</v>
      </c>
      <c r="F302" s="0" t="n">
        <v>-0.0055445444872495</v>
      </c>
      <c r="G302" s="0" t="n">
        <v>0.00486616835875963</v>
      </c>
      <c r="H302" s="0" t="n">
        <v>0.0262649722203223</v>
      </c>
      <c r="I302" s="0" t="n">
        <v>0.0593309194100881</v>
      </c>
      <c r="J302" s="0" t="n">
        <v>-0.0168385036043585</v>
      </c>
      <c r="K302" s="0" t="n">
        <v>0.00557103986965989</v>
      </c>
      <c r="L302" s="0" t="n">
        <v>0.0798867283117683</v>
      </c>
      <c r="M302" s="0" t="n">
        <v>0.0119100851217099</v>
      </c>
      <c r="N302" s="0" t="n">
        <v>0.018255667234122</v>
      </c>
      <c r="O302" s="0" t="n">
        <v>0.0118093011100826</v>
      </c>
      <c r="P302" s="0" t="n">
        <v>0.06653507857396999</v>
      </c>
      <c r="Q302" s="0" t="n">
        <v>0.031338983157561</v>
      </c>
      <c r="R302" s="0" t="n">
        <v>-0.00200471223587861</v>
      </c>
      <c r="S302" s="0" t="n">
        <v>-0.00124924797494285</v>
      </c>
      <c r="T302" s="0" t="n">
        <v>0.00351090897537176</v>
      </c>
      <c r="U302" s="0" t="n">
        <v>0.0043706028524113</v>
      </c>
      <c r="V302" s="0" t="n">
        <v>0.0167924690714063</v>
      </c>
      <c r="W302" s="0" t="n">
        <v>-0.0008512682588577289</v>
      </c>
      <c r="X302" s="0" t="n">
        <v>-0.0107105356117691</v>
      </c>
    </row>
    <row r="303">
      <c r="A303" s="5" t="n">
        <v>42809</v>
      </c>
      <c r="B303" s="0" t="n">
        <v>0.00810092475600932</v>
      </c>
      <c r="C303" s="0" t="n">
        <v>-0.000336062581068219</v>
      </c>
      <c r="D303" s="0" t="n">
        <v>-0.0104173636534996</v>
      </c>
      <c r="E303" s="0" t="n">
        <v>0.00394479342823306</v>
      </c>
      <c r="F303" s="0" t="n">
        <v>0.00158726257457342</v>
      </c>
      <c r="G303" s="0" t="n">
        <v>0.0165065489024089</v>
      </c>
      <c r="H303" s="0" t="n">
        <v>-0.0150379199301666</v>
      </c>
      <c r="I303" s="0" t="n">
        <v>-0.00714518511228634</v>
      </c>
      <c r="J303" s="0" t="n">
        <v>0.00564436731790651</v>
      </c>
      <c r="K303" s="0" t="n">
        <v>0</v>
      </c>
      <c r="L303" s="0" t="n">
        <v>-0.0236865638344561</v>
      </c>
      <c r="M303" s="0" t="n">
        <v>-0.00579210304387833</v>
      </c>
      <c r="N303" s="0" t="n">
        <v>-0.0169711161686647</v>
      </c>
      <c r="O303" s="0" t="n">
        <v>-0.00352820613046889</v>
      </c>
      <c r="P303" s="0" t="n">
        <v>-0.0210726572652806</v>
      </c>
      <c r="Q303" s="0" t="n">
        <v>0.00362318877009437</v>
      </c>
      <c r="R303" s="0" t="n">
        <v>-0.00213454531875534</v>
      </c>
      <c r="S303" s="0" t="n">
        <v>0.00436543851923643</v>
      </c>
      <c r="T303" s="0" t="n">
        <v>-0.000292161125260648</v>
      </c>
      <c r="U303" s="0" t="n">
        <v>-0.00490158117469619</v>
      </c>
      <c r="V303" s="0" t="n">
        <v>-0.00591512065689769</v>
      </c>
      <c r="W303" s="0" t="n">
        <v>0.0103364576431301</v>
      </c>
      <c r="X303" s="0" t="n">
        <v>-0.000718149312362914</v>
      </c>
    </row>
    <row r="304">
      <c r="A304" s="5" t="n">
        <v>42810</v>
      </c>
      <c r="B304" s="0" t="n">
        <v>-0.009011433360421419</v>
      </c>
      <c r="C304" s="0" t="n">
        <v>0.0043602281390882</v>
      </c>
      <c r="D304" s="0" t="n">
        <v>-0.0121930933273493</v>
      </c>
      <c r="E304" s="0" t="n">
        <v>-0.0174746521845525</v>
      </c>
      <c r="F304" s="0" t="n">
        <v>-0.0143771926764273</v>
      </c>
      <c r="G304" s="0" t="n">
        <v>0.007813851423513089</v>
      </c>
      <c r="H304" s="0" t="n">
        <v>-0.0242142357527752</v>
      </c>
      <c r="I304" s="0" t="n">
        <v>-0.00130466149381458</v>
      </c>
      <c r="J304" s="0" t="n">
        <v>0.00561277612842192</v>
      </c>
      <c r="K304" s="0" t="n">
        <v>-0.0111732901803344</v>
      </c>
      <c r="L304" s="0" t="n">
        <v>-0.0291849687142837</v>
      </c>
      <c r="M304" s="0" t="n">
        <v>-0.003200020486398</v>
      </c>
      <c r="N304" s="0" t="n">
        <v>0.0119099143466634</v>
      </c>
      <c r="O304" s="0" t="n">
        <v>0.00399770044859026</v>
      </c>
      <c r="P304" s="0" t="n">
        <v>-0.0102374660070552</v>
      </c>
      <c r="Q304" s="0" t="n">
        <v>-0.00362318877009437</v>
      </c>
      <c r="R304" s="0" t="n">
        <v>-0.00858374782479032</v>
      </c>
      <c r="S304" s="0" t="n">
        <v>0.00310662838108832</v>
      </c>
      <c r="T304" s="0" t="n">
        <v>0</v>
      </c>
      <c r="U304" s="0" t="n">
        <v>-0.00186095206439595</v>
      </c>
      <c r="V304" s="0" t="n">
        <v>-0.0179582367857369</v>
      </c>
      <c r="W304" s="0" t="n">
        <v>-0.0110180203967811</v>
      </c>
      <c r="X304" s="0" t="n">
        <v>-0.0137434739476796</v>
      </c>
    </row>
    <row r="305">
      <c r="A305" s="5" t="n">
        <v>42811</v>
      </c>
      <c r="B305" s="0" t="n">
        <v>0.000284633860244021</v>
      </c>
      <c r="C305" s="0" t="n">
        <v>-0.00469647039566334</v>
      </c>
      <c r="D305" s="0" t="n">
        <v>0.00119031648525069</v>
      </c>
      <c r="E305" s="0" t="n">
        <v>-0.0161554252875202</v>
      </c>
      <c r="F305" s="0" t="n">
        <v>-0.0170389544789371</v>
      </c>
      <c r="G305" s="0" t="n">
        <v>-0.0122575148715795</v>
      </c>
      <c r="H305" s="0" t="n">
        <v>0.0202190856051105</v>
      </c>
      <c r="I305" s="0" t="n">
        <v>0.00844984660610093</v>
      </c>
      <c r="J305" s="0" t="n">
        <v>-0.009372175514247511</v>
      </c>
      <c r="K305" s="0" t="n">
        <v>-0.0401199554080916</v>
      </c>
      <c r="L305" s="0" t="n">
        <v>0.0156712165809493</v>
      </c>
      <c r="M305" s="0" t="n">
        <v>0.00174676529493345</v>
      </c>
      <c r="N305" s="0" t="n">
        <v>-0.000422932088840699</v>
      </c>
      <c r="O305" s="0" t="n">
        <v>-0.00446907586431555</v>
      </c>
      <c r="P305" s="0" t="n">
        <v>0.0120875594297955</v>
      </c>
      <c r="Q305" s="0" t="n">
        <v>0.0356543656444741</v>
      </c>
      <c r="R305" s="0" t="n">
        <v>-0.000760907579575587</v>
      </c>
      <c r="S305" s="0" t="n">
        <v>0.008032119635640539</v>
      </c>
      <c r="T305" s="0" t="n">
        <v>0.00145961895088042</v>
      </c>
      <c r="U305" s="0" t="n">
        <v>0.00557249887860855</v>
      </c>
      <c r="V305" s="0" t="n">
        <v>0.00212952930649379</v>
      </c>
      <c r="W305" s="0" t="n">
        <v>-0.0178852077457936</v>
      </c>
      <c r="X305" s="0" t="n">
        <v>-0.0154130819664035</v>
      </c>
    </row>
    <row r="306">
      <c r="A306" s="5" t="n">
        <v>42814</v>
      </c>
      <c r="B306" s="0" t="n">
        <v>-0.0104125436218138</v>
      </c>
      <c r="C306" s="0" t="n">
        <v>-0.0118384556537565</v>
      </c>
      <c r="D306" s="0" t="n">
        <v>-0.0039334242246527</v>
      </c>
      <c r="E306" s="0" t="n">
        <v>-0.0466750940410851</v>
      </c>
      <c r="F306" s="0" t="n">
        <v>-0.0598577329759661</v>
      </c>
      <c r="G306" s="0" t="n">
        <v>-0.008947073625124251</v>
      </c>
      <c r="H306" s="0" t="n">
        <v>-0.0243123566854892</v>
      </c>
      <c r="I306" s="0" t="n">
        <v>0.0249294050208974</v>
      </c>
      <c r="J306" s="0" t="n">
        <v>-0.0228581162749326</v>
      </c>
      <c r="K306" s="0" t="n">
        <v>-0.00645354957162924</v>
      </c>
      <c r="L306" s="0" t="n">
        <v>-0.08621661043228231</v>
      </c>
      <c r="M306" s="0" t="n">
        <v>-0.00378846631439255</v>
      </c>
      <c r="N306" s="0" t="n">
        <v>-0.0119149826312137</v>
      </c>
      <c r="O306" s="0" t="n">
        <v>-0.00804729402853388</v>
      </c>
      <c r="P306" s="0" t="n">
        <v>-0.0224308259945442</v>
      </c>
      <c r="Q306" s="0" t="n">
        <v>-0.0212397158850605</v>
      </c>
      <c r="R306" s="0" t="n">
        <v>-0.00266784232508765</v>
      </c>
      <c r="S306" s="0" t="n">
        <v>-0.0344322085702013</v>
      </c>
      <c r="T306" s="0" t="n">
        <v>-0.0117371568095254</v>
      </c>
      <c r="U306" s="0" t="n">
        <v>0.00462014509626307</v>
      </c>
      <c r="V306" s="0" t="n">
        <v>-0.0124867974479867</v>
      </c>
      <c r="W306" s="0" t="n">
        <v>-0.0313737857883982</v>
      </c>
      <c r="X306" s="0" t="n">
        <v>-0.062568126027025</v>
      </c>
    </row>
    <row r="307">
      <c r="A307" s="5" t="n">
        <v>42815</v>
      </c>
      <c r="B307" s="0" t="n">
        <v>0.00516259901307325</v>
      </c>
      <c r="C307" s="0" t="n">
        <v>0.0047521998971991</v>
      </c>
      <c r="D307" s="0" t="n">
        <v>0.00749598653695304</v>
      </c>
      <c r="E307" s="0" t="n">
        <v>0.00425715323170106</v>
      </c>
      <c r="F307" s="0" t="n">
        <v>-0.00348128819736004</v>
      </c>
      <c r="G307" s="0" t="n">
        <v>0.00103640636719282</v>
      </c>
      <c r="H307" s="0" t="n">
        <v>0.00081994880090086</v>
      </c>
      <c r="I307" s="0" t="n">
        <v>0.00754719839247064</v>
      </c>
      <c r="J307" s="0" t="n">
        <v>-0.0174931871721504</v>
      </c>
      <c r="K307" s="0" t="n">
        <v>0.00645354957162924</v>
      </c>
      <c r="L307" s="0" t="n">
        <v>0.00948875393981119</v>
      </c>
      <c r="M307" s="0" t="n">
        <v>0.00640285123403261</v>
      </c>
      <c r="N307" s="0" t="n">
        <v>-0.0238261712051035</v>
      </c>
      <c r="O307" s="0" t="n">
        <v>-0.0102712066945112</v>
      </c>
      <c r="P307" s="0" t="n">
        <v>-0.00283954121779617</v>
      </c>
      <c r="Q307" s="0" t="n">
        <v>-0.0107914609893191</v>
      </c>
      <c r="R307" s="0" t="n">
        <v>-0.00190999645727174</v>
      </c>
      <c r="S307" s="0" t="n">
        <v>0.009508824185235021</v>
      </c>
      <c r="T307" s="0" t="n">
        <v>0.00647243823201115</v>
      </c>
      <c r="U307" s="0" t="n">
        <v>-0.0113908597246199</v>
      </c>
      <c r="V307" s="0" t="n">
        <v>0.0116000502610784</v>
      </c>
      <c r="W307" s="0" t="n">
        <v>-0.0093542081908291</v>
      </c>
      <c r="X307" s="0" t="n">
        <v>0.00627944960906345</v>
      </c>
    </row>
    <row r="308">
      <c r="A308" s="5" t="n">
        <v>42816</v>
      </c>
      <c r="B308" s="0" t="n">
        <v>0.000228881832940786</v>
      </c>
      <c r="C308" s="0" t="n">
        <v>0.0030431749962112</v>
      </c>
      <c r="D308" s="0" t="n">
        <v>0.000710955818875369</v>
      </c>
      <c r="E308" s="0" t="n">
        <v>-0.008532507328517619</v>
      </c>
      <c r="F308" s="0" t="n">
        <v>0.0056509239755571</v>
      </c>
      <c r="G308" s="0" t="n">
        <v>0.010305867510322</v>
      </c>
      <c r="H308" s="0" t="n">
        <v>-0.009884749914260469</v>
      </c>
      <c r="I308" s="0" t="n">
        <v>-0.00313776165281964</v>
      </c>
      <c r="J308" s="0" t="n">
        <v>0.00586516046006568</v>
      </c>
      <c r="K308" s="0" t="n">
        <v>0.00583091463647655</v>
      </c>
      <c r="L308" s="0" t="n">
        <v>-0.0222820936929815</v>
      </c>
      <c r="M308" s="0" t="n">
        <v>-0.00523562276789491</v>
      </c>
      <c r="N308" s="0" t="n">
        <v>-0.00748078650699524</v>
      </c>
      <c r="O308" s="0" t="n">
        <v>0</v>
      </c>
      <c r="P308" s="0" t="n">
        <v>0.009433978335470879</v>
      </c>
      <c r="Q308" s="0" t="n">
        <v>0</v>
      </c>
      <c r="R308" s="0" t="n">
        <v>-0.00204128714073981</v>
      </c>
      <c r="S308" s="0" t="n">
        <v>0.00377830836822434</v>
      </c>
      <c r="T308" s="0" t="n">
        <v>-0.00411400505813341</v>
      </c>
      <c r="U308" s="0" t="n">
        <v>-0.0140857259133966</v>
      </c>
      <c r="V308" s="0" t="n">
        <v>-0.0105235992504715</v>
      </c>
      <c r="W308" s="0" t="n">
        <v>-0.00144694960549873</v>
      </c>
      <c r="X308" s="0" t="n">
        <v>0.0186052438838069</v>
      </c>
    </row>
    <row r="309">
      <c r="A309" s="5" t="n">
        <v>42817</v>
      </c>
      <c r="B309" s="0" t="n">
        <v>-0.00567909438106895</v>
      </c>
      <c r="C309" s="0" t="n">
        <v>0.00337039036917685</v>
      </c>
      <c r="D309" s="0" t="n">
        <v>-0.00284695169683057</v>
      </c>
      <c r="E309" s="0" t="n">
        <v>-0.00429371126092847</v>
      </c>
      <c r="F309" s="0" t="n">
        <v>0.00216502114578842</v>
      </c>
      <c r="G309" s="0" t="n">
        <v>-0.00548321612795188</v>
      </c>
      <c r="H309" s="0" t="n">
        <v>0.0139747897252724</v>
      </c>
      <c r="I309" s="0" t="n">
        <v>-0.00440943673965099</v>
      </c>
      <c r="J309" s="0" t="n">
        <v>-0.00586516046006568</v>
      </c>
      <c r="K309" s="0" t="n">
        <v>-0.0116960283478012</v>
      </c>
      <c r="L309" s="0" t="n">
        <v>-0.00214817528498167</v>
      </c>
      <c r="M309" s="0" t="n">
        <v>-0.008493268558210421</v>
      </c>
      <c r="N309" s="0" t="n">
        <v>0.005286392938459</v>
      </c>
      <c r="O309" s="0" t="n">
        <v>0.000719999518388192</v>
      </c>
      <c r="P309" s="0" t="n">
        <v>-0.009433978335470879</v>
      </c>
      <c r="Q309" s="0" t="n">
        <v>0.0143628898596939</v>
      </c>
      <c r="R309" s="0" t="n">
        <v>0.00242355895017531</v>
      </c>
      <c r="S309" s="0" t="n">
        <v>-0.000628747524625605</v>
      </c>
      <c r="T309" s="0" t="n">
        <v>0.00352742120508908</v>
      </c>
      <c r="U309" s="0" t="n">
        <v>-0.011549805735024</v>
      </c>
      <c r="V309" s="0" t="n">
        <v>0.00214936375149576</v>
      </c>
      <c r="W309" s="0" t="n">
        <v>0.0104430517213733</v>
      </c>
      <c r="X309" s="0" t="n">
        <v>0.00688859964883237</v>
      </c>
    </row>
    <row r="310">
      <c r="A310" s="5" t="n">
        <v>42818</v>
      </c>
      <c r="B310" s="0" t="n">
        <v>-0.00034521034600754</v>
      </c>
      <c r="C310" s="0" t="n">
        <v>-0.00946596217230988</v>
      </c>
      <c r="D310" s="0" t="n">
        <v>0.000712475499157427</v>
      </c>
      <c r="E310" s="0" t="n">
        <v>-0.0138650269598494</v>
      </c>
      <c r="F310" s="0" t="n">
        <v>-0.00390033645534204</v>
      </c>
      <c r="G310" s="0" t="n">
        <v>-0.00585905774956296</v>
      </c>
      <c r="H310" s="0" t="n">
        <v>0.00244592505776175</v>
      </c>
      <c r="I310" s="0" t="n">
        <v>0.0131704060215018</v>
      </c>
      <c r="J310" s="0" t="n">
        <v>0</v>
      </c>
      <c r="K310" s="0" t="n">
        <v>0.109118139308206</v>
      </c>
      <c r="L310" s="0" t="n">
        <v>0.00429184790944958</v>
      </c>
      <c r="M310" s="0" t="n">
        <v>0.0052801619997731</v>
      </c>
      <c r="N310" s="0" t="n">
        <v>-0.00661230602981</v>
      </c>
      <c r="O310" s="0" t="n">
        <v>-0.00456892996748026</v>
      </c>
      <c r="P310" s="0" t="n">
        <v>0.003784296020783</v>
      </c>
      <c r="Q310" s="0" t="n">
        <v>0.00355871914461869</v>
      </c>
      <c r="R310" s="0" t="n">
        <v>0.00025483149769645</v>
      </c>
      <c r="S310" s="0" t="n">
        <v>-0.0107493972655068</v>
      </c>
      <c r="T310" s="0" t="n">
        <v>-0.00264434260002621</v>
      </c>
      <c r="U310" s="0" t="n">
        <v>0.000409903405309997</v>
      </c>
      <c r="V310" s="0" t="n">
        <v>0.00268027544481874</v>
      </c>
      <c r="W310" s="0" t="n">
        <v>-0.007912331093388399</v>
      </c>
      <c r="X310" s="0" t="n">
        <v>-0.00688859964883237</v>
      </c>
    </row>
    <row r="311">
      <c r="A311" s="5" t="n">
        <v>42821</v>
      </c>
      <c r="B311" s="0" t="n">
        <v>0.00424940479209734</v>
      </c>
      <c r="C311" s="0" t="n">
        <v>0.00609557180313302</v>
      </c>
      <c r="D311" s="0" t="n">
        <v>0.00603590379370189</v>
      </c>
      <c r="E311" s="0" t="n">
        <v>0.0164434326522266</v>
      </c>
      <c r="F311" s="0" t="n">
        <v>0.0193512318161417</v>
      </c>
      <c r="G311" s="0" t="n">
        <v>0.00379509194620952</v>
      </c>
      <c r="H311" s="0" t="n">
        <v>-0.00571657067412401</v>
      </c>
      <c r="I311" s="0" t="n">
        <v>-0.0716666504229781</v>
      </c>
      <c r="J311" s="0" t="n">
        <v>0.00195890931289266</v>
      </c>
      <c r="K311" s="0" t="n">
        <v>0.0229415841506975</v>
      </c>
      <c r="L311" s="0" t="n">
        <v>0.0138226668175418</v>
      </c>
      <c r="M311" s="0" t="n">
        <v>-0.000585322162424351</v>
      </c>
      <c r="N311" s="0" t="n">
        <v>-0.00398848968616638</v>
      </c>
      <c r="O311" s="0" t="n">
        <v>0.00168572447509518</v>
      </c>
      <c r="P311" s="0" t="n">
        <v>0.0488351045089947</v>
      </c>
      <c r="Q311" s="0" t="n">
        <v>0.00707966871680043</v>
      </c>
      <c r="R311" s="0" t="n">
        <v>0.00127289315013978</v>
      </c>
      <c r="S311" s="0" t="n">
        <v>-0.00190898776332693</v>
      </c>
      <c r="T311" s="0" t="n">
        <v>0.000882187334220407</v>
      </c>
      <c r="U311" s="0" t="n">
        <v>-0.000136546306348073</v>
      </c>
      <c r="V311" s="0" t="n">
        <v>0.00285103266924124</v>
      </c>
      <c r="W311" s="0" t="n">
        <v>0.0102380724110444</v>
      </c>
      <c r="X311" s="0" t="n">
        <v>0.0152441826834683</v>
      </c>
    </row>
    <row r="312">
      <c r="A312" s="5" t="n">
        <v>42822</v>
      </c>
      <c r="B312" s="0" t="n">
        <v>-0.00327158891560319</v>
      </c>
      <c r="C312" s="0" t="n">
        <v>0.00202358369153587</v>
      </c>
      <c r="D312" s="0" t="n">
        <v>-0.0036644943675288</v>
      </c>
      <c r="E312" s="0" t="n">
        <v>0.00257185626061762</v>
      </c>
      <c r="F312" s="0" t="n">
        <v>-0.00555197501205873</v>
      </c>
      <c r="G312" s="0" t="n">
        <v>0.010277556432495</v>
      </c>
      <c r="H312" s="0" t="n">
        <v>0.0226730136899386</v>
      </c>
      <c r="I312" s="0" t="n">
        <v>-0.00201003307515978</v>
      </c>
      <c r="J312" s="0" t="n">
        <v>0.00585362314783233</v>
      </c>
      <c r="K312" s="0" t="n">
        <v>0.00411517915086301</v>
      </c>
      <c r="L312" s="0" t="n">
        <v>0.0157153173861432</v>
      </c>
      <c r="M312" s="0" t="n">
        <v>0.00496429635295703</v>
      </c>
      <c r="N312" s="0" t="n">
        <v>0.024995806376328</v>
      </c>
      <c r="O312" s="0" t="n">
        <v>-0.00265029928703919</v>
      </c>
      <c r="P312" s="0" t="n">
        <v>0.0661110450365858</v>
      </c>
      <c r="Q312" s="0" t="n">
        <v>0.0174829460189951</v>
      </c>
      <c r="R312" s="0" t="n">
        <v>0.00190635532425265</v>
      </c>
      <c r="S312" s="0" t="n">
        <v>0.00254452824229911</v>
      </c>
      <c r="T312" s="0" t="n">
        <v>-0.00826447355852755</v>
      </c>
      <c r="U312" s="0" t="n">
        <v>-0.00314749975250627</v>
      </c>
      <c r="V312" s="0" t="n">
        <v>-0.00445832208105301</v>
      </c>
      <c r="W312" s="0" t="n">
        <v>-0.00519576413270428</v>
      </c>
      <c r="X312" s="0" t="n">
        <v>0</v>
      </c>
    </row>
    <row r="313">
      <c r="A313" s="5" t="n">
        <v>42823</v>
      </c>
      <c r="B313" s="0" t="n">
        <v>-0.000460045036019707</v>
      </c>
      <c r="C313" s="0" t="n">
        <v>0.00638118835413914</v>
      </c>
      <c r="D313" s="0" t="n">
        <v>0.00378250671035207</v>
      </c>
      <c r="E313" s="0" t="n">
        <v>0</v>
      </c>
      <c r="F313" s="0" t="n">
        <v>0.022025475057299</v>
      </c>
      <c r="G313" s="0" t="n">
        <v>-0.00478304251321448</v>
      </c>
      <c r="H313" s="0" t="n">
        <v>-0.0267764800001191</v>
      </c>
      <c r="I313" s="0" t="n">
        <v>-0.016909432492663</v>
      </c>
      <c r="J313" s="0" t="n">
        <v>0.0135268095956428</v>
      </c>
      <c r="K313" s="0" t="n">
        <v>-0.00411517915086301</v>
      </c>
      <c r="L313" s="0" t="n">
        <v>-0.00835077131990891</v>
      </c>
      <c r="M313" s="0" t="n">
        <v>0.000582313440379067</v>
      </c>
      <c r="N313" s="0" t="n">
        <v>0.0137636450099534</v>
      </c>
      <c r="O313" s="0" t="n">
        <v>0.00745100339364901</v>
      </c>
      <c r="P313" s="0" t="n">
        <v>-0.0316400809483048</v>
      </c>
      <c r="Q313" s="0" t="n">
        <v>0.0034602077821022</v>
      </c>
      <c r="R313" s="0" t="n">
        <v>0.00114201316316364</v>
      </c>
      <c r="S313" s="0" t="n">
        <v>-0.008293515914274069</v>
      </c>
      <c r="T313" s="0" t="n">
        <v>0</v>
      </c>
      <c r="U313" s="0" t="n">
        <v>-0.0125509684160887</v>
      </c>
      <c r="V313" s="0" t="n">
        <v>-0.0106011260594769</v>
      </c>
      <c r="W313" s="0" t="n">
        <v>0.0101869080429368</v>
      </c>
      <c r="X313" s="0" t="n">
        <v>0.0276033847686152</v>
      </c>
    </row>
    <row r="314">
      <c r="A314" s="5" t="n">
        <v>42824</v>
      </c>
      <c r="B314" s="0" t="n">
        <v>0.00160918873401172</v>
      </c>
      <c r="C314" s="0" t="n">
        <v>-0.00234619780146561</v>
      </c>
      <c r="D314" s="0" t="n">
        <v>-0.00769828537244965</v>
      </c>
      <c r="E314" s="0" t="n">
        <v>-0.0034305317297707</v>
      </c>
      <c r="F314" s="0" t="n">
        <v>-0.0117995756213251</v>
      </c>
      <c r="G314" s="0" t="n">
        <v>0.009882479663548599</v>
      </c>
      <c r="H314" s="0" t="n">
        <v>-0.0074287751521056</v>
      </c>
      <c r="I314" s="0" t="n">
        <v>-0.00478631305697163</v>
      </c>
      <c r="J314" s="0" t="n">
        <v>-0.0115831298935589</v>
      </c>
      <c r="K314" s="0" t="n">
        <v>0.00257400146774522</v>
      </c>
      <c r="L314" s="0" t="n">
        <v>-0.0042016828550655</v>
      </c>
      <c r="M314" s="0" t="n">
        <v>-0.0040840020193138</v>
      </c>
      <c r="N314" s="0" t="n">
        <v>0.00681142901564912</v>
      </c>
      <c r="O314" s="0" t="n">
        <v>-0.00504140044171519</v>
      </c>
      <c r="P314" s="0" t="n">
        <v>0.0172269382479988</v>
      </c>
      <c r="Q314" s="0" t="n">
        <v>-0.00519477055225126</v>
      </c>
      <c r="R314" s="0" t="n">
        <v>-0.0044486692690171</v>
      </c>
      <c r="S314" s="0" t="n">
        <v>-0.0226766716784494</v>
      </c>
      <c r="T314" s="0" t="n">
        <v>0.00177665305188901</v>
      </c>
      <c r="U314" s="0" t="n">
        <v>-0.008782448273181309</v>
      </c>
      <c r="V314" s="0" t="n">
        <v>-0.0178608634885337</v>
      </c>
      <c r="W314" s="0" t="n">
        <v>-0.0103665239908083</v>
      </c>
      <c r="X314" s="0" t="n">
        <v>-0.0148260540476896</v>
      </c>
    </row>
    <row r="315">
      <c r="A315" s="5" t="n">
        <v>42825</v>
      </c>
      <c r="B315" s="0" t="n">
        <v>0.00206517174695974</v>
      </c>
      <c r="C315" s="0" t="n">
        <v>0.00268097691180013</v>
      </c>
      <c r="D315" s="0" t="n">
        <v>0.00403413388601503</v>
      </c>
      <c r="E315" s="0" t="n">
        <v>-0.0173315225265033</v>
      </c>
      <c r="F315" s="0" t="n">
        <v>0</v>
      </c>
      <c r="G315" s="0" t="n">
        <v>-0.00305655369637269</v>
      </c>
      <c r="H315" s="0" t="n">
        <v>0.0213122608239397</v>
      </c>
      <c r="I315" s="0" t="n">
        <v>0.0156412262827001</v>
      </c>
      <c r="J315" s="0" t="n">
        <v>-0.00975621216280897</v>
      </c>
      <c r="K315" s="0" t="n">
        <v>-0.00308962236732823</v>
      </c>
      <c r="L315" s="0" t="n">
        <v>-0.00105321010287173</v>
      </c>
      <c r="M315" s="0" t="n">
        <v>0.0008766280666501199</v>
      </c>
      <c r="N315" s="0" t="n">
        <v>0.00127202419513183</v>
      </c>
      <c r="O315" s="0" t="n">
        <v>0.000481242983798591</v>
      </c>
      <c r="P315" s="0" t="n">
        <v>-0.00599570906889335</v>
      </c>
      <c r="Q315" s="0" t="n">
        <v>0.00173456277014905</v>
      </c>
      <c r="R315" s="0" t="n">
        <v>-0.00574893872688697</v>
      </c>
      <c r="S315" s="0" t="n">
        <v>-0.0171848397529106</v>
      </c>
      <c r="T315" s="0" t="n">
        <v>-0.00653007373927394</v>
      </c>
      <c r="U315" s="0" t="n">
        <v>0.00279648639119844</v>
      </c>
      <c r="V315" s="0" t="n">
        <v>-0.00313108246230298</v>
      </c>
      <c r="W315" s="0" t="n">
        <v>-0.00305889877041209</v>
      </c>
      <c r="X315" s="0" t="n">
        <v>-0.00299177192254695</v>
      </c>
    </row>
    <row r="316">
      <c r="A316" s="5" t="n">
        <v>42828</v>
      </c>
      <c r="B316" s="0" t="n">
        <v>0.000114631094137784</v>
      </c>
      <c r="C316" s="0" t="n">
        <v>0.00467445054918425</v>
      </c>
      <c r="D316" s="0" t="n">
        <v>0.019233611014763</v>
      </c>
      <c r="E316" s="0" t="n">
        <v>-0.00613765157458967</v>
      </c>
      <c r="F316" s="0" t="n">
        <v>-0.00637891239507348</v>
      </c>
      <c r="G316" s="0" t="n">
        <v>0.00981564539398771</v>
      </c>
      <c r="H316" s="0" t="n">
        <v>0.0120919765999905</v>
      </c>
      <c r="I316" s="0" t="n">
        <v>0.00471227047740496</v>
      </c>
      <c r="J316" s="0" t="n">
        <v>0.00391389566889088</v>
      </c>
      <c r="K316" s="0" t="n">
        <v>0.000515620899583013</v>
      </c>
      <c r="L316" s="0" t="n">
        <v>0.0382475452911679</v>
      </c>
      <c r="M316" s="0" t="n">
        <v>0.00291625961859143</v>
      </c>
      <c r="N316" s="0" t="n">
        <v>0.0151390068410552</v>
      </c>
      <c r="O316" s="0" t="n">
        <v>0.00288251302887188</v>
      </c>
      <c r="P316" s="0" t="n">
        <v>0.023770196239329</v>
      </c>
      <c r="Q316" s="0" t="n">
        <v>0.00173164176892992</v>
      </c>
      <c r="R316" s="0" t="n">
        <v>-0.00230888120120642</v>
      </c>
      <c r="S316" s="0" t="n">
        <v>-0.00267022600594746</v>
      </c>
      <c r="T316" s="0" t="n">
        <v>-0.00507545437599255</v>
      </c>
      <c r="U316" s="0" t="n">
        <v>0.00459698799873731</v>
      </c>
      <c r="V316" s="0" t="n">
        <v>-0.00129210347113772</v>
      </c>
      <c r="W316" s="0" t="n">
        <v>-0.00523988748148784</v>
      </c>
      <c r="X316" s="0" t="n">
        <v>-0.00300074948732609</v>
      </c>
    </row>
    <row r="317">
      <c r="A317" s="5" t="n">
        <v>42829</v>
      </c>
      <c r="B317" s="0" t="n">
        <v>-0.00944163229404804</v>
      </c>
      <c r="C317" s="0" t="n">
        <v>-0.00166693466859602</v>
      </c>
      <c r="D317" s="0" t="n">
        <v>-0.00535756116860941</v>
      </c>
      <c r="E317" s="0" t="n">
        <v>-0.00972165465875241</v>
      </c>
      <c r="F317" s="0" t="n">
        <v>-0.0115856457557645</v>
      </c>
      <c r="G317" s="0" t="n">
        <v>-0.0128815702616655</v>
      </c>
      <c r="H317" s="0" t="n">
        <v>-0.0292703550626511</v>
      </c>
      <c r="I317" s="0" t="n">
        <v>-0.00268997881628241</v>
      </c>
      <c r="J317" s="0" t="n">
        <v>-0.00195498635599822</v>
      </c>
      <c r="K317" s="0" t="n">
        <v>0.0204088517691994</v>
      </c>
      <c r="L317" s="0" t="n">
        <v>-0.0445900047872007</v>
      </c>
      <c r="M317" s="0" t="n">
        <v>-0.00437769642801777</v>
      </c>
      <c r="N317" s="0" t="n">
        <v>0.0103799980972936</v>
      </c>
      <c r="O317" s="0" t="n">
        <v>-0.00432693732246036</v>
      </c>
      <c r="P317" s="0" t="n">
        <v>-0.0229115207701759</v>
      </c>
      <c r="Q317" s="0" t="n">
        <v>-0.0104349502713834</v>
      </c>
      <c r="R317" s="0" t="n">
        <v>-0.0108458643425084</v>
      </c>
      <c r="S317" s="0" t="n">
        <v>0.00200332174927542</v>
      </c>
      <c r="T317" s="0" t="n">
        <v>-0.0123476903350527</v>
      </c>
      <c r="U317" s="0" t="n">
        <v>-0.000277962796453756</v>
      </c>
      <c r="V317" s="0" t="n">
        <v>-0.019773028952438</v>
      </c>
      <c r="W317" s="0" t="n">
        <v>-0.00399349269332027</v>
      </c>
      <c r="X317" s="0" t="n">
        <v>-0.0181961596466462</v>
      </c>
    </row>
    <row r="318">
      <c r="A318" s="5" t="n">
        <v>42830</v>
      </c>
      <c r="B318" s="0" t="n">
        <v>-0.00249041875620026</v>
      </c>
      <c r="C318" s="0" t="n">
        <v>-0.00133556452810079</v>
      </c>
      <c r="D318" s="0" t="n">
        <v>-0.00315804281928144</v>
      </c>
      <c r="E318" s="0" t="n">
        <v>0.000887725631050884</v>
      </c>
      <c r="F318" s="0" t="n">
        <v>0.00387681519359084</v>
      </c>
      <c r="G318" s="0" t="n">
        <v>0.00680046020912783</v>
      </c>
      <c r="H318" s="0" t="n">
        <v>-0.0174785806250326</v>
      </c>
      <c r="I318" s="0" t="n">
        <v>-0.00269723432386292</v>
      </c>
      <c r="J318" s="0" t="n">
        <v>0.00390625114717302</v>
      </c>
      <c r="K318" s="0" t="n">
        <v>0.0200006476312756</v>
      </c>
      <c r="L318" s="0" t="n">
        <v>-0.0290499669796187</v>
      </c>
      <c r="M318" s="0" t="n">
        <v>-0.00234254916057663</v>
      </c>
      <c r="N318" s="0" t="n">
        <v>0.0102733596955686</v>
      </c>
      <c r="O318" s="0" t="n">
        <v>-0.0221662926052448</v>
      </c>
      <c r="P318" s="0" t="n">
        <v>0.0153325242735764</v>
      </c>
      <c r="Q318" s="0" t="n">
        <v>-0.0123132066743836</v>
      </c>
      <c r="R318" s="0" t="n">
        <v>-0.000259629226952995</v>
      </c>
      <c r="S318" s="0" t="n">
        <v>0.00731147223823613</v>
      </c>
      <c r="T318" s="0" t="n">
        <v>0.00242136404132686</v>
      </c>
      <c r="U318" s="0" t="n">
        <v>-0.007115511593482</v>
      </c>
      <c r="V318" s="0" t="n">
        <v>0.00394846952864913</v>
      </c>
      <c r="W318" s="0" t="n">
        <v>0.00706843713327476</v>
      </c>
      <c r="X318" s="0" t="n">
        <v>0.00989731085591705</v>
      </c>
    </row>
    <row r="319">
      <c r="A319" s="5" t="n">
        <v>42831</v>
      </c>
      <c r="B319" s="0" t="n">
        <v>-0.00179922601071247</v>
      </c>
      <c r="C319" s="0" t="n">
        <v>0.00200264541571648</v>
      </c>
      <c r="D319" s="0" t="n">
        <v>-0.000468724117508756</v>
      </c>
      <c r="E319" s="0" t="n">
        <v>-0.00355564068179869</v>
      </c>
      <c r="F319" s="0" t="n">
        <v>-0.00430851081429484</v>
      </c>
      <c r="G319" s="0" t="n">
        <v>0.0117906158405598</v>
      </c>
      <c r="H319" s="0" t="n">
        <v>0.0108560461385063</v>
      </c>
      <c r="I319" s="0" t="n">
        <v>-0.00405957382721355</v>
      </c>
      <c r="J319" s="0" t="n">
        <v>0.00583086843132507</v>
      </c>
      <c r="K319" s="0" t="n">
        <v>0.0388397973455202</v>
      </c>
      <c r="L319" s="0" t="n">
        <v>0.0076128368915902</v>
      </c>
      <c r="M319" s="0" t="n">
        <v>-0.000293274781891561</v>
      </c>
      <c r="N319" s="0" t="n">
        <v>0.00326538376086427</v>
      </c>
      <c r="O319" s="0" t="n">
        <v>-0.000246294414407266</v>
      </c>
      <c r="P319" s="0" t="n">
        <v>-0.0187719054025996</v>
      </c>
      <c r="Q319" s="0" t="n">
        <v>0.00705469615701837</v>
      </c>
      <c r="R319" s="0" t="n">
        <v>0.000908556010607242</v>
      </c>
      <c r="S319" s="0" t="n">
        <v>0.00264550160206411</v>
      </c>
      <c r="T319" s="0" t="n">
        <v>-0.00363424824345814</v>
      </c>
      <c r="U319" s="0" t="n">
        <v>0.00405227859894274</v>
      </c>
      <c r="V319" s="0" t="n">
        <v>0.00243645991645102</v>
      </c>
      <c r="W319" s="0" t="n">
        <v>-0.00961805406783788</v>
      </c>
      <c r="X319" s="0" t="n">
        <v>-0.0060790403494022</v>
      </c>
    </row>
    <row r="320">
      <c r="A320" s="5" t="n">
        <v>42832</v>
      </c>
      <c r="B320" s="0" t="n">
        <v>-0.00547564979370562</v>
      </c>
      <c r="C320" s="0" t="n">
        <v>0.000666702286725495</v>
      </c>
      <c r="D320" s="0" t="n">
        <v>0.00175656143385527</v>
      </c>
      <c r="E320" s="0" t="n">
        <v>0.00177940066264925</v>
      </c>
      <c r="F320" s="0" t="n">
        <v>-0.00606322293715821</v>
      </c>
      <c r="G320" s="0" t="n">
        <v>0.0109909488571471</v>
      </c>
      <c r="H320" s="0" t="n">
        <v>0.000830278624508462</v>
      </c>
      <c r="I320" s="0" t="n">
        <v>0.0114595171033209</v>
      </c>
      <c r="J320" s="0" t="n">
        <v>-0.0116960288913907</v>
      </c>
      <c r="K320" s="0" t="n">
        <v>0.158224066134857</v>
      </c>
      <c r="L320" s="0" t="n">
        <v>0.00108286196326901</v>
      </c>
      <c r="M320" s="0" t="n">
        <v>-0.00176100894148234</v>
      </c>
      <c r="N320" s="0" t="n">
        <v>0.0133578149698041</v>
      </c>
      <c r="O320" s="0" t="n">
        <v>-0.00518709527377314</v>
      </c>
      <c r="P320" s="0" t="n">
        <v>0.0347052010520578</v>
      </c>
      <c r="Q320" s="0" t="n">
        <v>0.00350877215409028</v>
      </c>
      <c r="R320" s="0" t="n">
        <v>0.009426058950912969</v>
      </c>
      <c r="S320" s="0" t="n">
        <v>-0.0039709131653085</v>
      </c>
      <c r="T320" s="0" t="n">
        <v>0.00151581775352926</v>
      </c>
      <c r="U320" s="0" t="n">
        <v>0.000697052392235164</v>
      </c>
      <c r="V320" s="0" t="n">
        <v>-0.00131122425876828</v>
      </c>
      <c r="W320" s="0" t="n">
        <v>-0.0054854632727439</v>
      </c>
      <c r="X320" s="0" t="n">
        <v>-0.00918841733177533</v>
      </c>
    </row>
    <row r="321">
      <c r="A321" s="5" t="n">
        <v>42835</v>
      </c>
      <c r="B321" s="0" t="n">
        <v>-0.00362804025670282</v>
      </c>
      <c r="C321" s="0" t="n">
        <v>0.0009991216977782711</v>
      </c>
      <c r="D321" s="0" t="n">
        <v>0.00536756341641098</v>
      </c>
      <c r="E321" s="0" t="n">
        <v>0.00266309374671669</v>
      </c>
      <c r="F321" s="0" t="n">
        <v>-0.00435352800396771</v>
      </c>
      <c r="G321" s="0" t="n">
        <v>-0.0207504378646987</v>
      </c>
      <c r="H321" s="0" t="n">
        <v>-0.0016611282724801</v>
      </c>
      <c r="I321" s="0" t="n">
        <v>0.0271090880177991</v>
      </c>
      <c r="J321" s="0" t="n">
        <v>-0.007874049039800379</v>
      </c>
      <c r="K321" s="0" t="n">
        <v>-0.08923114923484191</v>
      </c>
      <c r="L321" s="0" t="n">
        <v>-0.009788023286082741</v>
      </c>
      <c r="M321" s="0" t="n">
        <v>-0.00323674281039121</v>
      </c>
      <c r="N321" s="0" t="n">
        <v>0.00120549659047064</v>
      </c>
      <c r="O321" s="0" t="n">
        <v>-0.00173502813896142</v>
      </c>
      <c r="P321" s="0" t="n">
        <v>0.00332225890256543</v>
      </c>
      <c r="Q321" s="0" t="n">
        <v>-0.0248239455905388</v>
      </c>
      <c r="R321" s="0" t="n">
        <v>0.00461599255590261</v>
      </c>
      <c r="S321" s="0" t="n">
        <v>-0.0153694665836243</v>
      </c>
      <c r="T321" s="0" t="n">
        <v>-0.00273017483035609</v>
      </c>
      <c r="U321" s="0" t="n">
        <v>0.00444939118353371</v>
      </c>
      <c r="V321" s="0" t="n">
        <v>-0.00695947394285756</v>
      </c>
      <c r="W321" s="0" t="n">
        <v>-0.00699176841712345</v>
      </c>
      <c r="X321" s="0" t="n">
        <v>0</v>
      </c>
    </row>
    <row r="322">
      <c r="A322" s="5" t="n">
        <v>42836</v>
      </c>
      <c r="B322" s="0" t="n">
        <v>0.000468888941698608</v>
      </c>
      <c r="C322" s="0" t="n">
        <v>-0.009028636629777591</v>
      </c>
      <c r="D322" s="0" t="n">
        <v>0.00371704103489101</v>
      </c>
      <c r="E322" s="0" t="n">
        <v>-0.00444249440936594</v>
      </c>
      <c r="F322" s="0" t="n">
        <v>-0.0118500600881326</v>
      </c>
      <c r="G322" s="0" t="n">
        <v>0.009759489007551631</v>
      </c>
      <c r="H322" s="0" t="n">
        <v>0</v>
      </c>
      <c r="I322" s="0" t="n">
        <v>0.0110283360182519</v>
      </c>
      <c r="J322" s="0" t="n">
        <v>0.00591138854942241</v>
      </c>
      <c r="K322" s="0" t="n">
        <v>0.0219788859867247</v>
      </c>
      <c r="L322" s="0" t="n">
        <v>-0.0458436741171577</v>
      </c>
      <c r="M322" s="0" t="n">
        <v>-0.000294830848278859</v>
      </c>
      <c r="N322" s="0" t="n">
        <v>0.009592390733403899</v>
      </c>
      <c r="O322" s="0" t="n">
        <v>0.00618278194386645</v>
      </c>
      <c r="P322" s="0" t="n">
        <v>-0.0234910705376663</v>
      </c>
      <c r="Q322" s="0" t="n">
        <v>0.0107143777204716</v>
      </c>
      <c r="R322" s="0" t="n">
        <v>-0.00269005591242343</v>
      </c>
      <c r="S322" s="0" t="n">
        <v>-0.00269723432386292</v>
      </c>
      <c r="T322" s="0" t="n">
        <v>-0.009154755738837389</v>
      </c>
      <c r="U322" s="0" t="n">
        <v>0.00110928780104835</v>
      </c>
      <c r="V322" s="0" t="n">
        <v>0.000188772976218665</v>
      </c>
      <c r="W322" s="0" t="n">
        <v>-0.0193891407260782</v>
      </c>
      <c r="X322" s="0" t="n">
        <v>-0.0108276653490118</v>
      </c>
    </row>
    <row r="323">
      <c r="A323" s="5" t="n">
        <v>42837</v>
      </c>
      <c r="B323" s="0" t="n">
        <v>-0.00664339945760072</v>
      </c>
      <c r="C323" s="0" t="n">
        <v>-0.00707908927162792</v>
      </c>
      <c r="D323" s="0" t="n">
        <v>-0.00429911488251555</v>
      </c>
      <c r="E323" s="0" t="n">
        <v>-0.01074315523838</v>
      </c>
      <c r="F323" s="0" t="n">
        <v>-0.0137810346158029</v>
      </c>
      <c r="G323" s="0" t="n">
        <v>0.00367704586599204</v>
      </c>
      <c r="H323" s="0" t="n">
        <v>-0.0210003910303537</v>
      </c>
      <c r="I323" s="0" t="n">
        <v>-0.00712205376624197</v>
      </c>
      <c r="J323" s="0" t="n">
        <v>0.00196266049037796</v>
      </c>
      <c r="K323" s="0" t="n">
        <v>-0.0814930675006989</v>
      </c>
      <c r="L323" s="0" t="n">
        <v>-0.0022908949361331</v>
      </c>
      <c r="M323" s="0" t="n">
        <v>-0.00117985563185873</v>
      </c>
      <c r="N323" s="0" t="n">
        <v>-0.000795803875025757</v>
      </c>
      <c r="O323" s="0" t="n">
        <v>-0.00692735559626589</v>
      </c>
      <c r="P323" s="0" t="n">
        <v>-0.0153980245578204</v>
      </c>
      <c r="Q323" s="0" t="n">
        <v>-0.00177781893613571</v>
      </c>
      <c r="R323" s="0" t="n">
        <v>0</v>
      </c>
      <c r="S323" s="0" t="n">
        <v>-0.00881661263813216</v>
      </c>
      <c r="T323" s="0" t="n">
        <v>-0.00615010462032605</v>
      </c>
      <c r="U323" s="0" t="n">
        <v>-0.0119895562823177</v>
      </c>
      <c r="V323" s="0" t="n">
        <v>-0.00302400234423405</v>
      </c>
      <c r="W323" s="0" t="n">
        <v>-0.0338885784012865</v>
      </c>
      <c r="X323" s="0" t="n">
        <v>-0.0212188319365003</v>
      </c>
    </row>
    <row r="324">
      <c r="A324" s="5" t="n">
        <v>42838</v>
      </c>
      <c r="B324" s="0" t="n">
        <v>0.0092183214610122</v>
      </c>
      <c r="C324" s="0" t="n">
        <v>0.00270271467182903</v>
      </c>
      <c r="D324" s="0" t="n">
        <v>-0.0416082853614181</v>
      </c>
      <c r="E324" s="0" t="n">
        <v>0.015185649647746</v>
      </c>
      <c r="F324" s="0" t="n">
        <v>0.0208202124116763</v>
      </c>
      <c r="G324" s="0" t="n">
        <v>0.00100052324467858</v>
      </c>
      <c r="H324" s="0" t="n">
        <v>0.0585251479557973</v>
      </c>
      <c r="I324" s="0" t="n">
        <v>-0.000649998640569027</v>
      </c>
      <c r="J324" s="0" t="n">
        <v>-0.009852239974235779</v>
      </c>
      <c r="K324" s="0" t="n">
        <v>-0.038466245545726</v>
      </c>
      <c r="L324" s="0" t="n">
        <v>0.009132474615119341</v>
      </c>
      <c r="M324" s="0" t="n">
        <v>0.00353562330588452</v>
      </c>
      <c r="N324" s="0" t="n">
        <v>0.0071399905687941</v>
      </c>
      <c r="O324" s="0" t="n">
        <v>0.000496412476216345</v>
      </c>
      <c r="P324" s="0" t="n">
        <v>0.00943804986962693</v>
      </c>
      <c r="Q324" s="0" t="n">
        <v>0.0315263068952476</v>
      </c>
      <c r="R324" s="0" t="n">
        <v>0.009828456939124481</v>
      </c>
      <c r="S324" s="0" t="n">
        <v>0.0101661070303622</v>
      </c>
      <c r="T324" s="0" t="n">
        <v>0.00584354868956804</v>
      </c>
      <c r="U324" s="0" t="n">
        <v>0.0140660282019062</v>
      </c>
      <c r="V324" s="0" t="n">
        <v>0.00226884062049537</v>
      </c>
      <c r="W324" s="0" t="n">
        <v>0.0263300066894105</v>
      </c>
      <c r="X324" s="0" t="n">
        <v>0.0250993328631699</v>
      </c>
    </row>
    <row r="325">
      <c r="A325" s="5" t="n">
        <v>42842</v>
      </c>
      <c r="B325" s="0" t="n">
        <v>-0.00615568717091807</v>
      </c>
      <c r="C325" s="0" t="n">
        <v>0.00672500047534985</v>
      </c>
      <c r="D325" s="0" t="n">
        <v>-0.0144274460831281</v>
      </c>
      <c r="E325" s="0" t="n">
        <v>-0.01248895707909</v>
      </c>
      <c r="F325" s="0" t="n">
        <v>-0.00439369707936121</v>
      </c>
      <c r="G325" s="0" t="n">
        <v>-0.00601808255949265</v>
      </c>
      <c r="H325" s="0" t="n">
        <v>-0.0120823517888299</v>
      </c>
      <c r="I325" s="0" t="n">
        <v>0</v>
      </c>
      <c r="J325" s="0" t="n">
        <v>0.0019781909344354</v>
      </c>
      <c r="K325" s="0" t="n">
        <v>-0.0502617865863102</v>
      </c>
      <c r="L325" s="0" t="n">
        <v>-0.0264840461586652</v>
      </c>
      <c r="M325" s="0" t="n">
        <v>-0.00471698536904074</v>
      </c>
      <c r="N325" s="0" t="n">
        <v>-0.009531437421000259</v>
      </c>
      <c r="O325" s="0" t="n">
        <v>-0.00124144615656485</v>
      </c>
      <c r="P325" s="0" t="n">
        <v>-0.0180961454980623</v>
      </c>
      <c r="Q325" s="0" t="n">
        <v>-0.0017256654412141</v>
      </c>
      <c r="R325" s="0" t="n">
        <v>-0.00611549041466918</v>
      </c>
      <c r="S325" s="0" t="n">
        <v>0.00403771874791525</v>
      </c>
      <c r="T325" s="0" t="n">
        <v>0.0018381610480751</v>
      </c>
      <c r="U325" s="0" t="n">
        <v>0.000414777476567707</v>
      </c>
      <c r="V325" s="0" t="n">
        <v>-0.000377794820547894</v>
      </c>
      <c r="W325" s="0" t="n">
        <v>-0.0051345639603717</v>
      </c>
      <c r="X325" s="0" t="n">
        <v>-0.00855700721246188</v>
      </c>
    </row>
    <row r="326">
      <c r="A326" s="5" t="n">
        <v>42843</v>
      </c>
      <c r="B326" s="0" t="n">
        <v>-0.050411592548416</v>
      </c>
      <c r="C326" s="0" t="n">
        <v>0.00534756041386685</v>
      </c>
      <c r="D326" s="0" t="n">
        <v>-0.00382501009999725</v>
      </c>
      <c r="E326" s="0" t="n">
        <v>0.00447821950651894</v>
      </c>
      <c r="F326" s="0" t="n">
        <v>0.001320162453601</v>
      </c>
      <c r="G326" s="0" t="n">
        <v>0.00435005093256668</v>
      </c>
      <c r="H326" s="0" t="n">
        <v>-0.0155167753193796</v>
      </c>
      <c r="I326" s="0" t="n">
        <v>-0.0317067841689717</v>
      </c>
      <c r="J326" s="0" t="n">
        <v>0.00197437947036793</v>
      </c>
      <c r="K326" s="0" t="n">
        <v>0.08162747362506501</v>
      </c>
      <c r="L326" s="0" t="n">
        <v>-0.00702572751899621</v>
      </c>
      <c r="M326" s="0" t="n">
        <v>-0.00681987935028649</v>
      </c>
      <c r="N326" s="0" t="n">
        <v>0.00913616872626921</v>
      </c>
      <c r="O326" s="0" t="n">
        <v>0</v>
      </c>
      <c r="P326" s="0" t="n">
        <v>-0.0417282263131144</v>
      </c>
      <c r="Q326" s="0" t="n">
        <v>-0.0139132546478306</v>
      </c>
      <c r="R326" s="0" t="n">
        <v>-0.00538184492263127</v>
      </c>
      <c r="S326" s="0" t="n">
        <v>0.000671317596230292</v>
      </c>
      <c r="T326" s="0" t="n">
        <v>-0.000612267109139974</v>
      </c>
      <c r="U326" s="0" t="n">
        <v>-0.00318443650753419</v>
      </c>
      <c r="V326" s="0" t="n">
        <v>0.00508811905302097</v>
      </c>
      <c r="W326" s="0" t="n">
        <v>-0.00573613868213573</v>
      </c>
      <c r="X326" s="0" t="n">
        <v>-0.016542325650708</v>
      </c>
    </row>
    <row r="327">
      <c r="A327" s="5" t="n">
        <v>42844</v>
      </c>
      <c r="B327" s="0" t="n">
        <v>0.00376555647271015</v>
      </c>
      <c r="C327" s="0" t="n">
        <v>0.00895979196189378</v>
      </c>
      <c r="D327" s="0" t="n">
        <v>0.0128971024293624</v>
      </c>
      <c r="E327" s="0" t="n">
        <v>0.0247144695973324</v>
      </c>
      <c r="F327" s="0" t="n">
        <v>0.0144075807001842</v>
      </c>
      <c r="G327" s="0" t="n">
        <v>-0.008045691376174609</v>
      </c>
      <c r="H327" s="0" t="n">
        <v>-0.0216314973560027</v>
      </c>
      <c r="I327" s="0" t="n">
        <v>0.0106810628853235</v>
      </c>
      <c r="J327" s="0" t="n">
        <v>0</v>
      </c>
      <c r="K327" s="0" t="n">
        <v>-0.0362796972353965</v>
      </c>
      <c r="L327" s="0" t="n">
        <v>0.0357798659373549</v>
      </c>
      <c r="M327" s="0" t="n">
        <v>0.00386046696807618</v>
      </c>
      <c r="N327" s="0" t="n">
        <v>0.0078771125257111</v>
      </c>
      <c r="O327" s="0" t="n">
        <v>0.0027292067435205</v>
      </c>
      <c r="P327" s="0" t="n">
        <v>-0.0275752950755219</v>
      </c>
      <c r="Q327" s="0" t="n">
        <v>-0.0158873868062028</v>
      </c>
      <c r="R327" s="0" t="n">
        <v>0.0203491499894807</v>
      </c>
      <c r="S327" s="0" t="n">
        <v>0.00268096426845909</v>
      </c>
      <c r="T327" s="0" t="n">
        <v>0.0054978848304632</v>
      </c>
      <c r="U327" s="0" t="n">
        <v>-0.009754772548959951</v>
      </c>
      <c r="V327" s="0" t="n">
        <v>0.00450109284201349</v>
      </c>
      <c r="W327" s="0" t="n">
        <v>0.025557443195757</v>
      </c>
      <c r="X327" s="0" t="n">
        <v>0.0102727187287823</v>
      </c>
    </row>
    <row r="328">
      <c r="A328" s="5" t="n">
        <v>42845</v>
      </c>
      <c r="B328" s="0" t="n">
        <v>-0.0119004634995834</v>
      </c>
      <c r="C328" s="0" t="n">
        <v>-0.0240734042631705</v>
      </c>
      <c r="D328" s="0" t="n">
        <v>-0.00061042608498596</v>
      </c>
      <c r="E328" s="0" t="n">
        <v>-0.0113986426665793</v>
      </c>
      <c r="F328" s="0" t="n">
        <v>-0.0157277431537852</v>
      </c>
      <c r="G328" s="0" t="n">
        <v>0.008045691376174609</v>
      </c>
      <c r="H328" s="0" t="n">
        <v>-0.00252631469846376</v>
      </c>
      <c r="I328" s="0" t="n">
        <v>0.00595825654111648</v>
      </c>
      <c r="J328" s="0" t="n">
        <v>0</v>
      </c>
      <c r="K328" s="0" t="n">
        <v>0.009803990929980629</v>
      </c>
      <c r="L328" s="0" t="n">
        <v>0.00565294800119753</v>
      </c>
      <c r="M328" s="0" t="n">
        <v>-0.00296830990378893</v>
      </c>
      <c r="N328" s="0" t="n">
        <v>-0.00669162418552504</v>
      </c>
      <c r="O328" s="0" t="n">
        <v>-0.0107112818901935</v>
      </c>
      <c r="P328" s="0" t="n">
        <v>0.0101994961073059</v>
      </c>
      <c r="Q328" s="0" t="n">
        <v>0.00355239829475384</v>
      </c>
      <c r="R328" s="0" t="n">
        <v>-0.00189025986274504</v>
      </c>
      <c r="S328" s="0" t="n">
        <v>-0.00268096426845909</v>
      </c>
      <c r="T328" s="0" t="n">
        <v>-0.000304710923850315</v>
      </c>
      <c r="U328" s="0" t="n">
        <v>0.0008398314679425311</v>
      </c>
      <c r="V328" s="0" t="n">
        <v>0.000748240143633172</v>
      </c>
      <c r="W328" s="0" t="n">
        <v>-0.00938974034983886</v>
      </c>
      <c r="X328" s="0" t="n">
        <v>-0.009478734671999769</v>
      </c>
    </row>
    <row r="329">
      <c r="A329" s="5" t="n">
        <v>42846</v>
      </c>
      <c r="B329" s="0" t="n">
        <v>0.00230433329357637</v>
      </c>
      <c r="C329" s="0" t="n">
        <v>0</v>
      </c>
      <c r="D329" s="0" t="n">
        <v>0.0185111909901838</v>
      </c>
      <c r="E329" s="0" t="n">
        <v>0.00790519275093437</v>
      </c>
      <c r="F329" s="0" t="n">
        <v>0.0397117398796007</v>
      </c>
      <c r="G329" s="0" t="n">
        <v>0.00632382291257016</v>
      </c>
      <c r="H329" s="0" t="n">
        <v>0.0290839254727375</v>
      </c>
      <c r="I329" s="0" t="n">
        <v>-0.0213483557705855</v>
      </c>
      <c r="J329" s="0" t="n">
        <v>0.0117648300294981</v>
      </c>
      <c r="K329" s="0" t="n">
        <v>0</v>
      </c>
      <c r="L329" s="0" t="n">
        <v>-0.0136210830499448</v>
      </c>
      <c r="M329" s="0" t="n">
        <v>0.00296830990378893</v>
      </c>
      <c r="N329" s="0" t="n">
        <v>0.00512118775128644</v>
      </c>
      <c r="O329" s="0" t="n">
        <v>0.00225141187606059</v>
      </c>
      <c r="P329" s="0" t="n">
        <v>-0.00277133961930164</v>
      </c>
      <c r="Q329" s="0" t="n">
        <v>0.0105820995410466</v>
      </c>
      <c r="R329" s="0" t="n">
        <v>0.0096656029415012</v>
      </c>
      <c r="S329" s="0" t="n">
        <v>0.0106810628853235</v>
      </c>
      <c r="T329" s="0" t="n">
        <v>0.013918502909751</v>
      </c>
      <c r="U329" s="0" t="n">
        <v>0.0149982230825731</v>
      </c>
      <c r="V329" s="0" t="n">
        <v>0.00130803897231013</v>
      </c>
      <c r="W329" s="0" t="n">
        <v>0.0121895839659438</v>
      </c>
      <c r="X329" s="0" t="n">
        <v>0.030482968829852</v>
      </c>
    </row>
    <row r="330">
      <c r="A330" s="5" t="n">
        <v>42849</v>
      </c>
      <c r="B330" s="0" t="n">
        <v>-0.00224201757386399</v>
      </c>
      <c r="C330" s="0" t="n">
        <v>-0.00338981301196739</v>
      </c>
      <c r="D330" s="0" t="n">
        <v>-0.0269728572345631</v>
      </c>
      <c r="E330" s="0" t="n">
        <v>0.0043648465102728</v>
      </c>
      <c r="F330" s="0" t="n">
        <v>0.0147030748267482</v>
      </c>
      <c r="G330" s="0" t="n">
        <v>-0.0100033924987044</v>
      </c>
      <c r="H330" s="0" t="n">
        <v>0</v>
      </c>
      <c r="I330" s="0" t="n">
        <v>-0.0322056112934645</v>
      </c>
      <c r="J330" s="0" t="n">
        <v>0.0154741815963022</v>
      </c>
      <c r="K330" s="0" t="n">
        <v>-0.0448952771848004</v>
      </c>
      <c r="L330" s="0" t="n">
        <v>0.0225998106060827</v>
      </c>
      <c r="M330" s="0" t="n">
        <v>0.0005924931452261359</v>
      </c>
      <c r="N330" s="0" t="n">
        <v>0.0186848383452833</v>
      </c>
      <c r="O330" s="0" t="n">
        <v>-0.00200104699014236</v>
      </c>
      <c r="P330" s="0" t="n">
        <v>0.0156037239221311</v>
      </c>
      <c r="Q330" s="0" t="n">
        <v>0.0139375776050607</v>
      </c>
      <c r="R330" s="0" t="n">
        <v>0.02613877209349</v>
      </c>
      <c r="S330" s="0" t="n">
        <v>0.0281523894179325</v>
      </c>
      <c r="T330" s="0" t="n">
        <v>0.00419788910483154</v>
      </c>
      <c r="U330" s="0" t="n">
        <v>-0.00165543897377329</v>
      </c>
      <c r="V330" s="0" t="n">
        <v>0.00725650960545731</v>
      </c>
      <c r="W330" s="0" t="n">
        <v>0.0168195411874303</v>
      </c>
      <c r="X330" s="0" t="n">
        <v>0.00384174051046626</v>
      </c>
    </row>
    <row r="331">
      <c r="A331" s="5" t="n">
        <v>42850</v>
      </c>
      <c r="B331" s="0" t="n">
        <v>-0.00205961585803393</v>
      </c>
      <c r="C331" s="0" t="n">
        <v>-0.00647255605657193</v>
      </c>
      <c r="D331" s="0" t="n">
        <v>-0.00296001535364354</v>
      </c>
      <c r="E331" s="0" t="n">
        <v>0.0103987799811045</v>
      </c>
      <c r="F331" s="0" t="n">
        <v>-0.00376019472066779</v>
      </c>
      <c r="G331" s="0" t="n">
        <v>0.000670032102389583</v>
      </c>
      <c r="H331" s="0" t="n">
        <v>-0.00574955566639445</v>
      </c>
      <c r="I331" s="0" t="n">
        <v>0.0117689194926264</v>
      </c>
      <c r="J331" s="0" t="n">
        <v>-0.0193804327434752</v>
      </c>
      <c r="K331" s="0" t="n">
        <v>-0.0211402602737136</v>
      </c>
      <c r="L331" s="0" t="n">
        <v>-0.0248881935597977</v>
      </c>
      <c r="M331" s="0" t="n">
        <v>0.00266233427048279</v>
      </c>
      <c r="N331" s="0" t="n">
        <v>-0.00231658268144219</v>
      </c>
      <c r="O331" s="0" t="n">
        <v>0.0124410665897229</v>
      </c>
      <c r="P331" s="0" t="n">
        <v>-0.0146791491771538</v>
      </c>
      <c r="Q331" s="0" t="n">
        <v>-0.0174525164723218</v>
      </c>
      <c r="R331" s="0" t="n">
        <v>-0.00207100239510538</v>
      </c>
      <c r="S331" s="0" t="n">
        <v>-0.0509875082114001</v>
      </c>
      <c r="T331" s="0" t="n">
        <v>-0.000598522710406612</v>
      </c>
      <c r="U331" s="0" t="n">
        <v>-0.0127832524871491</v>
      </c>
      <c r="V331" s="0" t="n">
        <v>-0.00315659291702763</v>
      </c>
      <c r="W331" s="0" t="n">
        <v>-0.000366644501707202</v>
      </c>
      <c r="X331" s="0" t="n">
        <v>0.00611622122018662</v>
      </c>
    </row>
    <row r="332">
      <c r="A332" s="5" t="n">
        <v>42851</v>
      </c>
      <c r="B332" s="0" t="n">
        <v>0.0016231338956647</v>
      </c>
      <c r="C332" s="0" t="n">
        <v>-0.00617073252914446</v>
      </c>
      <c r="D332" s="0" t="n">
        <v>0.00455978046180938</v>
      </c>
      <c r="E332" s="0" t="n">
        <v>-0.0112701765757323</v>
      </c>
      <c r="F332" s="0" t="n">
        <v>-0.010096836981162</v>
      </c>
      <c r="G332" s="0" t="n">
        <v>0.009665097969314029</v>
      </c>
      <c r="H332" s="0" t="n">
        <v>0.00820348375122259</v>
      </c>
      <c r="I332" s="0" t="n">
        <v>-0.0515468532199085</v>
      </c>
      <c r="J332" s="0" t="n">
        <v>-0.0177695004395375</v>
      </c>
      <c r="K332" s="0" t="n">
        <v>-0.0344587802050257</v>
      </c>
      <c r="L332" s="0" t="n">
        <v>-0.0361554801005343</v>
      </c>
      <c r="M332" s="0" t="n">
        <v>0.000295440450109651</v>
      </c>
      <c r="N332" s="0" t="n">
        <v>-0.00309717324577896</v>
      </c>
      <c r="O332" s="0" t="n">
        <v>-0.0131924449561977</v>
      </c>
      <c r="P332" s="0" t="n">
        <v>-0.0158363888768695</v>
      </c>
      <c r="Q332" s="0" t="n">
        <v>0</v>
      </c>
      <c r="R332" s="0" t="n">
        <v>0.009588044944890401</v>
      </c>
      <c r="S332" s="0" t="n">
        <v>0.0248251514503383</v>
      </c>
      <c r="T332" s="0" t="n">
        <v>0.0104244716508881</v>
      </c>
      <c r="U332" s="0" t="n">
        <v>0.000279595121206455</v>
      </c>
      <c r="V332" s="0" t="n">
        <v>0.0347256699692355</v>
      </c>
      <c r="W332" s="0" t="n">
        <v>-0.00183524164629567</v>
      </c>
      <c r="X332" s="0" t="n">
        <v>-0.00995796173065288</v>
      </c>
    </row>
    <row r="333">
      <c r="A333" s="5" t="n">
        <v>42852</v>
      </c>
      <c r="B333" s="0" t="n">
        <v>-0.000187230829459039</v>
      </c>
      <c r="C333" s="0" t="n">
        <v>-0.00309970448457841</v>
      </c>
      <c r="D333" s="0" t="n">
        <v>0.00893568256998822</v>
      </c>
      <c r="E333" s="0" t="n">
        <v>0</v>
      </c>
      <c r="F333" s="0" t="n">
        <v>-0.0131944654121207</v>
      </c>
      <c r="G333" s="0" t="n">
        <v>-0.0167227979428226</v>
      </c>
      <c r="H333" s="0" t="n">
        <v>0.0048899807333389</v>
      </c>
      <c r="I333" s="0" t="n">
        <v>0.0115274940822915</v>
      </c>
      <c r="J333" s="0" t="n">
        <v>-0.0140423918558361</v>
      </c>
      <c r="K333" s="0" t="n">
        <v>0.0297577723564035</v>
      </c>
      <c r="L333" s="0" t="n">
        <v>0.0188240672925288</v>
      </c>
      <c r="M333" s="0" t="n">
        <v>0.00177036221140669</v>
      </c>
      <c r="N333" s="0" t="n">
        <v>-0.00466385753741382</v>
      </c>
      <c r="O333" s="0" t="n">
        <v>-0.00704048108281085</v>
      </c>
      <c r="P333" s="0" t="n">
        <v>0.0046838673054923</v>
      </c>
      <c r="Q333" s="0" t="n">
        <v>0.008764331544368171</v>
      </c>
      <c r="R333" s="0" t="n">
        <v>-0.00423650657254537</v>
      </c>
      <c r="S333" s="0" t="n">
        <v>-0.00464960607868203</v>
      </c>
      <c r="T333" s="0" t="n">
        <v>0.009436805397019739</v>
      </c>
      <c r="U333" s="0" t="n">
        <v>0.0034889436586063</v>
      </c>
      <c r="V333" s="0" t="n">
        <v>0.0068027666022159</v>
      </c>
      <c r="W333" s="0" t="n">
        <v>-0.0110824643869218</v>
      </c>
      <c r="X333" s="0" t="n">
        <v>-0.0100581209501342</v>
      </c>
    </row>
    <row r="334">
      <c r="A334" s="5" t="n">
        <v>42853</v>
      </c>
      <c r="B334" s="0" t="n">
        <v>-0.009087249544321271</v>
      </c>
      <c r="C334" s="0" t="n">
        <v>-0.00172621118510596</v>
      </c>
      <c r="D334" s="0" t="n">
        <v>-0.0029289484911521</v>
      </c>
      <c r="E334" s="0" t="n">
        <v>-0.00436874351331262</v>
      </c>
      <c r="F334" s="0" t="n">
        <v>0.0115017435527984</v>
      </c>
      <c r="G334" s="0" t="n">
        <v>-0.0214768493478589</v>
      </c>
      <c r="H334" s="0" t="n">
        <v>0.00890338622655662</v>
      </c>
      <c r="I334" s="0" t="n">
        <v>-0.0224566063823492</v>
      </c>
      <c r="J334" s="0" t="n">
        <v>0.00201821037945548</v>
      </c>
      <c r="K334" s="0" t="n">
        <v>0.0319450330484356</v>
      </c>
      <c r="L334" s="0" t="n">
        <v>0.0115876592229557</v>
      </c>
      <c r="M334" s="0" t="n">
        <v>-0.0041358816993422</v>
      </c>
      <c r="N334" s="0" t="n">
        <v>-0.0113615686356349</v>
      </c>
      <c r="O334" s="0" t="n">
        <v>-0.0134640061882485</v>
      </c>
      <c r="P334" s="0" t="n">
        <v>-0.00374531921853504</v>
      </c>
      <c r="Q334" s="0" t="n">
        <v>0.00695654315902372</v>
      </c>
      <c r="R334" s="0" t="n">
        <v>-0.00583947343631585</v>
      </c>
      <c r="S334" s="0" t="n">
        <v>-0.0019993799673923</v>
      </c>
      <c r="T334" s="0" t="n">
        <v>-0.00293940460832642</v>
      </c>
      <c r="U334" s="0" t="n">
        <v>-0.013746824909691</v>
      </c>
      <c r="V334" s="0" t="n">
        <v>0.00462802774817205</v>
      </c>
      <c r="W334" s="0" t="n">
        <v>0.0114497822640369</v>
      </c>
      <c r="X334" s="0" t="n">
        <v>0.0177268994661123</v>
      </c>
    </row>
    <row r="335">
      <c r="A335" s="5" t="n">
        <v>42856</v>
      </c>
      <c r="B335" s="0" t="n">
        <v>0.00163559049878792</v>
      </c>
      <c r="C335" s="0" t="n">
        <v>0.00172621118510596</v>
      </c>
      <c r="D335" s="0" t="n">
        <v>-0.00146774425866968</v>
      </c>
      <c r="E335" s="0" t="n">
        <v>-0.0447702336052109</v>
      </c>
      <c r="F335" s="0" t="n">
        <v>-0.00339414502784629</v>
      </c>
      <c r="G335" s="0" t="n">
        <v>-0.00691568324776925</v>
      </c>
      <c r="H335" s="0" t="n">
        <v>0.0191545973678777</v>
      </c>
      <c r="I335" s="0" t="n">
        <v>0.00657177645166839</v>
      </c>
      <c r="J335" s="0" t="n">
        <v>-0.0244909961727943</v>
      </c>
      <c r="K335" s="0" t="n">
        <v>0</v>
      </c>
      <c r="L335" s="0" t="n">
        <v>0.016000271587512</v>
      </c>
      <c r="M335" s="0" t="n">
        <v>-0.00504521534595925</v>
      </c>
      <c r="N335" s="0" t="n">
        <v>0.0222102097927421</v>
      </c>
      <c r="O335" s="0" t="n">
        <v>-0.00384363606186388</v>
      </c>
      <c r="P335" s="0" t="n">
        <v>-0.00658823040164513</v>
      </c>
      <c r="Q335" s="0" t="n">
        <v>0.015477549158571</v>
      </c>
      <c r="R335" s="0" t="n">
        <v>-0.036783459733261</v>
      </c>
      <c r="S335" s="0" t="n">
        <v>-0.0168184256122874</v>
      </c>
      <c r="T335" s="0" t="n">
        <v>0.00791678218695057</v>
      </c>
      <c r="U335" s="0" t="n">
        <v>0.000423621813334662</v>
      </c>
      <c r="V335" s="0" t="n">
        <v>-0.0064137152605479</v>
      </c>
      <c r="W335" s="0" t="n">
        <v>0.00146792376918059</v>
      </c>
      <c r="X335" s="0" t="n">
        <v>-0.0107528181616514</v>
      </c>
    </row>
    <row r="336">
      <c r="A336" s="5" t="n">
        <v>42857</v>
      </c>
      <c r="B336" s="0" t="n">
        <v>-0.00295849650499846</v>
      </c>
      <c r="C336" s="0" t="n">
        <v>0.00824466751108676</v>
      </c>
      <c r="D336" s="0" t="n">
        <v>-0.00552314330289327</v>
      </c>
      <c r="E336" s="0" t="n">
        <v>0.0136427418493401</v>
      </c>
      <c r="F336" s="0" t="n">
        <v>0.0101480687091699</v>
      </c>
      <c r="G336" s="0" t="n">
        <v>0.019925081387127</v>
      </c>
      <c r="H336" s="0" t="n">
        <v>-0.0183491784569804</v>
      </c>
      <c r="I336" s="0" t="n">
        <v>-0.0154018476894939</v>
      </c>
      <c r="J336" s="0" t="n">
        <v>0.00206393303104013</v>
      </c>
      <c r="K336" s="0" t="n">
        <v>0.0140989229286786</v>
      </c>
      <c r="L336" s="0" t="n">
        <v>-0.0535634493889762</v>
      </c>
      <c r="M336" s="0" t="n">
        <v>-0.00417410820203922</v>
      </c>
      <c r="N336" s="0" t="n">
        <v>-0.020635370249618</v>
      </c>
      <c r="O336" s="0" t="n">
        <v>-0.0142212925743092</v>
      </c>
      <c r="P336" s="0" t="n">
        <v>0.0242549411229759</v>
      </c>
      <c r="Q336" s="0" t="n">
        <v>-0.0034188034047502</v>
      </c>
      <c r="R336" s="0" t="n">
        <v>0.008821695038585089</v>
      </c>
      <c r="S336" s="0" t="n">
        <v>0.0247918823298385</v>
      </c>
      <c r="T336" s="0" t="n">
        <v>0.000291964414051548</v>
      </c>
      <c r="U336" s="0" t="n">
        <v>-0.00864947749266509</v>
      </c>
      <c r="V336" s="0" t="n">
        <v>-0.0160349237378483</v>
      </c>
      <c r="W336" s="0" t="n">
        <v>0.00566776469832674</v>
      </c>
      <c r="X336" s="0" t="n">
        <v>0.0145652657675414</v>
      </c>
    </row>
    <row r="337">
      <c r="A337" s="5" t="n">
        <v>42858</v>
      </c>
      <c r="B337" s="0" t="n">
        <v>0.00264416018105961</v>
      </c>
      <c r="C337" s="0" t="n">
        <v>-0.00102689071918948</v>
      </c>
      <c r="D337" s="0" t="n">
        <v>0.0217916092328689</v>
      </c>
      <c r="E337" s="0" t="n">
        <v>-0.00634344635435324</v>
      </c>
      <c r="F337" s="0" t="n">
        <v>0.00335993269874279</v>
      </c>
      <c r="G337" s="0" t="n">
        <v>-0.00614127854608348</v>
      </c>
      <c r="H337" s="0" t="n">
        <v>-0.0427696361239227</v>
      </c>
      <c r="I337" s="0" t="n">
        <v>-0.0104012371033261</v>
      </c>
      <c r="J337" s="0" t="n">
        <v>-0.00206393303104013</v>
      </c>
      <c r="K337" s="0" t="n">
        <v>-0.0202026878547784</v>
      </c>
      <c r="L337" s="0" t="n">
        <v>-0.0502864813548606</v>
      </c>
      <c r="M337" s="0" t="n">
        <v>-0.000597742312203664</v>
      </c>
      <c r="N337" s="0" t="n">
        <v>-0.0683748892223108</v>
      </c>
      <c r="O337" s="0" t="n">
        <v>-0.010208260487512</v>
      </c>
      <c r="P337" s="0" t="n">
        <v>-0.0423593456774233</v>
      </c>
      <c r="Q337" s="0" t="n">
        <v>0.0169783200394286</v>
      </c>
      <c r="R337" s="0" t="n">
        <v>0.01778322504728</v>
      </c>
      <c r="S337" s="0" t="n">
        <v>-0.00198739604255937</v>
      </c>
      <c r="T337" s="0" t="n">
        <v>-0.00204587809229961</v>
      </c>
      <c r="U337" s="0" t="n">
        <v>0.00128081336334595</v>
      </c>
      <c r="V337" s="0" t="n">
        <v>0.00235822791226159</v>
      </c>
      <c r="W337" s="0" t="n">
        <v>0.00599841541757495</v>
      </c>
      <c r="X337" s="0" t="n">
        <v>-0.00687289080012654</v>
      </c>
    </row>
    <row r="338">
      <c r="A338" s="5" t="n">
        <v>42859</v>
      </c>
      <c r="B338" s="0" t="n">
        <v>-0.0254709721536956</v>
      </c>
      <c r="C338" s="0" t="n">
        <v>0.000684665708948095</v>
      </c>
      <c r="D338" s="0" t="n">
        <v>-0.00640290643589924</v>
      </c>
      <c r="E338" s="0" t="n">
        <v>0.0126469925196852</v>
      </c>
      <c r="F338" s="0" t="n">
        <v>-0.00462285378855531</v>
      </c>
      <c r="G338" s="0" t="n">
        <v>0.00443917644797897</v>
      </c>
      <c r="H338" s="0" t="n">
        <v>0.0183185630672948</v>
      </c>
      <c r="I338" s="0" t="n">
        <v>0.0162966060942859</v>
      </c>
      <c r="J338" s="0" t="n">
        <v>0.0102775239282575</v>
      </c>
      <c r="K338" s="0" t="n">
        <v>-0.0154245169656204</v>
      </c>
      <c r="L338" s="0" t="n">
        <v>0.0272970135357821</v>
      </c>
      <c r="M338" s="0" t="n">
        <v>0.000896422565932919</v>
      </c>
      <c r="N338" s="0" t="n">
        <v>-0.00591465134479696</v>
      </c>
      <c r="O338" s="0" t="n">
        <v>0.0143662665141395</v>
      </c>
      <c r="P338" s="0" t="n">
        <v>0.0524465155328881</v>
      </c>
      <c r="Q338" s="0" t="n">
        <v>-0.00337268122422251</v>
      </c>
      <c r="R338" s="0" t="n">
        <v>-0.000863181471232543</v>
      </c>
      <c r="S338" s="0" t="n">
        <v>0.00529101262853171</v>
      </c>
      <c r="T338" s="0" t="n">
        <v>0.00612512008030297</v>
      </c>
      <c r="U338" s="0" t="n">
        <v>0.00863845389980078</v>
      </c>
      <c r="V338" s="0" t="n">
        <v>-0.000724979201134345</v>
      </c>
      <c r="W338" s="0" t="n">
        <v>-0.00126937534939575</v>
      </c>
      <c r="X338" s="0" t="n">
        <v>-0.00460833532174165</v>
      </c>
    </row>
    <row r="339">
      <c r="A339" s="5" t="n">
        <v>42860</v>
      </c>
      <c r="B339" s="0" t="n">
        <v>-0.0131136926028121</v>
      </c>
      <c r="C339" s="0" t="n">
        <v>-0.00514666036566202</v>
      </c>
      <c r="D339" s="0" t="n">
        <v>-0.0225527877560205</v>
      </c>
      <c r="E339" s="0" t="n">
        <v>-0.0008980897483996661</v>
      </c>
      <c r="F339" s="0" t="n">
        <v>0.00922435549625833</v>
      </c>
      <c r="G339" s="0" t="n">
        <v>-0.0147591593427032</v>
      </c>
      <c r="H339" s="0" t="n">
        <v>-0.00247825451052285</v>
      </c>
      <c r="I339" s="0" t="n">
        <v>0.00732070491904002</v>
      </c>
      <c r="J339" s="0" t="n">
        <v>0.00204294839610086</v>
      </c>
      <c r="K339" s="0" t="n">
        <v>0.0154245169656204</v>
      </c>
      <c r="L339" s="0" t="n">
        <v>-0.004907980574123</v>
      </c>
      <c r="M339" s="0" t="n">
        <v>-0.000896422565932919</v>
      </c>
      <c r="N339" s="0" t="n">
        <v>0.0495968942117128</v>
      </c>
      <c r="O339" s="0" t="n">
        <v>0.000259258951140761</v>
      </c>
      <c r="P339" s="0" t="n">
        <v>0.016289980317623</v>
      </c>
      <c r="Q339" s="0" t="n">
        <v>-0.00677968041012855</v>
      </c>
      <c r="R339" s="0" t="n">
        <v>-0.00012330524718962</v>
      </c>
      <c r="S339" s="0" t="n">
        <v>-0.0013200994632232</v>
      </c>
      <c r="T339" s="0" t="n">
        <v>-0.00291201352186565</v>
      </c>
      <c r="U339" s="0" t="n">
        <v>-0.00296546271890019</v>
      </c>
      <c r="V339" s="0" t="n">
        <v>-0.00381511769637565</v>
      </c>
      <c r="W339" s="0" t="n">
        <v>-0.00127098871135267</v>
      </c>
      <c r="X339" s="0" t="n">
        <v>0.00460833532174165</v>
      </c>
    </row>
    <row r="340">
      <c r="A340" s="5" t="n">
        <v>42863</v>
      </c>
      <c r="B340" s="0" t="n">
        <v>-0.00603002528983864</v>
      </c>
      <c r="C340" s="0" t="n">
        <v>-0.00482757970879044</v>
      </c>
      <c r="D340" s="0" t="n">
        <v>0.00148647057300799</v>
      </c>
      <c r="E340" s="0" t="n">
        <v>0.00269176771075851</v>
      </c>
      <c r="F340" s="0" t="n">
        <v>0.000834395473382709</v>
      </c>
      <c r="G340" s="0" t="n">
        <v>0.00448505710627644</v>
      </c>
      <c r="H340" s="0" t="n">
        <v>0.00330305501273331</v>
      </c>
      <c r="I340" s="0" t="n">
        <v>-0.0021905618540674</v>
      </c>
      <c r="J340" s="0" t="n">
        <v>-0.00614131098398562</v>
      </c>
      <c r="K340" s="0" t="n">
        <v>-0.0310906190811184</v>
      </c>
      <c r="L340" s="0" t="n">
        <v>0.0158636776064589</v>
      </c>
      <c r="M340" s="0" t="n">
        <v>-0.00209485915024387</v>
      </c>
      <c r="N340" s="0" t="n">
        <v>0.00923151046933457</v>
      </c>
      <c r="O340" s="0" t="n">
        <v>-0.00911579355689484</v>
      </c>
      <c r="P340" s="0" t="n">
        <v>-0.016289980317623</v>
      </c>
      <c r="Q340" s="0" t="n">
        <v>0.010152361634351</v>
      </c>
      <c r="R340" s="0" t="n">
        <v>0.000616656472119281</v>
      </c>
      <c r="S340" s="0" t="n">
        <v>0.0260770717989031</v>
      </c>
      <c r="T340" s="0" t="n">
        <v>-0.0114387337767913</v>
      </c>
      <c r="U340" s="0" t="n">
        <v>-0.00595743845569796</v>
      </c>
      <c r="V340" s="0" t="n">
        <v>0.00689284560907221</v>
      </c>
      <c r="W340" s="0" t="n">
        <v>-0.00656219282207093</v>
      </c>
      <c r="X340" s="0" t="n">
        <v>-0.00923793199848654</v>
      </c>
    </row>
    <row r="341">
      <c r="A341" s="5" t="n">
        <v>42864</v>
      </c>
      <c r="B341" s="0" t="n">
        <v>-0.00566985042526724</v>
      </c>
      <c r="C341" s="0" t="n">
        <v>-0.007982043860986551</v>
      </c>
      <c r="D341" s="0" t="n">
        <v>0.00321307901066081</v>
      </c>
      <c r="E341" s="0" t="n">
        <v>-0.0108109058868071</v>
      </c>
      <c r="F341" s="0" t="n">
        <v>0.00706423379276</v>
      </c>
      <c r="G341" s="0" t="n">
        <v>0.0335114003379319</v>
      </c>
      <c r="H341" s="0" t="n">
        <v>0.013104187571773</v>
      </c>
      <c r="I341" s="0" t="n">
        <v>0.0152342469809378</v>
      </c>
      <c r="J341" s="0" t="n">
        <v>-0.00411522830933264</v>
      </c>
      <c r="K341" s="0" t="n">
        <v>-0.0380845063009935</v>
      </c>
      <c r="L341" s="0" t="n">
        <v>0.0120337707867426</v>
      </c>
      <c r="M341" s="0" t="n">
        <v>-0.010540747787056</v>
      </c>
      <c r="N341" s="0" t="n">
        <v>0.00319106460002149</v>
      </c>
      <c r="O341" s="0" t="n">
        <v>0.00599974504304778</v>
      </c>
      <c r="P341" s="0" t="n">
        <v>0.0340840267548951</v>
      </c>
      <c r="Q341" s="0" t="n">
        <v>0.013378113144749</v>
      </c>
      <c r="R341" s="0" t="n">
        <v>-0.00197477269570356</v>
      </c>
      <c r="S341" s="0" t="n">
        <v>0.0134230227869007</v>
      </c>
      <c r="T341" s="0" t="n">
        <v>-0.00473093253267009</v>
      </c>
      <c r="U341" s="0" t="n">
        <v>0.000284447274797372</v>
      </c>
      <c r="V341" s="0" t="n">
        <v>-0.00325910675347795</v>
      </c>
      <c r="W341" s="0" t="n">
        <v>0.000731278185594597</v>
      </c>
      <c r="X341" s="0" t="n">
        <v>-0.00232293458958476</v>
      </c>
    </row>
    <row r="342">
      <c r="A342" s="5" t="n">
        <v>42865</v>
      </c>
      <c r="B342" s="0" t="n">
        <v>-0.00397487184918254</v>
      </c>
      <c r="C342" s="0" t="n">
        <v>0.00590587631984051</v>
      </c>
      <c r="D342" s="0" t="n">
        <v>-0.0102934102756151</v>
      </c>
      <c r="E342" s="0" t="n">
        <v>-0.00272106587047815</v>
      </c>
      <c r="F342" s="0" t="n">
        <v>-0.00331812518643115</v>
      </c>
      <c r="G342" s="0" t="n">
        <v>0.012899116564784</v>
      </c>
      <c r="H342" s="0" t="n">
        <v>0.0225270769857584</v>
      </c>
      <c r="I342" s="0" t="n">
        <v>0.0164230424767022</v>
      </c>
      <c r="J342" s="0" t="n">
        <v>-0.00413223341737034</v>
      </c>
      <c r="K342" s="0" t="n">
        <v>0.0275024069824351</v>
      </c>
      <c r="L342" s="0" t="n">
        <v>-0.00359493900948004</v>
      </c>
      <c r="M342" s="0" t="n">
        <v>0.000302773917150833</v>
      </c>
      <c r="N342" s="0" t="n">
        <v>-0.0270450413214256</v>
      </c>
      <c r="O342" s="0" t="n">
        <v>-0.000260167417513113</v>
      </c>
      <c r="P342" s="0" t="n">
        <v>0.000881465781750634</v>
      </c>
      <c r="Q342" s="0" t="n">
        <v>0.0213648411729492</v>
      </c>
      <c r="R342" s="0" t="n">
        <v>0.0164198803379118</v>
      </c>
      <c r="S342" s="0" t="n">
        <v>-0.0025429105759156</v>
      </c>
      <c r="T342" s="0" t="n">
        <v>-0.00326556935194677</v>
      </c>
      <c r="U342" s="0" t="n">
        <v>0.00241502776990198</v>
      </c>
      <c r="V342" s="0" t="n">
        <v>0</v>
      </c>
      <c r="W342" s="0" t="n">
        <v>-0.018071661202021</v>
      </c>
      <c r="X342" s="0" t="n">
        <v>-0.008563669188140549</v>
      </c>
    </row>
    <row r="343">
      <c r="A343" s="5" t="n">
        <v>42866</v>
      </c>
      <c r="B343" s="0" t="n">
        <v>-0.00186033399952645</v>
      </c>
      <c r="C343" s="0" t="n">
        <v>-0.0210018331009123</v>
      </c>
      <c r="D343" s="0" t="n">
        <v>-0.000374026294641893</v>
      </c>
      <c r="E343" s="0" t="n">
        <v>-0.008207994219745709</v>
      </c>
      <c r="F343" s="0" t="n">
        <v>-0.00291240876835674</v>
      </c>
      <c r="G343" s="0" t="n">
        <v>-0.0303609586984885</v>
      </c>
      <c r="H343" s="0" t="n">
        <v>0.0196934658188419</v>
      </c>
      <c r="I343" s="0" t="n">
        <v>0.0070572191932765</v>
      </c>
      <c r="J343" s="0" t="n">
        <v>-0.00414937964710904</v>
      </c>
      <c r="K343" s="0" t="n">
        <v>-0.0379449606412694</v>
      </c>
      <c r="L343" s="0" t="n">
        <v>-0.008438831777262561</v>
      </c>
      <c r="M343" s="0" t="n">
        <v>-0.000908481344564116</v>
      </c>
      <c r="N343" s="0" t="n">
        <v>0.00774402190364131</v>
      </c>
      <c r="O343" s="0" t="n">
        <v>0.00129996252700248</v>
      </c>
      <c r="P343" s="0" t="n">
        <v>-0.00618655513993271</v>
      </c>
      <c r="Q343" s="0" t="n">
        <v>0.0177281243492744</v>
      </c>
      <c r="R343" s="0" t="n">
        <v>-0.0254798659840886</v>
      </c>
      <c r="S343" s="0" t="n">
        <v>-0.0115238347295165</v>
      </c>
      <c r="T343" s="0" t="n">
        <v>-0.0053667481303723</v>
      </c>
      <c r="U343" s="0" t="n">
        <v>0.00240910147074213</v>
      </c>
      <c r="V343" s="0" t="n">
        <v>-0.00199692563736064</v>
      </c>
      <c r="W343" s="0" t="n">
        <v>-0.0134884249257729</v>
      </c>
      <c r="X343" s="0" t="n">
        <v>-0.00234831675409719</v>
      </c>
    </row>
    <row r="344">
      <c r="A344" s="5" t="n">
        <v>42867</v>
      </c>
      <c r="B344" s="0" t="n">
        <v>0.00755270205338565</v>
      </c>
      <c r="C344" s="0" t="n">
        <v>-0.00318865990639816</v>
      </c>
      <c r="D344" s="0" t="n">
        <v>0.00137080969296388</v>
      </c>
      <c r="E344" s="0" t="n">
        <v>0.00182978133426248</v>
      </c>
      <c r="F344" s="0" t="n">
        <v>0.00249685800167842</v>
      </c>
      <c r="G344" s="0" t="n">
        <v>-0.0129562354176022</v>
      </c>
      <c r="H344" s="0" t="n">
        <v>0.00544530451568059</v>
      </c>
      <c r="I344" s="0" t="n">
        <v>-0.00140749197830958</v>
      </c>
      <c r="J344" s="0" t="n">
        <v>-0.00625648182520044</v>
      </c>
      <c r="K344" s="0" t="n">
        <v>0.0218588383135035</v>
      </c>
      <c r="L344" s="0" t="n">
        <v>0.0298173542383639</v>
      </c>
      <c r="M344" s="0" t="n">
        <v>0.00332680224932424</v>
      </c>
      <c r="N344" s="0" t="n">
        <v>0.00728159811898754</v>
      </c>
      <c r="O344" s="0" t="n">
        <v>0.00259466860008483</v>
      </c>
      <c r="P344" s="0" t="n">
        <v>0.00353982341889924</v>
      </c>
      <c r="Q344" s="0" t="n">
        <v>0.0111200024287285</v>
      </c>
      <c r="R344" s="0" t="n">
        <v>0.00323627536300552</v>
      </c>
      <c r="S344" s="0" t="n">
        <v>0.036666615109175</v>
      </c>
      <c r="T344" s="0" t="n">
        <v>0.0230506297863306</v>
      </c>
      <c r="U344" s="0" t="n">
        <v>0.0002829980645771</v>
      </c>
      <c r="V344" s="0" t="n">
        <v>0.0012712195768012</v>
      </c>
      <c r="W344" s="0" t="n">
        <v>0.00564228009235945</v>
      </c>
      <c r="X344" s="0" t="n">
        <v>0.0147804775628941</v>
      </c>
    </row>
    <row r="345">
      <c r="A345" s="5" t="n">
        <v>42870</v>
      </c>
      <c r="B345" s="0" t="n">
        <v>0.014220877685779</v>
      </c>
      <c r="C345" s="0" t="n">
        <v>-0.00498042808690435</v>
      </c>
      <c r="D345" s="0" t="n">
        <v>-0.0164484238251594</v>
      </c>
      <c r="E345" s="0" t="n">
        <v>0</v>
      </c>
      <c r="F345" s="0" t="n">
        <v>-0.00291362103873948</v>
      </c>
      <c r="G345" s="0" t="n">
        <v>-0.0110421998392209</v>
      </c>
      <c r="H345" s="0" t="n">
        <v>0.00541592406744495</v>
      </c>
      <c r="I345" s="0" t="n">
        <v>0.00631803809710662</v>
      </c>
      <c r="J345" s="0" t="n">
        <v>0.00208981306262256</v>
      </c>
      <c r="K345" s="0" t="n">
        <v>0</v>
      </c>
      <c r="L345" s="0" t="n">
        <v>0.0300948890997165</v>
      </c>
      <c r="M345" s="0" t="n">
        <v>-0.0158250557006431</v>
      </c>
      <c r="N345" s="0" t="n">
        <v>-0.00161351419597188</v>
      </c>
      <c r="O345" s="0" t="n">
        <v>-0.0104195142256213</v>
      </c>
      <c r="P345" s="0" t="n">
        <v>-0.0151315821224495</v>
      </c>
      <c r="Q345" s="0" t="n">
        <v>0.0047281742415326</v>
      </c>
      <c r="R345" s="0" t="n">
        <v>-0.0169187372991217</v>
      </c>
      <c r="S345" s="0" t="n">
        <v>0.00865267370036138</v>
      </c>
      <c r="T345" s="0" t="n">
        <v>0.00204289275983926</v>
      </c>
      <c r="U345" s="0" t="n">
        <v>0.00395423180042175</v>
      </c>
      <c r="V345" s="0" t="n">
        <v>-0.0129693862528572</v>
      </c>
      <c r="W345" s="0" t="n">
        <v>-0.0011259407158306</v>
      </c>
      <c r="X345" s="0" t="n">
        <v>0.00692578015613953</v>
      </c>
    </row>
    <row r="346">
      <c r="A346" s="5" t="n">
        <v>42871</v>
      </c>
      <c r="B346" s="0" t="n">
        <v>-0.0180563661573271</v>
      </c>
      <c r="C346" s="0" t="n">
        <v>-0.0227241130086857</v>
      </c>
      <c r="D346" s="0" t="n">
        <v>-0.0108191533160875</v>
      </c>
      <c r="E346" s="0" t="n">
        <v>-0.0165901826324619</v>
      </c>
      <c r="F346" s="0" t="n">
        <v>-0.0610154900027422</v>
      </c>
      <c r="G346" s="0" t="n">
        <v>-0.00766284881843892</v>
      </c>
      <c r="H346" s="0" t="n">
        <v>-0.0337419450080993</v>
      </c>
      <c r="I346" s="0" t="n">
        <v>-0.00210155823551927</v>
      </c>
      <c r="J346" s="0" t="n">
        <v>-0.0126051969226552</v>
      </c>
      <c r="K346" s="0" t="n">
        <v>-0.00542006221628599</v>
      </c>
      <c r="L346" s="0" t="n">
        <v>-0.0265758552470121</v>
      </c>
      <c r="M346" s="0" t="n">
        <v>-0.0114145599422434</v>
      </c>
      <c r="N346" s="0" t="n">
        <v>-0.00892143881827012</v>
      </c>
      <c r="O346" s="0" t="n">
        <v>-0.0192999927021739</v>
      </c>
      <c r="P346" s="0" t="n">
        <v>-0.0291194097253821</v>
      </c>
      <c r="Q346" s="0" t="n">
        <v>-0.0206520624839448</v>
      </c>
      <c r="R346" s="0" t="n">
        <v>-0.0358996522295447</v>
      </c>
      <c r="S346" s="0" t="n">
        <v>-0.0628578679206257</v>
      </c>
      <c r="T346" s="0" t="n">
        <v>-0.0140929974818568</v>
      </c>
      <c r="U346" s="0" t="n">
        <v>-0.00565363903776727</v>
      </c>
      <c r="V346" s="0" t="n">
        <v>0.000367655480316475</v>
      </c>
      <c r="W346" s="0" t="n">
        <v>-0.01933703177311</v>
      </c>
      <c r="X346" s="0" t="n">
        <v>-0.0592356330990853</v>
      </c>
    </row>
    <row r="347">
      <c r="A347" s="5" t="n">
        <v>42872</v>
      </c>
      <c r="B347" s="0" t="n">
        <v>-0.0009942919564460691</v>
      </c>
      <c r="C347" s="0" t="n">
        <v>0.00255051253286042</v>
      </c>
      <c r="D347" s="0" t="n">
        <v>0.00204556015602808</v>
      </c>
      <c r="E347" s="0" t="n">
        <v>0.00278419972945842</v>
      </c>
      <c r="F347" s="0" t="n">
        <v>0.00750390094908315</v>
      </c>
      <c r="G347" s="0" t="n">
        <v>0.0169877465885739</v>
      </c>
      <c r="H347" s="0" t="n">
        <v>-0.203779174748836</v>
      </c>
      <c r="I347" s="0" t="n">
        <v>-0.0270094677130883</v>
      </c>
      <c r="J347" s="0" t="n">
        <v>0.0271132588482105</v>
      </c>
      <c r="K347" s="0" t="n">
        <v>-0.00272108746636379</v>
      </c>
      <c r="L347" s="0" t="n">
        <v>-0.0653194616537842</v>
      </c>
      <c r="M347" s="0" t="n">
        <v>-0.000310265988985314</v>
      </c>
      <c r="N347" s="0" t="n">
        <v>0.0016280392698178</v>
      </c>
      <c r="O347" s="0" t="n">
        <v>0.0129958513696348</v>
      </c>
      <c r="P347" s="0" t="n">
        <v>-0.00277390217740425</v>
      </c>
      <c r="Q347" s="0" t="n">
        <v>-0.124628243622491</v>
      </c>
      <c r="R347" s="0" t="n">
        <v>0.00379210532026252</v>
      </c>
      <c r="S347" s="0" t="n">
        <v>0.0162499510903759</v>
      </c>
      <c r="T347" s="0" t="n">
        <v>-0.0748816138862311</v>
      </c>
      <c r="U347" s="0" t="n">
        <v>-0.00014178376874252</v>
      </c>
      <c r="V347" s="0" t="n">
        <v>-0.011646329550794</v>
      </c>
      <c r="W347" s="0" t="n">
        <v>0.00267634237313663</v>
      </c>
      <c r="X347" s="0" t="n">
        <v>0.0169427238342154</v>
      </c>
    </row>
    <row r="348">
      <c r="A348" s="5" t="n">
        <v>42873</v>
      </c>
      <c r="B348" s="0" t="n">
        <v>0.007927092442010061</v>
      </c>
      <c r="C348" s="0" t="n">
        <v>0.0205301539605202</v>
      </c>
      <c r="D348" s="0" t="n">
        <v>-0.00640617156192835</v>
      </c>
      <c r="E348" s="0" t="n">
        <v>0.00738691487033182</v>
      </c>
      <c r="F348" s="0" t="n">
        <v>0.0135402580861057</v>
      </c>
      <c r="G348" s="0" t="n">
        <v>0.00480108570992321</v>
      </c>
      <c r="H348" s="0" t="n">
        <v>0.0625796629561137</v>
      </c>
      <c r="I348" s="0" t="n">
        <v>-0.00288600210902112</v>
      </c>
      <c r="J348" s="0" t="n">
        <v>0.0102354453449635</v>
      </c>
      <c r="K348" s="0" t="n">
        <v>0.00326437871705742</v>
      </c>
      <c r="L348" s="0" t="n">
        <v>0.051168295635438</v>
      </c>
      <c r="M348" s="0" t="n">
        <v>0.00742111824632862</v>
      </c>
      <c r="N348" s="0" t="n">
        <v>0.0113224291267379</v>
      </c>
      <c r="O348" s="0" t="n">
        <v>0.00761260813071462</v>
      </c>
      <c r="P348" s="0" t="n">
        <v>0.047024894025236</v>
      </c>
      <c r="Q348" s="0" t="n">
        <v>0.0286757730176745</v>
      </c>
      <c r="R348" s="0" t="n">
        <v>-0.00392315197790793</v>
      </c>
      <c r="S348" s="0" t="n">
        <v>0.0317285493593062</v>
      </c>
      <c r="T348" s="0" t="n">
        <v>-0.00543219361240865</v>
      </c>
      <c r="U348" s="0" t="n">
        <v>0.0050905172729001</v>
      </c>
      <c r="V348" s="0" t="n">
        <v>0.00445272869580515</v>
      </c>
      <c r="W348" s="0" t="n">
        <v>0.012898515120217</v>
      </c>
      <c r="X348" s="0" t="n">
        <v>0.00558435401579515</v>
      </c>
    </row>
    <row r="349">
      <c r="A349" s="5" t="n">
        <v>42874</v>
      </c>
      <c r="B349" s="0" t="n">
        <v>0.00433329857169795</v>
      </c>
      <c r="C349" s="0" t="n">
        <v>0.00462387460220936</v>
      </c>
      <c r="D349" s="0" t="n">
        <v>-0.0105957789465582</v>
      </c>
      <c r="E349" s="0" t="n">
        <v>0.0209384520799553</v>
      </c>
      <c r="F349" s="0" t="n">
        <v>-0.000433860779211592</v>
      </c>
      <c r="G349" s="0" t="n">
        <v>0.00170914908171226</v>
      </c>
      <c r="H349" s="0" t="n">
        <v>-0.0308004184574433</v>
      </c>
      <c r="I349" s="0" t="n">
        <v>0.0150594481405299</v>
      </c>
      <c r="J349" s="0" t="n">
        <v>0.00609143205345463</v>
      </c>
      <c r="K349" s="0" t="n">
        <v>0.0262679404905754</v>
      </c>
      <c r="L349" s="0" t="n">
        <v>0.00827913604899066</v>
      </c>
      <c r="M349" s="0" t="n">
        <v>-0.0105296780569976</v>
      </c>
      <c r="N349" s="0" t="n">
        <v>0.00321156121614096</v>
      </c>
      <c r="O349" s="0" t="n">
        <v>0.000261428196385082</v>
      </c>
      <c r="P349" s="0" t="n">
        <v>-0.00353982341889924</v>
      </c>
      <c r="Q349" s="0" t="n">
        <v>-0.00531440277751738</v>
      </c>
      <c r="R349" s="0" t="n">
        <v>0.00026197620464341</v>
      </c>
      <c r="S349" s="0" t="n">
        <v>0.0111802593716223</v>
      </c>
      <c r="T349" s="0" t="n">
        <v>0.0121020926959882</v>
      </c>
      <c r="U349" s="0" t="n">
        <v>0.0159510779567071</v>
      </c>
      <c r="V349" s="0" t="n">
        <v>0.00147980080921339</v>
      </c>
      <c r="W349" s="0" t="n">
        <v>-0.000942831254940657</v>
      </c>
      <c r="X349" s="0" t="n">
        <v>0.00555341755627036</v>
      </c>
    </row>
    <row r="350">
      <c r="A350" s="5" t="n">
        <v>42877</v>
      </c>
      <c r="B350" s="0" t="n">
        <v>-0.00400434193795362</v>
      </c>
      <c r="C350" s="0" t="n">
        <v>0.00354238319492816</v>
      </c>
      <c r="D350" s="0" t="n">
        <v>0.0130348944878591</v>
      </c>
      <c r="E350" s="0" t="n">
        <v>-0.00451469746009491</v>
      </c>
      <c r="F350" s="0" t="n">
        <v>0.0150766789374161</v>
      </c>
      <c r="G350" s="0" t="n">
        <v>-0.00547946039580526</v>
      </c>
      <c r="H350" s="0" t="n">
        <v>0.0215666853077973</v>
      </c>
      <c r="I350" s="0" t="n">
        <v>-0.0362358479531064</v>
      </c>
      <c r="J350" s="0" t="n">
        <v>0.00605445511065672</v>
      </c>
      <c r="K350" s="0" t="n">
        <v>-0.0160003260866754</v>
      </c>
      <c r="L350" s="0" t="n">
        <v>0.0163555449918968</v>
      </c>
      <c r="M350" s="0" t="n">
        <v>0.00062248549430155</v>
      </c>
      <c r="N350" s="0" t="n">
        <v>0.00957325878943171</v>
      </c>
      <c r="O350" s="0" t="n">
        <v>0.00156743428681505</v>
      </c>
      <c r="P350" s="0" t="n">
        <v>-0.008904727373611809</v>
      </c>
      <c r="Q350" s="0" t="n">
        <v>0.0228280519656465</v>
      </c>
      <c r="R350" s="0" t="n">
        <v>0.0121087391552476</v>
      </c>
      <c r="S350" s="0" t="n">
        <v>0.0104455678057275</v>
      </c>
      <c r="T350" s="0" t="n">
        <v>0.00536702394128907</v>
      </c>
      <c r="U350" s="0" t="n">
        <v>0.00124847542100781</v>
      </c>
      <c r="V350" s="0" t="n">
        <v>0.00203121873606448</v>
      </c>
      <c r="W350" s="0" t="n">
        <v>0.00714290774364601</v>
      </c>
      <c r="X350" s="0" t="n">
        <v>0.0195854277055884</v>
      </c>
    </row>
    <row r="351">
      <c r="A351" s="5" t="n">
        <v>42878</v>
      </c>
      <c r="B351" s="0" t="n">
        <v>0.00315226988631778</v>
      </c>
      <c r="C351" s="0" t="n">
        <v>-0.0160403089171983</v>
      </c>
      <c r="D351" s="0" t="n">
        <v>-0.000384723055517177</v>
      </c>
      <c r="E351" s="0" t="n">
        <v>-0.0081781602244022</v>
      </c>
      <c r="F351" s="0" t="n">
        <v>-0.0012833704134465</v>
      </c>
      <c r="G351" s="0" t="n">
        <v>0.000343290013094854</v>
      </c>
      <c r="H351" s="0" t="n">
        <v>0.011070279147578</v>
      </c>
      <c r="I351" s="0" t="n">
        <v>0.0102790472469442</v>
      </c>
      <c r="J351" s="0" t="n">
        <v>0.0277796324500994</v>
      </c>
      <c r="K351" s="0" t="n">
        <v>0</v>
      </c>
      <c r="L351" s="0" t="n">
        <v>-0.0198953402289308</v>
      </c>
      <c r="M351" s="0" t="n">
        <v>-0.00280418175694752</v>
      </c>
      <c r="N351" s="0" t="n">
        <v>-0.0091726047442493</v>
      </c>
      <c r="O351" s="0" t="n">
        <v>-0.00418519683206897</v>
      </c>
      <c r="P351" s="0" t="n">
        <v>-0.0198742100231013</v>
      </c>
      <c r="Q351" s="0" t="n">
        <v>-0.00347834398763891</v>
      </c>
      <c r="R351" s="0" t="n">
        <v>-0.0110613204429466</v>
      </c>
      <c r="S351" s="0" t="n">
        <v>0.0253483734773776</v>
      </c>
      <c r="T351" s="0" t="n">
        <v>-0.008537615741006199</v>
      </c>
      <c r="U351" s="0" t="n">
        <v>0.009932503258363919</v>
      </c>
      <c r="V351" s="0" t="n">
        <v>-0.00722023675525873</v>
      </c>
      <c r="W351" s="0" t="n">
        <v>-0.00563486161043336</v>
      </c>
      <c r="X351" s="0" t="n">
        <v>-0.00544541589804881</v>
      </c>
    </row>
    <row r="352">
      <c r="A352" s="5" t="n">
        <v>42879</v>
      </c>
      <c r="B352" s="0" t="n">
        <v>0.0045141057366953</v>
      </c>
      <c r="C352" s="0" t="n">
        <v>-0.0122922846654214</v>
      </c>
      <c r="D352" s="0" t="n">
        <v>0.00486241859552194</v>
      </c>
      <c r="E352" s="0" t="n">
        <v>-0.00916600210815721</v>
      </c>
      <c r="F352" s="0" t="n">
        <v>-0.00472005205472392</v>
      </c>
      <c r="G352" s="0" t="n">
        <v>0.00376908489247362</v>
      </c>
      <c r="H352" s="0" t="n">
        <v>-0.0260238148198557</v>
      </c>
      <c r="I352" s="0" t="n">
        <v>-0.0102790472469442</v>
      </c>
      <c r="J352" s="0" t="n">
        <v>0.00195498635599822</v>
      </c>
      <c r="K352" s="0" t="n">
        <v>0</v>
      </c>
      <c r="L352" s="0" t="n">
        <v>0.00118136206315577</v>
      </c>
      <c r="M352" s="0" t="n">
        <v>0.00342628000410183</v>
      </c>
      <c r="N352" s="0" t="n">
        <v>-0.00120259704467162</v>
      </c>
      <c r="O352" s="0" t="n">
        <v>0.00209473800709192</v>
      </c>
      <c r="P352" s="0" t="n">
        <v>-0.0305720818807326</v>
      </c>
      <c r="Q352" s="0" t="n">
        <v>-0.00349040174466552</v>
      </c>
      <c r="R352" s="0" t="n">
        <v>-0.00616922919770335</v>
      </c>
      <c r="S352" s="0" t="n">
        <v>0.00948997879080115</v>
      </c>
      <c r="T352" s="0" t="n">
        <v>-0.00158904329696474</v>
      </c>
      <c r="U352" s="0" t="n">
        <v>0.0175526777944421</v>
      </c>
      <c r="V352" s="0" t="n">
        <v>0.0105351625846532</v>
      </c>
      <c r="W352" s="0" t="n">
        <v>-0.00585628152267636</v>
      </c>
      <c r="X352" s="0" t="n">
        <v>0.00389258502810641</v>
      </c>
    </row>
    <row r="353">
      <c r="A353" s="5" t="n">
        <v>42880</v>
      </c>
      <c r="B353" s="0" t="n">
        <v>-0.00464518123637081</v>
      </c>
      <c r="C353" s="0" t="n">
        <v>-0.00145613982081416</v>
      </c>
      <c r="D353" s="0" t="n">
        <v>-0.00370859542985346</v>
      </c>
      <c r="E353" s="0" t="n">
        <v>0.00642504721710279</v>
      </c>
      <c r="F353" s="0" t="n">
        <v>-0.000430209898270916</v>
      </c>
      <c r="G353" s="0" t="n">
        <v>0.00715630894997687</v>
      </c>
      <c r="H353" s="0" t="n">
        <v>0.0287723250715665</v>
      </c>
      <c r="I353" s="0" t="n">
        <v>0.0124680803583965</v>
      </c>
      <c r="J353" s="0" t="n">
        <v>0.0326638219593857</v>
      </c>
      <c r="K353" s="0" t="n">
        <v>0</v>
      </c>
      <c r="L353" s="0" t="n">
        <v>0.00705879000853393</v>
      </c>
      <c r="M353" s="0" t="n">
        <v>-0.000622098247154312</v>
      </c>
      <c r="N353" s="0" t="n">
        <v>-0.00522828736952485</v>
      </c>
      <c r="O353" s="0" t="n">
        <v>-0.00288148496819395</v>
      </c>
      <c r="P353" s="0" t="n">
        <v>0.0112255514539714</v>
      </c>
      <c r="Q353" s="0" t="n">
        <v>0.00870330850245348</v>
      </c>
      <c r="R353" s="0" t="n">
        <v>0.0090439368380899</v>
      </c>
      <c r="S353" s="0" t="n">
        <v>0.0421905698989837</v>
      </c>
      <c r="T353" s="0" t="n">
        <v>0.00190656128401611</v>
      </c>
      <c r="U353" s="0" t="n">
        <v>0.00363520113428705</v>
      </c>
      <c r="V353" s="0" t="n">
        <v>-0.00775194296437842</v>
      </c>
      <c r="W353" s="0" t="n">
        <v>-0.00703489804439216</v>
      </c>
      <c r="X353" s="0" t="n">
        <v>-0.000777320603442266</v>
      </c>
    </row>
    <row r="354">
      <c r="A354" s="5" t="n">
        <v>42881</v>
      </c>
      <c r="B354" s="0" t="n">
        <v>-0.00499645877119459</v>
      </c>
      <c r="C354" s="0" t="n">
        <v>-0.00328406973385941</v>
      </c>
      <c r="D354" s="0" t="n">
        <v>0.00383626326539232</v>
      </c>
      <c r="E354" s="0" t="n">
        <v>0.0136303443240239</v>
      </c>
      <c r="F354" s="0" t="n">
        <v>-0.0143014323300088</v>
      </c>
      <c r="G354" s="0" t="n">
        <v>0.0104712816519545</v>
      </c>
      <c r="H354" s="0" t="n">
        <v>0.0018281522811947</v>
      </c>
      <c r="I354" s="0" t="n">
        <v>-0.00804985032287763</v>
      </c>
      <c r="J354" s="0" t="n">
        <v>-0.0114069569352903</v>
      </c>
      <c r="K354" s="0" t="n">
        <v>-0.0173540500343686</v>
      </c>
      <c r="L354" s="0" t="n">
        <v>0.026606600877443</v>
      </c>
      <c r="M354" s="0" t="n">
        <v>-0.000311134947647229</v>
      </c>
      <c r="N354" s="0" t="n">
        <v>0.00723186396497599</v>
      </c>
      <c r="O354" s="0" t="n">
        <v>0.0112170294522426</v>
      </c>
      <c r="P354" s="0" t="n">
        <v>-0.0673331010899938</v>
      </c>
      <c r="Q354" s="0" t="n">
        <v>-0.00870330850245348</v>
      </c>
      <c r="R354" s="0" t="n">
        <v>0.00169476941392421</v>
      </c>
      <c r="S354" s="0" t="n">
        <v>-0.0171236620811967</v>
      </c>
      <c r="T354" s="0" t="n">
        <v>0.00569803074771169</v>
      </c>
      <c r="U354" s="0" t="n">
        <v>0.008830616895241219</v>
      </c>
      <c r="V354" s="0" t="n">
        <v>-0.000741444240855759</v>
      </c>
      <c r="W354" s="0" t="n">
        <v>-0.00478149520963144</v>
      </c>
      <c r="X354" s="0" t="n">
        <v>-0.00937505993411491</v>
      </c>
    </row>
    <row r="355">
      <c r="A355" s="5" t="n">
        <v>42885</v>
      </c>
      <c r="B355" s="0" t="n">
        <v>0.00591412653936629</v>
      </c>
      <c r="C355" s="0" t="n">
        <v>0.000730766137105654</v>
      </c>
      <c r="D355" s="0" t="n">
        <v>0.0154511842272624</v>
      </c>
      <c r="E355" s="0" t="n">
        <v>0.00360360409758442</v>
      </c>
      <c r="F355" s="0" t="n">
        <v>-0.0220662088011698</v>
      </c>
      <c r="G355" s="0" t="n">
        <v>0.0006718326573196259</v>
      </c>
      <c r="H355" s="0" t="n">
        <v>-0.00365965282522107</v>
      </c>
      <c r="I355" s="0" t="n">
        <v>-0.00147055204659629</v>
      </c>
      <c r="J355" s="0" t="n">
        <v>0.00381679487976271</v>
      </c>
      <c r="K355" s="0" t="n">
        <v>-0.0562577490607412</v>
      </c>
      <c r="L355" s="0" t="n">
        <v>-0.0455420602477292</v>
      </c>
      <c r="M355" s="0" t="n">
        <v>0.0160546960855461</v>
      </c>
      <c r="N355" s="0" t="n">
        <v>-0.00120163359596192</v>
      </c>
      <c r="O355" s="0" t="n">
        <v>-0.000518953262253596</v>
      </c>
      <c r="P355" s="0" t="n">
        <v>-0.0333870075392308</v>
      </c>
      <c r="Q355" s="0" t="n">
        <v>-0.00174973836327496</v>
      </c>
      <c r="R355" s="0" t="n">
        <v>0.0007813175994391131</v>
      </c>
      <c r="S355" s="0" t="n">
        <v>-0.00751237660878034</v>
      </c>
      <c r="T355" s="0" t="n">
        <v>-0.00474608124480013</v>
      </c>
      <c r="U355" s="0" t="n">
        <v>0.00491666316773198</v>
      </c>
      <c r="V355" s="0" t="n">
        <v>0.000370790837871393</v>
      </c>
      <c r="W355" s="0" t="n">
        <v>-0.0197489567648907</v>
      </c>
      <c r="X355" s="0" t="n">
        <v>-0.0158231000156585</v>
      </c>
    </row>
    <row r="356">
      <c r="A356" s="5" t="n">
        <v>42886</v>
      </c>
      <c r="B356" s="0" t="n">
        <v>0.000261993357103307</v>
      </c>
      <c r="C356" s="0" t="n">
        <v>0.0123413653339161</v>
      </c>
      <c r="D356" s="0" t="n">
        <v>0.00526446660038004</v>
      </c>
      <c r="E356" s="0" t="n">
        <v>0.0257448719698256</v>
      </c>
      <c r="F356" s="0" t="n">
        <v>0.00976914155653618</v>
      </c>
      <c r="G356" s="0" t="n">
        <v>0.0156591341637177</v>
      </c>
      <c r="H356" s="0" t="n">
        <v>-0.0119872888552625</v>
      </c>
      <c r="I356" s="0" t="n">
        <v>0.00513760358122139</v>
      </c>
      <c r="J356" s="0" t="n">
        <v>0.0392207201399061</v>
      </c>
      <c r="K356" s="0" t="n">
        <v>-0.00464038886170603</v>
      </c>
      <c r="L356" s="0" t="n">
        <v>-0.0217400241989076</v>
      </c>
      <c r="M356" s="0" t="n">
        <v>0.00183591110421144</v>
      </c>
      <c r="N356" s="0" t="n">
        <v>0.0362101758620845</v>
      </c>
      <c r="O356" s="0" t="n">
        <v>0.0087855904287859</v>
      </c>
      <c r="P356" s="0" t="n">
        <v>0.0102354453449637</v>
      </c>
      <c r="Q356" s="0" t="n">
        <v>-0.008795165092549739</v>
      </c>
      <c r="R356" s="0" t="n">
        <v>0.0188246799017832</v>
      </c>
      <c r="S356" s="0" t="n">
        <v>0.0308420167454017</v>
      </c>
      <c r="T356" s="0" t="n">
        <v>0.00915551798445113</v>
      </c>
      <c r="U356" s="0" t="n">
        <v>-0.000530375436396113</v>
      </c>
      <c r="V356" s="0" t="n">
        <v>0.0106932807063242</v>
      </c>
      <c r="W356" s="0" t="n">
        <v>0.0182140751306878</v>
      </c>
      <c r="X356" s="0" t="n">
        <v>0.0142520467420554</v>
      </c>
    </row>
    <row r="357">
      <c r="A357" s="5" t="n">
        <v>42887</v>
      </c>
      <c r="B357" s="0" t="n">
        <v>-0.00406928308118015</v>
      </c>
      <c r="C357" s="0" t="n">
        <v>0.00575536218704897</v>
      </c>
      <c r="D357" s="0" t="n">
        <v>0.00174868135889205</v>
      </c>
      <c r="E357" s="0" t="n">
        <v>-0.00527237296373384</v>
      </c>
      <c r="F357" s="0" t="n">
        <v>-0.00798577438824921</v>
      </c>
      <c r="G357" s="0" t="n">
        <v>-0.00397485918838791</v>
      </c>
      <c r="H357" s="0" t="n">
        <v>0.00923373314964592</v>
      </c>
      <c r="I357" s="0" t="n">
        <v>-0.0147495159215469</v>
      </c>
      <c r="J357" s="0" t="n">
        <v>0.00547941708731936</v>
      </c>
      <c r="K357" s="0" t="n">
        <v>-0.0421552343866725</v>
      </c>
      <c r="L357" s="0" t="n">
        <v>0.00243908148101379</v>
      </c>
      <c r="M357" s="0" t="n">
        <v>-0.00521068363473808</v>
      </c>
      <c r="N357" s="0" t="n">
        <v>0</v>
      </c>
      <c r="O357" s="0" t="n">
        <v>0</v>
      </c>
      <c r="P357" s="0" t="n">
        <v>-0.0122952254434616</v>
      </c>
      <c r="Q357" s="0" t="n">
        <v>0.00176526593928305</v>
      </c>
      <c r="R357" s="0" t="n">
        <v>0.009660709647017811</v>
      </c>
      <c r="S357" s="0" t="n">
        <v>-0.0107437012805777</v>
      </c>
      <c r="T357" s="0" t="n">
        <v>0.00501567977279737</v>
      </c>
      <c r="U357" s="0" t="n">
        <v>-0.00372042378843051</v>
      </c>
      <c r="V357" s="0" t="n">
        <v>0.00803661752721351</v>
      </c>
      <c r="W357" s="0" t="n">
        <v>-0.00519782572582405</v>
      </c>
      <c r="X357" s="0" t="n">
        <v>-0.011067333697214</v>
      </c>
    </row>
    <row r="358">
      <c r="A358" s="5" t="n">
        <v>42888</v>
      </c>
      <c r="B358" s="0" t="n">
        <v>0.0023648477316458</v>
      </c>
      <c r="C358" s="0" t="n">
        <v>0.0035804325239801</v>
      </c>
      <c r="D358" s="0" t="n">
        <v>-0.009781853770713051</v>
      </c>
      <c r="E358" s="0" t="n">
        <v>-0.0088496488866494</v>
      </c>
      <c r="F358" s="0" t="n">
        <v>-0.00178336716828697</v>
      </c>
      <c r="G358" s="0" t="n">
        <v>-0.00132842957545875</v>
      </c>
      <c r="H358" s="0" t="n">
        <v>-0.0138827376593551</v>
      </c>
      <c r="I358" s="0" t="n">
        <v>-0.00446764856170522</v>
      </c>
      <c r="J358" s="0" t="n">
        <v>-0.020239818385519</v>
      </c>
      <c r="K358" s="0" t="n">
        <v>-0.0490934203033543</v>
      </c>
      <c r="L358" s="0" t="n">
        <v>-0.0147241781790432</v>
      </c>
      <c r="M358" s="0" t="n">
        <v>-0.00585615614724455</v>
      </c>
      <c r="N358" s="0" t="n">
        <v>-0.000773412926859506</v>
      </c>
      <c r="O358" s="0" t="n">
        <v>-0.00154473661917098</v>
      </c>
      <c r="P358" s="0" t="n">
        <v>-0.00516799002559675</v>
      </c>
      <c r="Q358" s="0" t="n">
        <v>0.00877963751654165</v>
      </c>
      <c r="R358" s="0" t="n">
        <v>-0.00329450538345366</v>
      </c>
      <c r="S358" s="0" t="n">
        <v>-0.00341682932128195</v>
      </c>
      <c r="T358" s="0" t="n">
        <v>-0.00690304950620523</v>
      </c>
      <c r="U358" s="0" t="n">
        <v>-0.000799110281788806</v>
      </c>
      <c r="V358" s="0" t="n">
        <v>-0.0486446513807554</v>
      </c>
      <c r="W358" s="0" t="n">
        <v>-0.0017386298271842</v>
      </c>
      <c r="X358" s="0" t="n">
        <v>-0.000795246883542155</v>
      </c>
    </row>
    <row r="359">
      <c r="A359" s="5" t="n">
        <v>42891</v>
      </c>
      <c r="B359" s="0" t="n">
        <v>-0.000262540490268747</v>
      </c>
      <c r="C359" s="0" t="n">
        <v>-0.00178857831474754</v>
      </c>
      <c r="D359" s="0" t="n">
        <v>-0.00328202951442957</v>
      </c>
      <c r="E359" s="0" t="n">
        <v>-0.0116228501194424</v>
      </c>
      <c r="F359" s="0" t="n">
        <v>-0.00806457361996892</v>
      </c>
      <c r="G359" s="0" t="n">
        <v>-0.0093490059384087</v>
      </c>
      <c r="H359" s="0" t="n">
        <v>0.0202959461901928</v>
      </c>
      <c r="I359" s="0" t="n">
        <v>0.0480792377382583</v>
      </c>
      <c r="J359" s="0" t="n">
        <v>-0.0168701567861788</v>
      </c>
      <c r="K359" s="0" t="n">
        <v>-0.0516285792489728</v>
      </c>
      <c r="L359" s="0" t="n">
        <v>0.00616147225999386</v>
      </c>
      <c r="M359" s="0" t="n">
        <v>-0.00869296958995402</v>
      </c>
      <c r="N359" s="0" t="n">
        <v>-0.000386930891982384</v>
      </c>
      <c r="O359" s="0" t="n">
        <v>-0.00206349905848846</v>
      </c>
      <c r="P359" s="0" t="n">
        <v>0.0215282579744391</v>
      </c>
      <c r="Q359" s="0" t="n">
        <v>0.00870330850245348</v>
      </c>
      <c r="R359" s="0" t="n">
        <v>-0.0113601244130743</v>
      </c>
      <c r="S359" s="0" t="n">
        <v>0.015846329212299</v>
      </c>
      <c r="T359" s="0" t="n">
        <v>-0.00631716452984632</v>
      </c>
      <c r="U359" s="0" t="n">
        <v>0.00279384326706821</v>
      </c>
      <c r="V359" s="0" t="n">
        <v>-0.0134591679845286</v>
      </c>
      <c r="W359" s="0" t="n">
        <v>0.0017386298271842</v>
      </c>
      <c r="X359" s="0" t="n">
        <v>-0.00959239073340345</v>
      </c>
    </row>
    <row r="360">
      <c r="A360" s="5" t="n">
        <v>42892</v>
      </c>
      <c r="B360" s="0" t="n">
        <v>-0.009164392022214861</v>
      </c>
      <c r="C360" s="0" t="n">
        <v>-0.008991265449264761</v>
      </c>
      <c r="D360" s="0" t="n">
        <v>0.00378600982074583</v>
      </c>
      <c r="E360" s="0" t="n">
        <v>-0.00450655937826294</v>
      </c>
      <c r="F360" s="0" t="n">
        <v>0.0165072157734846</v>
      </c>
      <c r="G360" s="0" t="n">
        <v>-0.00336023111554029</v>
      </c>
      <c r="H360" s="0" t="n">
        <v>0.0163046931790835</v>
      </c>
      <c r="I360" s="0" t="n">
        <v>-0.00570621216575251</v>
      </c>
      <c r="J360" s="0" t="n">
        <v>0.00565509696166843</v>
      </c>
      <c r="K360" s="0" t="n">
        <v>0.06302832653886289</v>
      </c>
      <c r="L360" s="0" t="n">
        <v>-0.00492611341827098</v>
      </c>
      <c r="M360" s="0" t="n">
        <v>-0.00218510138941008</v>
      </c>
      <c r="N360" s="0" t="n">
        <v>-0.00193682942693707</v>
      </c>
      <c r="O360" s="0" t="n">
        <v>0.000774262011163262</v>
      </c>
      <c r="P360" s="0" t="n">
        <v>-0.0879337959371944</v>
      </c>
      <c r="Q360" s="0" t="n">
        <v>-0.0139618190198187</v>
      </c>
      <c r="R360" s="0" t="n">
        <v>0.0033320821241709</v>
      </c>
      <c r="S360" s="0" t="n">
        <v>-0.00506616088799161</v>
      </c>
      <c r="T360" s="0" t="n">
        <v>0.00158306648064288</v>
      </c>
      <c r="U360" s="0" t="n">
        <v>0.00450695319466465</v>
      </c>
      <c r="V360" s="0" t="n">
        <v>0.0174618243122255</v>
      </c>
      <c r="W360" s="0" t="n">
        <v>0.00538978735342343</v>
      </c>
      <c r="X360" s="0" t="n">
        <v>0.0190936410689266</v>
      </c>
    </row>
    <row r="361">
      <c r="A361" s="5" t="n">
        <v>42893</v>
      </c>
      <c r="B361" s="0" t="n">
        <v>0.00739088998026726</v>
      </c>
      <c r="C361" s="0" t="n">
        <v>-0.00325673693577677</v>
      </c>
      <c r="D361" s="0" t="n">
        <v>0.00890342697563273</v>
      </c>
      <c r="E361" s="0" t="n">
        <v>0.00270642353220607</v>
      </c>
      <c r="F361" s="0" t="n">
        <v>0.0162390636504312</v>
      </c>
      <c r="G361" s="0" t="n">
        <v>0.0163582909846646</v>
      </c>
      <c r="H361" s="0" t="n">
        <v>-0.0072137303448212</v>
      </c>
      <c r="I361" s="0" t="n">
        <v>-0.0209620954124534</v>
      </c>
      <c r="J361" s="0" t="n">
        <v>0.0149256356101354</v>
      </c>
      <c r="K361" s="0" t="n">
        <v>0.0740179927636602</v>
      </c>
      <c r="L361" s="0" t="n">
        <v>0.0207704556144969</v>
      </c>
      <c r="M361" s="0" t="n">
        <v>-0.00784317746102569</v>
      </c>
      <c r="N361" s="0" t="n">
        <v>0.00734013823003643</v>
      </c>
      <c r="O361" s="0" t="n">
        <v>-0.00673050242472905</v>
      </c>
      <c r="P361" s="0" t="n">
        <v>-0.0133781135003441</v>
      </c>
      <c r="Q361" s="0" t="n">
        <v>-0.0106007957159768</v>
      </c>
      <c r="R361" s="0" t="n">
        <v>0.00344845652709935</v>
      </c>
      <c r="S361" s="0" t="n">
        <v>0.00674922927780841</v>
      </c>
      <c r="T361" s="0" t="n">
        <v>0</v>
      </c>
      <c r="U361" s="0" t="n">
        <v>-0.00530436897718011</v>
      </c>
      <c r="V361" s="0" t="n">
        <v>0.00531207441814007</v>
      </c>
      <c r="W361" s="0" t="n">
        <v>0.008982405618005449</v>
      </c>
      <c r="X361" s="0" t="n">
        <v>0.0179622555999858</v>
      </c>
    </row>
    <row r="362">
      <c r="A362" s="5" t="n">
        <v>42894</v>
      </c>
      <c r="B362" s="0" t="n">
        <v>0.0130635425400136</v>
      </c>
      <c r="C362" s="0" t="n">
        <v>0.0126059598612293</v>
      </c>
      <c r="D362" s="0" t="n">
        <v>0.0116670362130166</v>
      </c>
      <c r="E362" s="0" t="n">
        <v>0.00269903288472628</v>
      </c>
      <c r="F362" s="0" t="n">
        <v>0.0300194399412636</v>
      </c>
      <c r="G362" s="0" t="n">
        <v>0.0190232010751842</v>
      </c>
      <c r="H362" s="0" t="n">
        <v>-0.0191874791256296</v>
      </c>
      <c r="I362" s="0" t="n">
        <v>-0.0191745753904433</v>
      </c>
      <c r="J362" s="0" t="n">
        <v>-0.0377403823232644</v>
      </c>
      <c r="K362" s="0" t="n">
        <v>-0.0254677558728529</v>
      </c>
      <c r="L362" s="0" t="n">
        <v>0.00482509497482963</v>
      </c>
      <c r="M362" s="0" t="n">
        <v>0.0316207513410082</v>
      </c>
      <c r="N362" s="0" t="n">
        <v>0.00499141246459355</v>
      </c>
      <c r="O362" s="0" t="n">
        <v>0.00750426376028556</v>
      </c>
      <c r="P362" s="0" t="n">
        <v>0.0524711054255115</v>
      </c>
      <c r="Q362" s="0" t="n">
        <v>-0.0288308844008815</v>
      </c>
      <c r="R362" s="0" t="n">
        <v>0.0161885258384693</v>
      </c>
      <c r="S362" s="0" t="n">
        <v>-0.0330514367888894</v>
      </c>
      <c r="T362" s="0" t="n">
        <v>-0.00762149658101396</v>
      </c>
      <c r="U362" s="0" t="n">
        <v>0.00331851373818192</v>
      </c>
      <c r="V362" s="0" t="n">
        <v>0.0168859835634069</v>
      </c>
      <c r="W362" s="0" t="n">
        <v>0.0233180526822898</v>
      </c>
      <c r="X362" s="0" t="n">
        <v>0.0282353655952425</v>
      </c>
    </row>
    <row r="363">
      <c r="A363" s="5" t="n">
        <v>42895</v>
      </c>
      <c r="B363" s="0" t="n">
        <v>0.00698390433402096</v>
      </c>
      <c r="C363" s="0" t="n">
        <v>0.0351653615358316</v>
      </c>
      <c r="D363" s="0" t="n">
        <v>-0.0017290283119129</v>
      </c>
      <c r="E363" s="0" t="n">
        <v>0.0133870468274897</v>
      </c>
      <c r="F363" s="0" t="n">
        <v>0.00463649338842486</v>
      </c>
      <c r="G363" s="0" t="n">
        <v>-0.0246682458583471</v>
      </c>
      <c r="H363" s="0" t="n">
        <v>-0.00833723370400663</v>
      </c>
      <c r="I363" s="0" t="n">
        <v>0.00519865218579918</v>
      </c>
      <c r="J363" s="0" t="n">
        <v>0</v>
      </c>
      <c r="K363" s="0" t="n">
        <v>-0.00843381984180557</v>
      </c>
      <c r="L363" s="0" t="n">
        <v>-0.0218987217266537</v>
      </c>
      <c r="M363" s="0" t="n">
        <v>-0.00213837544501993</v>
      </c>
      <c r="N363" s="0" t="n">
        <v>0.0185928240414221</v>
      </c>
      <c r="O363" s="0" t="n">
        <v>0.00719239620195466</v>
      </c>
      <c r="P363" s="0" t="n">
        <v>0.00636939153930304</v>
      </c>
      <c r="Q363" s="0" t="n">
        <v>-0.00733947574537063</v>
      </c>
      <c r="R363" s="0" t="n">
        <v>-0.00037641984774428</v>
      </c>
      <c r="S363" s="0" t="n">
        <v>0.010947993453787</v>
      </c>
      <c r="T363" s="0" t="n">
        <v>-0.00383267277291388</v>
      </c>
      <c r="U363" s="0" t="n">
        <v>-0.000795407152515359</v>
      </c>
      <c r="V363" s="0" t="n">
        <v>0.0112849335031244</v>
      </c>
      <c r="W363" s="0" t="n">
        <v>0.00537587571762765</v>
      </c>
      <c r="X363" s="0" t="n">
        <v>0.0060015126995192</v>
      </c>
    </row>
    <row r="364">
      <c r="A364" s="5" t="n">
        <v>42898</v>
      </c>
      <c r="B364" s="0" t="n">
        <v>-0.00601102348209181</v>
      </c>
      <c r="C364" s="0" t="n">
        <v>-0.0170765389958957</v>
      </c>
      <c r="D364" s="0" t="n">
        <v>0.00431697828410371</v>
      </c>
      <c r="E364" s="0" t="n">
        <v>-0.000886853727567249</v>
      </c>
      <c r="F364" s="0" t="n">
        <v>-0.00042061950740635</v>
      </c>
      <c r="G364" s="0" t="n">
        <v>0.009610645848449719</v>
      </c>
      <c r="H364" s="0" t="n">
        <v>0.0101805504970766</v>
      </c>
      <c r="I364" s="0" t="n">
        <v>0.010316992141222</v>
      </c>
      <c r="J364" s="0" t="n">
        <v>0.00766286574561059</v>
      </c>
      <c r="K364" s="0" t="n">
        <v>-0.0244959960890329</v>
      </c>
      <c r="L364" s="0" t="n">
        <v>-0.0161193959562568</v>
      </c>
      <c r="M364" s="0" t="n">
        <v>-0.00367644185899029</v>
      </c>
      <c r="N364" s="0" t="n">
        <v>0.0237752427502742</v>
      </c>
      <c r="O364" s="0" t="n">
        <v>-0.0100322227811289</v>
      </c>
      <c r="P364" s="0" t="n">
        <v>0.0281709246223793</v>
      </c>
      <c r="Q364" s="0" t="n">
        <v>0.016438754501332</v>
      </c>
      <c r="R364" s="0" t="n">
        <v>0.00213123844534557</v>
      </c>
      <c r="S364" s="0" t="n">
        <v>0.0164822716095196</v>
      </c>
      <c r="T364" s="0" t="n">
        <v>0.0142973287683143</v>
      </c>
      <c r="U364" s="0" t="n">
        <v>-0.00598611141967353</v>
      </c>
      <c r="V364" s="0" t="n">
        <v>-0.00313223627502212</v>
      </c>
      <c r="W364" s="0" t="n">
        <v>0.00663353468637772</v>
      </c>
      <c r="X364" s="0" t="n">
        <v>-0.00149696913355201</v>
      </c>
    </row>
    <row r="365">
      <c r="A365" s="5" t="n">
        <v>42899</v>
      </c>
      <c r="B365" s="0" t="n">
        <v>-0.00285660419464939</v>
      </c>
      <c r="C365" s="0" t="n">
        <v>0.008400431922206851</v>
      </c>
      <c r="D365" s="0" t="n">
        <v>0.00429842206071828</v>
      </c>
      <c r="E365" s="0" t="n">
        <v>-0.0044464447756698</v>
      </c>
      <c r="F365" s="0" t="n">
        <v>-0.000420796502627052</v>
      </c>
      <c r="G365" s="0" t="n">
        <v>-0.00132009946322275</v>
      </c>
      <c r="H365" s="0" t="n">
        <v>0.0146255407367659</v>
      </c>
      <c r="I365" s="0" t="n">
        <v>-0.0327898624428915</v>
      </c>
      <c r="J365" s="0" t="n">
        <v>-0.0153849047310359</v>
      </c>
      <c r="K365" s="0" t="n">
        <v>-0.0018616331375118</v>
      </c>
      <c r="L365" s="0" t="n">
        <v>-0.00626963700540228</v>
      </c>
      <c r="M365" s="0" t="n">
        <v>0.00337051935090526</v>
      </c>
      <c r="N365" s="0" t="n">
        <v>0.00256644305133191</v>
      </c>
      <c r="O365" s="0" t="n">
        <v>0.00103361545994928</v>
      </c>
      <c r="P365" s="0" t="n">
        <v>-0.0441712252761119</v>
      </c>
      <c r="Q365" s="0" t="n">
        <v>-0.003629764595237</v>
      </c>
      <c r="R365" s="0" t="n">
        <v>0.0118271477446239</v>
      </c>
      <c r="S365" s="0" t="n">
        <v>-0.0113379248388358</v>
      </c>
      <c r="T365" s="0" t="n">
        <v>-0.00315957228603203</v>
      </c>
      <c r="U365" s="0" t="n">
        <v>0.0106172605581216</v>
      </c>
      <c r="V365" s="0" t="n">
        <v>0.00607125098870975</v>
      </c>
      <c r="W365" s="0" t="n">
        <v>0.00146812316135669</v>
      </c>
      <c r="X365" s="0" t="n">
        <v>0.00448427249415317</v>
      </c>
    </row>
    <row r="366">
      <c r="A366" s="5" t="n">
        <v>42900</v>
      </c>
      <c r="B366" s="0" t="n">
        <v>0.00266210372930242</v>
      </c>
      <c r="C366" s="0" t="n">
        <v>0.008676107073688931</v>
      </c>
      <c r="D366" s="0" t="n">
        <v>0.00549961145941413</v>
      </c>
      <c r="E366" s="0" t="n">
        <v>0.00178090020848342</v>
      </c>
      <c r="F366" s="0" t="n">
        <v>-0.00930236340297785</v>
      </c>
      <c r="G366" s="0" t="n">
        <v>-0.209368369711859</v>
      </c>
      <c r="H366" s="0" t="n">
        <v>-0.0118668551577492</v>
      </c>
      <c r="I366" s="0" t="n">
        <v>-0.00836822356407696</v>
      </c>
      <c r="J366" s="0" t="n">
        <v>0.00386847320995498</v>
      </c>
      <c r="K366" s="0" t="n">
        <v>-0.04575132485905</v>
      </c>
      <c r="L366" s="0" t="n">
        <v>-0.013933050849376</v>
      </c>
      <c r="M366" s="0" t="n">
        <v>0.00366421010227302</v>
      </c>
      <c r="N366" s="0" t="n">
        <v>-0.0132695902657791</v>
      </c>
      <c r="O366" s="0" t="n">
        <v>0.00309435341695207</v>
      </c>
      <c r="P366" s="0" t="n">
        <v>-0.0541269330906568</v>
      </c>
      <c r="Q366" s="0" t="n">
        <v>-0.00913251856049579</v>
      </c>
      <c r="R366" s="0" t="n">
        <v>-0.008826046685666</v>
      </c>
      <c r="S366" s="0" t="n">
        <v>-0.00743929412486199</v>
      </c>
      <c r="T366" s="0" t="n">
        <v>-0.000633126253091198</v>
      </c>
      <c r="U366" s="0" t="n">
        <v>0.00867518119709132</v>
      </c>
      <c r="V366" s="0" t="n">
        <v>-0.00441180274691976</v>
      </c>
      <c r="W366" s="0" t="n">
        <v>-0.0116204803276773</v>
      </c>
      <c r="X366" s="0" t="n">
        <v>-0.00898881606012036</v>
      </c>
    </row>
    <row r="367">
      <c r="A367" s="5" t="n">
        <v>42901</v>
      </c>
      <c r="B367" s="0" t="n">
        <v>0.0074935986270983</v>
      </c>
      <c r="C367" s="0" t="n">
        <v>0.00207108245306164</v>
      </c>
      <c r="D367" s="0" t="n">
        <v>-0.0020741274808822</v>
      </c>
      <c r="E367" s="0" t="n">
        <v>-0.00178090020848342</v>
      </c>
      <c r="F367" s="0" t="n">
        <v>-0.00468387517983481</v>
      </c>
      <c r="G367" s="0" t="n">
        <v>-0.0969808930626912</v>
      </c>
      <c r="H367" s="0" t="n">
        <v>0.00275103066529447</v>
      </c>
      <c r="I367" s="0" t="n">
        <v>0.00228918321467475</v>
      </c>
      <c r="J367" s="0" t="n">
        <v>0</v>
      </c>
      <c r="K367" s="0" t="n">
        <v>0.0332511742024848</v>
      </c>
      <c r="L367" s="0" t="n">
        <v>0.00508906456768931</v>
      </c>
      <c r="M367" s="0" t="n">
        <v>0.00486470527942417</v>
      </c>
      <c r="N367" s="0" t="n">
        <v>-0.0467144529919774</v>
      </c>
      <c r="O367" s="0" t="n">
        <v>0.00308480792342091</v>
      </c>
      <c r="P367" s="0" t="n">
        <v>-0.00227278022040744</v>
      </c>
      <c r="Q367" s="0" t="n">
        <v>-0.020389892131315</v>
      </c>
      <c r="R367" s="0" t="n">
        <v>-0.0385666490945393</v>
      </c>
      <c r="S367" s="0" t="n">
        <v>-0.00460564569062116</v>
      </c>
      <c r="T367" s="0" t="n">
        <v>0.00158200437312583</v>
      </c>
      <c r="U367" s="0" t="n">
        <v>0.0113215485218445</v>
      </c>
      <c r="V367" s="0" t="n">
        <v>0.00331065795694396</v>
      </c>
      <c r="W367" s="0" t="n">
        <v>-0.00018558560486559</v>
      </c>
      <c r="X367" s="0" t="n">
        <v>-0.00528101523241142</v>
      </c>
    </row>
    <row r="368">
      <c r="A368" s="5" t="n">
        <v>42902</v>
      </c>
      <c r="B368" s="0" t="n">
        <v>-0.00348145888872775</v>
      </c>
      <c r="C368" s="0" t="n">
        <v>-0.00692040056866671</v>
      </c>
      <c r="D368" s="0" t="n">
        <v>0.00560224461720082</v>
      </c>
      <c r="E368" s="0" t="n">
        <v>0.00178090020848342</v>
      </c>
      <c r="F368" s="0" t="n">
        <v>0.0202795095437675</v>
      </c>
      <c r="G368" s="0" t="n">
        <v>0.0155800379047574</v>
      </c>
      <c r="H368" s="0" t="n">
        <v>0.00638979184084664</v>
      </c>
      <c r="I368" s="0" t="n">
        <v>-0.00534962640891123</v>
      </c>
      <c r="J368" s="0" t="n">
        <v>0.0115164315210809</v>
      </c>
      <c r="K368" s="0" t="n">
        <v>0.0297419551925318</v>
      </c>
      <c r="L368" s="0" t="n">
        <v>0.0188565763120238</v>
      </c>
      <c r="M368" s="0" t="n">
        <v>0.00755404682287697</v>
      </c>
      <c r="N368" s="0" t="n">
        <v>-0.0140957190359545</v>
      </c>
      <c r="O368" s="0" t="n">
        <v>-0.0012841722002701</v>
      </c>
      <c r="P368" s="0" t="n">
        <v>-0.00684938994146255</v>
      </c>
      <c r="Q368" s="0" t="n">
        <v>0.0111732896842495</v>
      </c>
      <c r="R368" s="0" t="n">
        <v>0.013405729792014</v>
      </c>
      <c r="S368" s="0" t="n">
        <v>0.00690059304479939</v>
      </c>
      <c r="T368" s="0" t="n">
        <v>0.0113173360219058</v>
      </c>
      <c r="U368" s="0" t="n">
        <v>0.00554876333140352</v>
      </c>
      <c r="V368" s="0" t="n">
        <v>0.0138587581735776</v>
      </c>
      <c r="W368" s="0" t="n">
        <v>0.00647375395779681</v>
      </c>
      <c r="X368" s="0" t="n">
        <v>0.00753578757875716</v>
      </c>
    </row>
    <row r="369">
      <c r="A369" s="5" t="n">
        <v>42905</v>
      </c>
      <c r="B369" s="0" t="n">
        <v>0.000710162480122456</v>
      </c>
      <c r="C369" s="0" t="n">
        <v>-0.0235388019798534</v>
      </c>
      <c r="D369" s="0" t="n">
        <v>0.00496704239087453</v>
      </c>
      <c r="E369" s="0" t="n">
        <v>-0.0107335455714054</v>
      </c>
      <c r="F369" s="0" t="n">
        <v>-0.0177219861614505</v>
      </c>
      <c r="G369" s="0" t="n">
        <v>-0.0115505609914703</v>
      </c>
      <c r="H369" s="0" t="n">
        <v>-0.0351888482388342</v>
      </c>
      <c r="I369" s="0" t="n">
        <v>0</v>
      </c>
      <c r="J369" s="0" t="n">
        <v>-0.0115164315210809</v>
      </c>
      <c r="K369" s="0" t="n">
        <v>-0.0110498402297707</v>
      </c>
      <c r="L369" s="0" t="n">
        <v>-0.0329143327799745</v>
      </c>
      <c r="M369" s="0" t="n">
        <v>0.0101827815882975</v>
      </c>
      <c r="N369" s="0" t="n">
        <v>-0.0263698791143474</v>
      </c>
      <c r="O369" s="0" t="n">
        <v>-0.00644581324163651</v>
      </c>
      <c r="P369" s="0" t="n">
        <v>-0.0385336569796037</v>
      </c>
      <c r="Q369" s="0" t="n">
        <v>-0.00371057578562505</v>
      </c>
      <c r="R369" s="0" t="n">
        <v>-0.00410572427484279</v>
      </c>
      <c r="S369" s="0" t="n">
        <v>0.00400341926641489</v>
      </c>
      <c r="T369" s="0" t="n">
        <v>-0.00438595281138987</v>
      </c>
      <c r="U369" s="0" t="n">
        <v>-0.00490193514042225</v>
      </c>
      <c r="V369" s="0" t="n">
        <v>0.00793652474813022</v>
      </c>
      <c r="W369" s="0" t="n">
        <v>-0.014484980992016</v>
      </c>
      <c r="X369" s="0" t="n">
        <v>-0.00677969867471306</v>
      </c>
    </row>
    <row r="370">
      <c r="A370" s="5" t="n">
        <v>42906</v>
      </c>
      <c r="B370" s="0" t="n">
        <v>-0.00751447274288352</v>
      </c>
      <c r="C370" s="0" t="n">
        <v>-0.0125202798195265</v>
      </c>
      <c r="D370" s="0" t="n">
        <v>-0.00133019683145629</v>
      </c>
      <c r="E370" s="0" t="n">
        <v>-0.00722024113737918</v>
      </c>
      <c r="F370" s="0" t="n">
        <v>-0.0154443489670041</v>
      </c>
      <c r="G370" s="0" t="n">
        <v>-0.000446852366461136</v>
      </c>
      <c r="H370" s="0" t="n">
        <v>0.00376293598480215</v>
      </c>
      <c r="I370" s="0" t="n">
        <v>0.0257200369589156</v>
      </c>
      <c r="J370" s="0" t="n">
        <v>0.0115164315210809</v>
      </c>
      <c r="K370" s="0" t="n">
        <v>-0.0124225080408352</v>
      </c>
      <c r="L370" s="0" t="n">
        <v>0.0229017427496374</v>
      </c>
      <c r="M370" s="0" t="n">
        <v>0.00948997879080115</v>
      </c>
      <c r="N370" s="0" t="n">
        <v>-0.0105821183669889</v>
      </c>
      <c r="O370" s="0" t="n">
        <v>-0.0132796721059746</v>
      </c>
      <c r="P370" s="0" t="n">
        <v>-0.0425595453119607</v>
      </c>
      <c r="Q370" s="0" t="n">
        <v>0.00740743408268951</v>
      </c>
      <c r="R370" s="0" t="n">
        <v>0.00487374155524023</v>
      </c>
      <c r="S370" s="0" t="n">
        <v>0.00114092750426886</v>
      </c>
      <c r="T370" s="0" t="n">
        <v>-0.000314028226727991</v>
      </c>
      <c r="U370" s="0" t="n">
        <v>-0.00388706178163467</v>
      </c>
      <c r="V370" s="0" t="n">
        <v>0.00733915133650064</v>
      </c>
      <c r="W370" s="0" t="n">
        <v>-0.00901921838169528</v>
      </c>
      <c r="X370" s="0" t="n">
        <v>-0.0129327875482347</v>
      </c>
    </row>
    <row r="371">
      <c r="A371" s="5" t="n">
        <v>42907</v>
      </c>
      <c r="B371" s="0" t="n">
        <v>0.00395860626437372</v>
      </c>
      <c r="C371" s="0" t="n">
        <v>-0.008313779618808409</v>
      </c>
      <c r="D371" s="0" t="n">
        <v>0.0200066355513746</v>
      </c>
      <c r="E371" s="0" t="n">
        <v>0.00811913817604859</v>
      </c>
      <c r="F371" s="0" t="n">
        <v>-0.00868432978118738</v>
      </c>
      <c r="G371" s="0" t="n">
        <v>0.00845758993903222</v>
      </c>
      <c r="H371" s="0" t="n">
        <v>0.00281293873548471</v>
      </c>
      <c r="I371" s="0" t="n">
        <v>0.0104012371033261</v>
      </c>
      <c r="J371" s="0" t="n">
        <v>0</v>
      </c>
      <c r="K371" s="0" t="n">
        <v>0.0362113906302151</v>
      </c>
      <c r="L371" s="0" t="n">
        <v>0.0186922040989863</v>
      </c>
      <c r="M371" s="0" t="n">
        <v>0.005298814244024</v>
      </c>
      <c r="N371" s="0" t="n">
        <v>-0.00368929096047265</v>
      </c>
      <c r="O371" s="0" t="n">
        <v>-0.00131155564395157</v>
      </c>
      <c r="P371" s="0" t="n">
        <v>0.0233282010202144</v>
      </c>
      <c r="Q371" s="0" t="n">
        <v>0.00184327280440177</v>
      </c>
      <c r="R371" s="0" t="n">
        <v>-0.0120995479443237</v>
      </c>
      <c r="S371" s="0" t="n">
        <v>0.00170884568928864</v>
      </c>
      <c r="T371" s="0" t="n">
        <v>0.000314028226727991</v>
      </c>
      <c r="U371" s="0" t="n">
        <v>-0.00716562788165653</v>
      </c>
      <c r="V371" s="0" t="n">
        <v>0.0222231741663314</v>
      </c>
      <c r="W371" s="0" t="n">
        <v>-0.00929176796251773</v>
      </c>
      <c r="X371" s="0" t="n">
        <v>-0.00923089933332121</v>
      </c>
    </row>
    <row r="372">
      <c r="A372" s="5" t="n">
        <v>42908</v>
      </c>
      <c r="B372" s="0" t="n">
        <v>-0.00187996095235476</v>
      </c>
      <c r="C372" s="0" t="n">
        <v>0.000725656217352987</v>
      </c>
      <c r="D372" s="0" t="n">
        <v>-0.00499404339450482</v>
      </c>
      <c r="E372" s="0" t="n">
        <v>-0.00811913817604859</v>
      </c>
      <c r="F372" s="0" t="n">
        <v>-0.00480877911807331</v>
      </c>
      <c r="G372" s="0" t="n">
        <v>0.00177152020034032</v>
      </c>
      <c r="H372" s="0" t="n">
        <v>-0.00657587472028686</v>
      </c>
      <c r="I372" s="0" t="n">
        <v>0.0197591835378831</v>
      </c>
      <c r="J372" s="0" t="n">
        <v>0.0207750884290167</v>
      </c>
      <c r="K372" s="0" t="n">
        <v>-0.0176350228838221</v>
      </c>
      <c r="L372" s="0" t="n">
        <v>0.00860480943679586</v>
      </c>
      <c r="M372" s="0" t="n">
        <v>0.00322429698628123</v>
      </c>
      <c r="N372" s="0" t="n">
        <v>0.00246101295912204</v>
      </c>
      <c r="O372" s="0" t="n">
        <v>-0.00394471813789421</v>
      </c>
      <c r="P372" s="0" t="n">
        <v>0.0263488619827723</v>
      </c>
      <c r="Q372" s="0" t="n">
        <v>0.00183996905398764</v>
      </c>
      <c r="R372" s="0" t="n">
        <v>0.00245751188037157</v>
      </c>
      <c r="S372" s="0" t="n">
        <v>0.00567540581944925</v>
      </c>
      <c r="T372" s="0" t="n">
        <v>0.00750706588152017</v>
      </c>
      <c r="U372" s="0" t="n">
        <v>0.000130672769437012</v>
      </c>
      <c r="V372" s="0" t="n">
        <v>-0.0121086402496652</v>
      </c>
      <c r="W372" s="0" t="n">
        <v>-0.000762357852755357</v>
      </c>
      <c r="X372" s="0" t="n">
        <v>-0.0179341684421809</v>
      </c>
    </row>
    <row r="373">
      <c r="A373" s="5" t="n">
        <v>42909</v>
      </c>
      <c r="B373" s="0" t="n">
        <v>0.00724122340715016</v>
      </c>
      <c r="C373" s="0" t="n">
        <v>0.0014498064569568</v>
      </c>
      <c r="D373" s="0" t="n">
        <v>0.00463816486950197</v>
      </c>
      <c r="E373" s="0" t="n">
        <v>0.0126014576299264</v>
      </c>
      <c r="F373" s="0" t="n">
        <v>0.00306277623916706</v>
      </c>
      <c r="G373" s="0" t="n">
        <v>0.000442390127207925</v>
      </c>
      <c r="H373" s="0" t="n">
        <v>0.0351888482388342</v>
      </c>
      <c r="I373" s="0" t="n">
        <v>-0.009464949667544961</v>
      </c>
      <c r="J373" s="0" t="n">
        <v>-0.009389686536441341</v>
      </c>
      <c r="K373" s="0" t="n">
        <v>0.0061162212201864</v>
      </c>
      <c r="L373" s="0" t="n">
        <v>0.0205943164563495</v>
      </c>
      <c r="M373" s="0" t="n">
        <v>-0.00381168193977643</v>
      </c>
      <c r="N373" s="0" t="n">
        <v>0.00571894500973746</v>
      </c>
      <c r="O373" s="0" t="n">
        <v>0.00525627378184578</v>
      </c>
      <c r="P373" s="0" t="n">
        <v>-0.0047393408119567</v>
      </c>
      <c r="Q373" s="0" t="n">
        <v>0.00914914244444009</v>
      </c>
      <c r="R373" s="0" t="n">
        <v>0.0344095265538877</v>
      </c>
      <c r="S373" s="0" t="n">
        <v>-0.0011325288830255</v>
      </c>
      <c r="T373" s="0" t="n">
        <v>0.00466350982328744</v>
      </c>
      <c r="U373" s="0" t="n">
        <v>0.000522819465639479</v>
      </c>
      <c r="V373" s="0" t="n">
        <v>0.00493130244325268</v>
      </c>
      <c r="W373" s="0" t="n">
        <v>0.008543018320505519</v>
      </c>
      <c r="X373" s="0" t="n">
        <v>0.00627452440549092</v>
      </c>
    </row>
    <row r="374">
      <c r="A374" s="5" t="n">
        <v>42912</v>
      </c>
      <c r="B374" s="0" t="n">
        <v>-0.00309694895022349</v>
      </c>
      <c r="C374" s="0" t="n">
        <v>-0.0145934564860321</v>
      </c>
      <c r="D374" s="0" t="n">
        <v>-0.014822144009372</v>
      </c>
      <c r="E374" s="0" t="n">
        <v>-0.008984820590131721</v>
      </c>
      <c r="F374" s="0" t="n">
        <v>0.0164648896861137</v>
      </c>
      <c r="G374" s="0" t="n">
        <v>0.00705158689481466</v>
      </c>
      <c r="H374" s="0" t="n">
        <v>-0.012820741754653</v>
      </c>
      <c r="I374" s="0" t="n">
        <v>-0.0221902737626593</v>
      </c>
      <c r="J374" s="0" t="n">
        <v>-0.00757578628251098</v>
      </c>
      <c r="K374" s="0" t="n">
        <v>0</v>
      </c>
      <c r="L374" s="0" t="n">
        <v>0.00954660264870854</v>
      </c>
      <c r="M374" s="0" t="n">
        <v>-0.00796348264799418</v>
      </c>
      <c r="N374" s="0" t="n">
        <v>0.000407258370358487</v>
      </c>
      <c r="O374" s="0" t="n">
        <v>-0.0118656830362051</v>
      </c>
      <c r="P374" s="0" t="n">
        <v>0.0047393408119567</v>
      </c>
      <c r="Q374" s="0" t="n">
        <v>-0.00547941708731936</v>
      </c>
      <c r="R374" s="0" t="n">
        <v>0.00460738148685013</v>
      </c>
      <c r="S374" s="0" t="n">
        <v>-0.0499522361487092</v>
      </c>
      <c r="T374" s="0" t="n">
        <v>-0.0150003261145093</v>
      </c>
      <c r="U374" s="0" t="n">
        <v>-0.0151408534686749</v>
      </c>
      <c r="V374" s="0" t="n">
        <v>-0.0180823335951014</v>
      </c>
      <c r="W374" s="0" t="n">
        <v>0.0049028632658481</v>
      </c>
      <c r="X374" s="0" t="n">
        <v>0.00933858043100555</v>
      </c>
    </row>
    <row r="375">
      <c r="A375" s="5" t="n">
        <v>42913</v>
      </c>
      <c r="B375" s="0" t="n">
        <v>0.00367664045443039</v>
      </c>
      <c r="C375" s="0" t="n">
        <v>-0.00478910472416016</v>
      </c>
      <c r="D375" s="0" t="n">
        <v>0.000722253056726351</v>
      </c>
      <c r="E375" s="0" t="n">
        <v>0.000902140687925712</v>
      </c>
      <c r="F375" s="0" t="n">
        <v>0.0258762563945853</v>
      </c>
      <c r="G375" s="0" t="n">
        <v>0.0251531002724849</v>
      </c>
      <c r="H375" s="0" t="n">
        <v>0.009174433167792539</v>
      </c>
      <c r="I375" s="0" t="n">
        <v>-0.00224633062847123</v>
      </c>
      <c r="J375" s="0" t="n">
        <v>0.0262679009675894</v>
      </c>
      <c r="K375" s="0" t="n">
        <v>0.0181273676173764</v>
      </c>
      <c r="L375" s="0" t="n">
        <v>0.0350094312281838</v>
      </c>
      <c r="M375" s="0" t="n">
        <v>-0.000592430634272833</v>
      </c>
      <c r="N375" s="0" t="n">
        <v>0.0121410291001917</v>
      </c>
      <c r="O375" s="0" t="n">
        <v>0.00634581361939234</v>
      </c>
      <c r="P375" s="0" t="n">
        <v>0.0222100987160098</v>
      </c>
      <c r="Q375" s="0" t="n">
        <v>0.0109290600902236</v>
      </c>
      <c r="R375" s="0" t="n">
        <v>0.009397894644525451</v>
      </c>
      <c r="S375" s="0" t="n">
        <v>0.0200477377264212</v>
      </c>
      <c r="T375" s="0" t="n">
        <v>0.0100251964905346</v>
      </c>
      <c r="U375" s="0" t="n">
        <v>0.00608385825695201</v>
      </c>
      <c r="V375" s="0" t="n">
        <v>-0.000536863104444229</v>
      </c>
      <c r="W375" s="0" t="n">
        <v>0.0217703632911985</v>
      </c>
      <c r="X375" s="0" t="n">
        <v>0.0176588461453328</v>
      </c>
    </row>
    <row r="376">
      <c r="A376" s="5" t="n">
        <v>42914</v>
      </c>
      <c r="B376" s="0" t="n">
        <v>-0.00769111818067624</v>
      </c>
      <c r="C376" s="0" t="n">
        <v>-0.00221808726340855</v>
      </c>
      <c r="D376" s="0" t="n">
        <v>-0.00482511837134236</v>
      </c>
      <c r="E376" s="0" t="n">
        <v>0.007187804790036</v>
      </c>
      <c r="F376" s="0" t="n">
        <v>0.0182577911689962</v>
      </c>
      <c r="G376" s="0" t="n">
        <v>-0.00472207831684468</v>
      </c>
      <c r="H376" s="0" t="n">
        <v>0.00273597714181916</v>
      </c>
      <c r="I376" s="0" t="n">
        <v>-0.0281280330093092</v>
      </c>
      <c r="J376" s="0" t="n">
        <v>-0.00743497123875003</v>
      </c>
      <c r="K376" s="0" t="n">
        <v>-0.00781489509236321</v>
      </c>
      <c r="L376" s="0" t="n">
        <v>0.0022908949361331</v>
      </c>
      <c r="M376" s="0" t="n">
        <v>-0.0035618598055751</v>
      </c>
      <c r="N376" s="0" t="n">
        <v>-0.0277342528264696</v>
      </c>
      <c r="O376" s="0" t="n">
        <v>-0.008470132829812011</v>
      </c>
      <c r="P376" s="0" t="n">
        <v>0.0103508866363504</v>
      </c>
      <c r="Q376" s="0" t="n">
        <v>-0.00909927875596139</v>
      </c>
      <c r="R376" s="0" t="n">
        <v>-0.0121349108868873</v>
      </c>
      <c r="S376" s="0" t="n">
        <v>-0.0176682596744983</v>
      </c>
      <c r="T376" s="0" t="n">
        <v>-0.0211065313834613</v>
      </c>
      <c r="U376" s="0" t="n">
        <v>-0.0191698473112875</v>
      </c>
      <c r="V376" s="0" t="n">
        <v>-0.000895321712154562</v>
      </c>
      <c r="W376" s="0" t="n">
        <v>0.0263387660492071</v>
      </c>
      <c r="X376" s="0" t="n">
        <v>0.0181000240686879</v>
      </c>
    </row>
    <row r="377">
      <c r="A377" s="5" t="n">
        <v>42915</v>
      </c>
      <c r="B377" s="0" t="n">
        <v>-0.00194832536769418</v>
      </c>
      <c r="C377" s="0" t="n">
        <v>-0.000370221208093379</v>
      </c>
      <c r="D377" s="0" t="n">
        <v>-0.00484842036417898</v>
      </c>
      <c r="E377" s="0" t="n">
        <v>0.00178886491321073</v>
      </c>
      <c r="F377" s="0" t="n">
        <v>-0.00247013159918019</v>
      </c>
      <c r="G377" s="0" t="n">
        <v>0.00343642626075713</v>
      </c>
      <c r="H377" s="0" t="n">
        <v>0.00635498569244319</v>
      </c>
      <c r="I377" s="0" t="n">
        <v>-0.00463682587734659</v>
      </c>
      <c r="J377" s="0" t="n">
        <v>0.0203145780855869</v>
      </c>
      <c r="K377" s="0" t="n">
        <v>0.00721595675475184</v>
      </c>
      <c r="L377" s="0" t="n">
        <v>0.0011435368899324</v>
      </c>
      <c r="M377" s="0" t="n">
        <v>-0.00119014934610417</v>
      </c>
      <c r="N377" s="0" t="n">
        <v>-0.0124846044270228</v>
      </c>
      <c r="O377" s="0" t="n">
        <v>0.00291972636293502</v>
      </c>
      <c r="P377" s="0" t="n">
        <v>0.00684157967898624</v>
      </c>
      <c r="Q377" s="0" t="n">
        <v>0.0036496357530571</v>
      </c>
      <c r="R377" s="0" t="n">
        <v>0.00236424482001851</v>
      </c>
      <c r="S377" s="0" t="n">
        <v>-0.0185912078670065</v>
      </c>
      <c r="T377" s="0" t="n">
        <v>-0.00350823552157075</v>
      </c>
      <c r="U377" s="0" t="n">
        <v>0.000940413766261194</v>
      </c>
      <c r="V377" s="0" t="n">
        <v>-0.00179305182162181</v>
      </c>
      <c r="W377" s="0" t="n">
        <v>-0.00665528018963712</v>
      </c>
      <c r="X377" s="0" t="n">
        <v>0.0104090412198618</v>
      </c>
    </row>
    <row r="378">
      <c r="A378" s="5" t="n">
        <v>42916</v>
      </c>
      <c r="B378" s="0" t="n">
        <v>0.0113119720770793</v>
      </c>
      <c r="C378" s="0" t="n">
        <v>0.0161589893957145</v>
      </c>
      <c r="D378" s="0" t="n">
        <v>0.00484842036417898</v>
      </c>
      <c r="E378" s="0" t="n">
        <v>0.0325304147186784</v>
      </c>
      <c r="F378" s="0" t="n">
        <v>0.0171642984520543</v>
      </c>
      <c r="G378" s="0" t="n">
        <v>0.00981443966999462</v>
      </c>
      <c r="H378" s="0" t="n">
        <v>0.0108011746865286</v>
      </c>
      <c r="I378" s="0" t="n">
        <v>-0.0148266141343875</v>
      </c>
      <c r="J378" s="0" t="n">
        <v>-0.0165901826324619</v>
      </c>
      <c r="K378" s="0" t="n">
        <v>0.0242687304294981</v>
      </c>
      <c r="L378" s="0" t="n">
        <v>0.0192422547755275</v>
      </c>
      <c r="M378" s="0" t="n">
        <v>0.00682392628004491</v>
      </c>
      <c r="N378" s="0" t="n">
        <v>0.0037617664196321</v>
      </c>
      <c r="O378" s="0" t="n">
        <v>0.0100212090576898</v>
      </c>
      <c r="P378" s="0" t="n">
        <v>0.02024808817962</v>
      </c>
      <c r="Q378" s="0" t="n">
        <v>-0.0036496357530571</v>
      </c>
      <c r="R378" s="0" t="n">
        <v>0.00198663661428799</v>
      </c>
      <c r="S378" s="0" t="n">
        <v>-0.0263738253148062</v>
      </c>
      <c r="T378" s="0" t="n">
        <v>0.000958029357883472</v>
      </c>
      <c r="U378" s="0" t="n">
        <v>0.000805336400489409</v>
      </c>
      <c r="V378" s="0" t="n">
        <v>0.00982237076090264</v>
      </c>
      <c r="W378" s="0" t="n">
        <v>0.00665528018963712</v>
      </c>
      <c r="X378" s="0" t="n">
        <v>0.0168687196395032</v>
      </c>
    </row>
    <row r="379">
      <c r="A379" s="5" t="n">
        <v>42919</v>
      </c>
      <c r="B379" s="0" t="n">
        <v>-0.0123526463961027</v>
      </c>
      <c r="C379" s="0" t="n">
        <v>-0.00364961689316833</v>
      </c>
      <c r="D379" s="0" t="n">
        <v>0</v>
      </c>
      <c r="E379" s="0" t="n">
        <v>-0.022748156945767</v>
      </c>
      <c r="F379" s="0" t="n">
        <v>0.00967748557831305</v>
      </c>
      <c r="G379" s="0" t="n">
        <v>-0.01368126098924</v>
      </c>
      <c r="H379" s="0" t="n">
        <v>0.00268216264715936</v>
      </c>
      <c r="I379" s="0" t="n">
        <v>0.0101682621227814</v>
      </c>
      <c r="J379" s="0" t="n">
        <v>0.00740743408268951</v>
      </c>
      <c r="K379" s="0" t="n">
        <v>-0.035718119359861</v>
      </c>
      <c r="L379" s="0" t="n">
        <v>-0.0203857916654599</v>
      </c>
      <c r="M379" s="0" t="n">
        <v>-0.00533651748578289</v>
      </c>
      <c r="N379" s="0" t="n">
        <v>-0.00964164025992309</v>
      </c>
      <c r="O379" s="0" t="n">
        <v>0.000262319864897886</v>
      </c>
      <c r="P379" s="0" t="n">
        <v>-0.0455659267303945</v>
      </c>
      <c r="Q379" s="0" t="n">
        <v>0.0036496357530571</v>
      </c>
      <c r="R379" s="0" t="n">
        <v>-0.0119791680320213</v>
      </c>
      <c r="S379" s="0" t="n">
        <v>0.0148059318226718</v>
      </c>
      <c r="T379" s="0" t="n">
        <v>-0.00704677200023873</v>
      </c>
      <c r="U379" s="0" t="n">
        <v>0.00107284214906133</v>
      </c>
      <c r="V379" s="0" t="n">
        <v>0.00142067182687188</v>
      </c>
      <c r="W379" s="0" t="n">
        <v>0</v>
      </c>
      <c r="X379" s="0" t="n">
        <v>0.00362978187194551</v>
      </c>
    </row>
    <row r="380">
      <c r="A380" s="5" t="n">
        <v>42921</v>
      </c>
      <c r="B380" s="0" t="n">
        <v>-0.008561288535355869</v>
      </c>
      <c r="C380" s="0" t="n">
        <v>-0.0387674342568566</v>
      </c>
      <c r="D380" s="0" t="n">
        <v>-0.0133903218575346</v>
      </c>
      <c r="E380" s="0" t="n">
        <v>-0.0106762475739521</v>
      </c>
      <c r="F380" s="0" t="n">
        <v>-0.008462714031173039</v>
      </c>
      <c r="G380" s="0" t="n">
        <v>-0.00431408711658809</v>
      </c>
      <c r="H380" s="0" t="n">
        <v>-0.0162019589294817</v>
      </c>
      <c r="I380" s="0" t="n">
        <v>-0.00468022841939941</v>
      </c>
      <c r="J380" s="0" t="n">
        <v>-0.0129992864457015</v>
      </c>
      <c r="K380" s="0" t="n">
        <v>0</v>
      </c>
      <c r="L380" s="0" t="n">
        <v>0.00228576759677245</v>
      </c>
      <c r="M380" s="0" t="n">
        <v>-0.0125636760299432</v>
      </c>
      <c r="N380" s="0" t="n">
        <v>0.0067170634360556</v>
      </c>
      <c r="O380" s="0" t="n">
        <v>-0.0249680602648281</v>
      </c>
      <c r="P380" s="0" t="n">
        <v>-0.00701751003844908</v>
      </c>
      <c r="Q380" s="0" t="n">
        <v>-0.0277025322841435</v>
      </c>
      <c r="R380" s="0" t="n">
        <v>-0.0119974232025379</v>
      </c>
      <c r="S380" s="0" t="n">
        <v>-0.0160497415513449</v>
      </c>
      <c r="T380" s="0" t="n">
        <v>-0.0126154446009598</v>
      </c>
      <c r="U380" s="0" t="n">
        <v>-0.0038944642646399</v>
      </c>
      <c r="V380" s="0" t="n">
        <v>-0.0191710560299576</v>
      </c>
      <c r="W380" s="0" t="n">
        <v>-0.0039518177116955</v>
      </c>
      <c r="X380" s="0" t="n">
        <v>-0.0101967630122983</v>
      </c>
    </row>
    <row r="381">
      <c r="A381" s="5" t="n">
        <v>42922</v>
      </c>
      <c r="B381" s="0" t="n">
        <v>0.00379955796285624</v>
      </c>
      <c r="C381" s="0" t="n">
        <v>-0.00609992795264435</v>
      </c>
      <c r="D381" s="0" t="n">
        <v>0.00842036147267766</v>
      </c>
      <c r="E381" s="0" t="n">
        <v>0.00713014801499367</v>
      </c>
      <c r="F381" s="0" t="n">
        <v>0.0048446134977893</v>
      </c>
      <c r="G381" s="0" t="n">
        <v>0.00129620615635284</v>
      </c>
      <c r="H381" s="0" t="n">
        <v>-0.0045475250001703</v>
      </c>
      <c r="I381" s="0" t="n">
        <v>-0.0221352698334591</v>
      </c>
      <c r="J381" s="0" t="n">
        <v>0.00373134412738829</v>
      </c>
      <c r="K381" s="0" t="n">
        <v>-0.0245410855813422</v>
      </c>
      <c r="L381" s="0" t="n">
        <v>0.00114092750426886</v>
      </c>
      <c r="M381" s="0" t="n">
        <v>0.00390558567696297</v>
      </c>
      <c r="N381" s="0" t="n">
        <v>-0.0126317147808525</v>
      </c>
      <c r="O381" s="0" t="n">
        <v>-0.00539377692106457</v>
      </c>
      <c r="P381" s="0" t="n">
        <v>-0.0153758331697684</v>
      </c>
      <c r="Q381" s="0" t="n">
        <v>0.020389892131315</v>
      </c>
      <c r="R381" s="0" t="n">
        <v>-0.0008897324451329069</v>
      </c>
      <c r="S381" s="0" t="n">
        <v>0.00372667934874959</v>
      </c>
      <c r="T381" s="0" t="n">
        <v>0.00584228563067146</v>
      </c>
      <c r="U381" s="0" t="n">
        <v>-0.000942312716533777</v>
      </c>
      <c r="V381" s="0" t="n">
        <v>0.0113320949321531</v>
      </c>
      <c r="W381" s="0" t="n">
        <v>0.00323450956282744</v>
      </c>
      <c r="X381" s="0" t="n">
        <v>0.00219376567680029</v>
      </c>
    </row>
    <row r="382">
      <c r="A382" s="5" t="n">
        <v>42923</v>
      </c>
      <c r="B382" s="0" t="n">
        <v>0.00313354301699231</v>
      </c>
      <c r="C382" s="0" t="n">
        <v>-0.00421533230020676</v>
      </c>
      <c r="D382" s="0" t="n">
        <v>-0.000121554794450418</v>
      </c>
      <c r="E382" s="0" t="n">
        <v>0.00707966871680021</v>
      </c>
      <c r="F382" s="0" t="n">
        <v>0.00241349541011803</v>
      </c>
      <c r="G382" s="0" t="n">
        <v>-0.0240343328317313</v>
      </c>
      <c r="H382" s="0" t="n">
        <v>0.0153779452871585</v>
      </c>
      <c r="I382" s="0" t="n">
        <v>0.0182182894036802</v>
      </c>
      <c r="J382" s="0" t="n">
        <v>-0.00560220566300073</v>
      </c>
      <c r="K382" s="0" t="n">
        <v>0.0425595743121504</v>
      </c>
      <c r="L382" s="0" t="n">
        <v>0.0358380663951019</v>
      </c>
      <c r="M382" s="0" t="n">
        <v>0.00179752519339171</v>
      </c>
      <c r="N382" s="0" t="n">
        <v>-0.00552374758891005</v>
      </c>
      <c r="O382" s="0" t="n">
        <v>-0.00406443340693218</v>
      </c>
      <c r="P382" s="0" t="n">
        <v>0.0431553696767781</v>
      </c>
      <c r="Q382" s="0" t="n">
        <v>0.0253637407856595</v>
      </c>
      <c r="R382" s="0" t="n">
        <v>-0.0063783862616491</v>
      </c>
      <c r="S382" s="0" t="n">
        <v>-0.000620050967661267</v>
      </c>
      <c r="T382" s="0" t="n">
        <v>0.00258564865421861</v>
      </c>
      <c r="U382" s="0" t="n">
        <v>-0.00757063977313432</v>
      </c>
      <c r="V382" s="0" t="n">
        <v>0.0003576619805008</v>
      </c>
      <c r="W382" s="0" t="n">
        <v>-0.00269472045597218</v>
      </c>
      <c r="X382" s="0" t="n">
        <v>0</v>
      </c>
    </row>
    <row r="383">
      <c r="A383" s="5" t="n">
        <v>42926</v>
      </c>
      <c r="B383" s="0" t="n">
        <v>-0.00150024963451755</v>
      </c>
      <c r="C383" s="0" t="n">
        <v>0.012972341441729</v>
      </c>
      <c r="D383" s="0" t="n">
        <v>0.000850388145665625</v>
      </c>
      <c r="E383" s="0" t="n">
        <v>0.00352112699917661</v>
      </c>
      <c r="F383" s="0" t="n">
        <v>-0.011719633412325</v>
      </c>
      <c r="G383" s="0" t="n">
        <v>0.000884109275812505</v>
      </c>
      <c r="H383" s="0" t="n">
        <v>0.0169118243900858</v>
      </c>
      <c r="I383" s="0" t="n">
        <v>0.00781867796719693</v>
      </c>
      <c r="J383" s="0" t="n">
        <v>0.00931967860352966</v>
      </c>
      <c r="K383" s="0" t="n">
        <v>0.0159436916749367</v>
      </c>
      <c r="L383" s="0" t="n">
        <v>0.0131149294333896</v>
      </c>
      <c r="M383" s="0" t="n">
        <v>-0.00720945404470452</v>
      </c>
      <c r="N383" s="0" t="n">
        <v>-0.009417848573260111</v>
      </c>
      <c r="O383" s="0" t="n">
        <v>-0.00626458145672481</v>
      </c>
      <c r="P383" s="0" t="n">
        <v>0.0124788523431047</v>
      </c>
      <c r="Q383" s="0" t="n">
        <v>0.00890472737361158</v>
      </c>
      <c r="R383" s="0" t="n">
        <v>-0.00641933137641803</v>
      </c>
      <c r="S383" s="0" t="n">
        <v>-0.00372911387538987</v>
      </c>
      <c r="T383" s="0" t="n">
        <v>0.00354440876598394</v>
      </c>
      <c r="U383" s="0" t="n">
        <v>-0.00353456229014614</v>
      </c>
      <c r="V383" s="0" t="n">
        <v>-0.0107856242865231</v>
      </c>
      <c r="W383" s="0" t="n">
        <v>-0.009943121451316371</v>
      </c>
      <c r="X383" s="0" t="n">
        <v>0.00145988770761462</v>
      </c>
    </row>
    <row r="384">
      <c r="A384" s="5" t="n">
        <v>42927</v>
      </c>
      <c r="B384" s="0" t="n">
        <v>0.00332363372754418</v>
      </c>
      <c r="C384" s="0" t="n">
        <v>0.00755285993973542</v>
      </c>
      <c r="D384" s="0" t="n">
        <v>0.0138681937623523</v>
      </c>
      <c r="E384" s="0" t="n">
        <v>0.00787751566740269</v>
      </c>
      <c r="F384" s="0" t="n">
        <v>-0.0102145932505099</v>
      </c>
      <c r="G384" s="0" t="n">
        <v>0.00748407993768562</v>
      </c>
      <c r="H384" s="0" t="n">
        <v>0.0244126978323873</v>
      </c>
      <c r="I384" s="0" t="n">
        <v>0.0116145029170522</v>
      </c>
      <c r="J384" s="0" t="n">
        <v>0.00370370450346002</v>
      </c>
      <c r="K384" s="0" t="n">
        <v>0.0912009795478034</v>
      </c>
      <c r="L384" s="0" t="n">
        <v>0.0107992819514621</v>
      </c>
      <c r="M384" s="0" t="n">
        <v>0.00150634317434983</v>
      </c>
      <c r="N384" s="0" t="n">
        <v>-0.0327898228229912</v>
      </c>
      <c r="O384" s="0" t="n">
        <v>0.00626458145672481</v>
      </c>
      <c r="P384" s="0" t="n">
        <v>0.0310790541772805</v>
      </c>
      <c r="Q384" s="0" t="n">
        <v>0.0245196771461073</v>
      </c>
      <c r="R384" s="0" t="n">
        <v>-0.00245022297957131</v>
      </c>
      <c r="S384" s="0" t="n">
        <v>0.0191187673848745</v>
      </c>
      <c r="T384" s="0" t="n">
        <v>0.00224898712702836</v>
      </c>
      <c r="U384" s="0" t="n">
        <v>0.00624491692075501</v>
      </c>
      <c r="V384" s="0" t="n">
        <v>-0.00525507974441907</v>
      </c>
      <c r="W384" s="0" t="n">
        <v>0.00235908383607874</v>
      </c>
      <c r="X384" s="0" t="n">
        <v>0.00145769008283824</v>
      </c>
    </row>
    <row r="385">
      <c r="A385" s="5" t="n">
        <v>42928</v>
      </c>
      <c r="B385" s="0" t="n">
        <v>-0.000455484763756786</v>
      </c>
      <c r="C385" s="0" t="n">
        <v>0.007869641887824569</v>
      </c>
      <c r="D385" s="0" t="n">
        <v>0.00620819393044325</v>
      </c>
      <c r="E385" s="0" t="n">
        <v>0.0112701765757323</v>
      </c>
      <c r="F385" s="0" t="n">
        <v>0.0110272896490659</v>
      </c>
      <c r="G385" s="0" t="n">
        <v>0.00524939267710733</v>
      </c>
      <c r="H385" s="0" t="n">
        <v>0.00172123073252494</v>
      </c>
      <c r="I385" s="0" t="n">
        <v>-0.00772796947674958</v>
      </c>
      <c r="J385" s="0" t="n">
        <v>0.00369003767872611</v>
      </c>
      <c r="K385" s="0" t="n">
        <v>-0.00589974211925359</v>
      </c>
      <c r="L385" s="0" t="n">
        <v>-0.0261169058802646</v>
      </c>
      <c r="M385" s="0" t="n">
        <v>0.00180443834204746</v>
      </c>
      <c r="N385" s="0" t="n">
        <v>0.0123676789511333</v>
      </c>
      <c r="O385" s="0" t="n">
        <v>-0.0169774816796408</v>
      </c>
      <c r="P385" s="0" t="n">
        <v>0.009788023286082741</v>
      </c>
      <c r="Q385" s="0" t="n">
        <v>-0.00346620453907897</v>
      </c>
      <c r="R385" s="0" t="n">
        <v>0.00605010837518271</v>
      </c>
      <c r="S385" s="0" t="n">
        <v>0.0054826969779862</v>
      </c>
      <c r="T385" s="0" t="n">
        <v>0.0035239700031866</v>
      </c>
      <c r="U385" s="0" t="n">
        <v>-0.00556418650836221</v>
      </c>
      <c r="V385" s="0" t="n">
        <v>-0.00674513084489536</v>
      </c>
      <c r="W385" s="0" t="n">
        <v>0.00776387971765046</v>
      </c>
      <c r="X385" s="0" t="n">
        <v>0.010145039636292</v>
      </c>
    </row>
    <row r="386">
      <c r="A386" s="5" t="n">
        <v>42929</v>
      </c>
      <c r="B386" s="0" t="n">
        <v>0.00396272055112412</v>
      </c>
      <c r="C386" s="0" t="n">
        <v>-0.000373326206381197</v>
      </c>
      <c r="D386" s="0" t="n">
        <v>0.00391996511487313</v>
      </c>
      <c r="E386" s="0" t="n">
        <v>0.00687287253050428</v>
      </c>
      <c r="F386" s="0" t="n">
        <v>-0.0167934217098877</v>
      </c>
      <c r="G386" s="0" t="n">
        <v>0.00391901881908873</v>
      </c>
      <c r="H386" s="0" t="n">
        <v>0.00941383864947775</v>
      </c>
      <c r="I386" s="0" t="n">
        <v>0.0100348283530129</v>
      </c>
      <c r="J386" s="0" t="n">
        <v>0.00916600210815721</v>
      </c>
      <c r="K386" s="0" t="n">
        <v>0.00589974211925359</v>
      </c>
      <c r="L386" s="0" t="n">
        <v>0.0196513210440127</v>
      </c>
      <c r="M386" s="0" t="n">
        <v>0.00449713028758136</v>
      </c>
      <c r="N386" s="0" t="n">
        <v>0.009176340657869981</v>
      </c>
      <c r="O386" s="0" t="n">
        <v>0.00248242175946566</v>
      </c>
      <c r="P386" s="0" t="n">
        <v>0.0224728604392363</v>
      </c>
      <c r="Q386" s="0" t="n">
        <v>0.015504130497411</v>
      </c>
      <c r="R386" s="0" t="n">
        <v>0.0001283559363765</v>
      </c>
      <c r="S386" s="0" t="n">
        <v>0.00726400547800754</v>
      </c>
      <c r="T386" s="0" t="n">
        <v>0.00478544914685352</v>
      </c>
      <c r="U386" s="0" t="n">
        <v>0.00610539766498874</v>
      </c>
      <c r="V386" s="0" t="n">
        <v>0.00874169395325985</v>
      </c>
      <c r="W386" s="0" t="n">
        <v>-0.0110317927698204</v>
      </c>
      <c r="X386" s="0" t="n">
        <v>-0.00578453703684012</v>
      </c>
    </row>
    <row r="387">
      <c r="A387" s="5" t="n">
        <v>42930</v>
      </c>
      <c r="B387" s="0" t="n">
        <v>-0.00800662364359361</v>
      </c>
      <c r="C387" s="0" t="n">
        <v>0.00149254327983827</v>
      </c>
      <c r="D387" s="0" t="n">
        <v>-0.008452923639057801</v>
      </c>
      <c r="E387" s="0" t="n">
        <v>0.00512379137590857</v>
      </c>
      <c r="F387" s="0" t="n">
        <v>-0.00787889742444214</v>
      </c>
      <c r="G387" s="0" t="n">
        <v>-0.00610286926382475</v>
      </c>
      <c r="H387" s="0" t="n">
        <v>-0.00855436372213258</v>
      </c>
      <c r="I387" s="0" t="n">
        <v>0.0122138802898983</v>
      </c>
      <c r="J387" s="0" t="n">
        <v>-0.00365630769704883</v>
      </c>
      <c r="K387" s="0" t="n">
        <v>0.0408647483047546</v>
      </c>
      <c r="L387" s="0" t="n">
        <v>0.00539086914400099</v>
      </c>
      <c r="M387" s="0" t="n">
        <v>-0.00539894245894378</v>
      </c>
      <c r="N387" s="0" t="n">
        <v>-0.00479619898756267</v>
      </c>
      <c r="O387" s="0" t="n">
        <v>0.00247627459837129</v>
      </c>
      <c r="P387" s="0" t="n">
        <v>-0.009569467512348769</v>
      </c>
      <c r="Q387" s="0" t="n">
        <v>0.00511513643163641</v>
      </c>
      <c r="R387" s="0" t="n">
        <v>0.00473665020045821</v>
      </c>
      <c r="S387" s="0" t="n">
        <v>-0.0194890269095462</v>
      </c>
      <c r="T387" s="0" t="n">
        <v>0.00254291057591515</v>
      </c>
      <c r="U387" s="0" t="n">
        <v>-0.0076035335363338</v>
      </c>
      <c r="V387" s="0" t="n">
        <v>-0.00654906110723008</v>
      </c>
      <c r="W387" s="0" t="n">
        <v>-0.00510488970130307</v>
      </c>
      <c r="X387" s="0" t="n">
        <v>0.00144930876725668</v>
      </c>
    </row>
    <row r="388">
      <c r="A388" s="5" t="n">
        <v>42933</v>
      </c>
      <c r="B388" s="0" t="n">
        <v>0.00644935958059456</v>
      </c>
      <c r="C388" s="0" t="n">
        <v>0.00260662078503859</v>
      </c>
      <c r="D388" s="0" t="n">
        <v>0.000717073771693499</v>
      </c>
      <c r="E388" s="0" t="n">
        <v>0.000851445686115504</v>
      </c>
      <c r="F388" s="0" t="n">
        <v>-0.0050083927330542</v>
      </c>
      <c r="G388" s="0" t="n">
        <v>-0.0140910126150575</v>
      </c>
      <c r="H388" s="0" t="n">
        <v>0.00855436372213258</v>
      </c>
      <c r="I388" s="0" t="n">
        <v>0.0173001336861018</v>
      </c>
      <c r="J388" s="0" t="n">
        <v>-0.009199732089834489</v>
      </c>
      <c r="K388" s="0" t="n">
        <v>0.00102621530766144</v>
      </c>
      <c r="L388" s="0" t="n">
        <v>0.0128206760190816</v>
      </c>
      <c r="M388" s="0" t="n">
        <v>0.00330282868459264</v>
      </c>
      <c r="N388" s="0" t="n">
        <v>-0.0243320673964051</v>
      </c>
      <c r="O388" s="0" t="n">
        <v>-0.0110528261235893</v>
      </c>
      <c r="P388" s="0" t="n">
        <v>0.0148465447967764</v>
      </c>
      <c r="Q388" s="0" t="n">
        <v>0.00169919362223835</v>
      </c>
      <c r="R388" s="0" t="n">
        <v>-0.00383881528236074</v>
      </c>
      <c r="S388" s="0" t="n">
        <v>-0.00307983892762475</v>
      </c>
      <c r="T388" s="0" t="n">
        <v>0.00031741720138001</v>
      </c>
      <c r="U388" s="0" t="n">
        <v>-0.000545343084805693</v>
      </c>
      <c r="V388" s="0" t="n">
        <v>-0.000912977985016105</v>
      </c>
      <c r="W388" s="0" t="n">
        <v>0.00164368869016939</v>
      </c>
      <c r="X388" s="0" t="n">
        <v>-0.0072675014495469</v>
      </c>
    </row>
    <row r="389">
      <c r="A389" s="5" t="n">
        <v>42934</v>
      </c>
      <c r="B389" s="0" t="n">
        <v>-0.0429210657584242</v>
      </c>
      <c r="C389" s="0" t="n">
        <v>0.00185768931027441</v>
      </c>
      <c r="D389" s="0" t="n">
        <v>0.00631225114687961</v>
      </c>
      <c r="E389" s="0" t="n">
        <v>0.00678543095093475</v>
      </c>
      <c r="F389" s="0" t="n">
        <v>0.00667224537323596</v>
      </c>
      <c r="G389" s="0" t="n">
        <v>0.0171471028664011</v>
      </c>
      <c r="H389" s="0" t="n">
        <v>-0.00855436372213258</v>
      </c>
      <c r="I389" s="0" t="n">
        <v>0.008908736531719971</v>
      </c>
      <c r="J389" s="0" t="n">
        <v>0.00553000673271375</v>
      </c>
      <c r="K389" s="0" t="n">
        <v>0.00918842922288321</v>
      </c>
      <c r="L389" s="0" t="n">
        <v>0</v>
      </c>
      <c r="M389" s="0" t="n">
        <v>0.00776350042377993</v>
      </c>
      <c r="N389" s="0" t="n">
        <v>0.0155524298798637</v>
      </c>
      <c r="O389" s="0" t="n">
        <v>0.00388240599468936</v>
      </c>
      <c r="P389" s="0" t="n">
        <v>0.0452751798470267</v>
      </c>
      <c r="Q389" s="0" t="n">
        <v>0.008453168012112711</v>
      </c>
      <c r="R389" s="0" t="n">
        <v>-0.0078512612939221</v>
      </c>
      <c r="S389" s="0" t="n">
        <v>0.0165192174359902</v>
      </c>
      <c r="T389" s="0" t="n">
        <v>0.0123010347995329</v>
      </c>
      <c r="U389" s="0" t="n">
        <v>0.0029956614639639</v>
      </c>
      <c r="V389" s="0" t="n">
        <v>0.0060103634577322</v>
      </c>
      <c r="W389" s="0" t="n">
        <v>0.00255147563921376</v>
      </c>
      <c r="X389" s="0" t="n">
        <v>-0.000729677444816001</v>
      </c>
    </row>
    <row r="390">
      <c r="A390" s="5" t="n">
        <v>42935</v>
      </c>
      <c r="B390" s="0" t="n">
        <v>0.000880821776771512</v>
      </c>
      <c r="C390" s="0" t="n">
        <v>-0.009323224504701241</v>
      </c>
      <c r="D390" s="0" t="n">
        <v>0.00615455407891829</v>
      </c>
      <c r="E390" s="0" t="n">
        <v>-0.0110498460395174</v>
      </c>
      <c r="F390" s="0" t="n">
        <v>-0.00499996591162599</v>
      </c>
      <c r="G390" s="0" t="n">
        <v>0.0138530219488131</v>
      </c>
      <c r="H390" s="0" t="n">
        <v>0.00428632897551262</v>
      </c>
      <c r="I390" s="0" t="n">
        <v>0.00662986987230684</v>
      </c>
      <c r="J390" s="0" t="n">
        <v>0.00549950669138299</v>
      </c>
      <c r="K390" s="0" t="n">
        <v>-0.0220918832827401</v>
      </c>
      <c r="L390" s="0" t="n">
        <v>-0.0312693895459372</v>
      </c>
      <c r="M390" s="0" t="n">
        <v>-0.00238231251859222</v>
      </c>
      <c r="N390" s="0" t="n">
        <v>0.0235304543831751</v>
      </c>
      <c r="O390" s="0" t="n">
        <v>0.0107364935387095</v>
      </c>
      <c r="P390" s="0" t="n">
        <v>-0.0275386610985628</v>
      </c>
      <c r="Q390" s="0" t="n">
        <v>0</v>
      </c>
      <c r="R390" s="0" t="n">
        <v>-0.00297632989690121</v>
      </c>
      <c r="S390" s="0" t="n">
        <v>0</v>
      </c>
      <c r="T390" s="0" t="n">
        <v>-0.00125467419329838</v>
      </c>
      <c r="U390" s="0" t="n">
        <v>0.000543608635089398</v>
      </c>
      <c r="V390" s="0" t="n">
        <v>0.00669623237809347</v>
      </c>
      <c r="W390" s="0" t="n">
        <v>-0.00109265279056014</v>
      </c>
      <c r="X390" s="0" t="n">
        <v>-0.0102715054543929</v>
      </c>
    </row>
    <row r="391">
      <c r="A391" s="5" t="n">
        <v>42936</v>
      </c>
      <c r="B391" s="0" t="n">
        <v>-0.00393568954952616</v>
      </c>
      <c r="C391" s="0" t="n">
        <v>-0.0296599686703071</v>
      </c>
      <c r="D391" s="0" t="n">
        <v>-0.00106246791111708</v>
      </c>
      <c r="E391" s="0" t="n">
        <v>-0.0146365143800983</v>
      </c>
      <c r="F391" s="0" t="n">
        <v>-0.00586517381684936</v>
      </c>
      <c r="G391" s="0" t="n">
        <v>0</v>
      </c>
      <c r="H391" s="0" t="n">
        <v>-0.00428632897551262</v>
      </c>
      <c r="I391" s="0" t="n">
        <v>0.00731534944153056</v>
      </c>
      <c r="J391" s="0" t="n">
        <v>0</v>
      </c>
      <c r="K391" s="0" t="n">
        <v>0.0726226320584353</v>
      </c>
      <c r="L391" s="0" t="n">
        <v>-0.0121213223170957</v>
      </c>
      <c r="M391" s="0" t="n">
        <v>-0.00179055174311937</v>
      </c>
      <c r="N391" s="0" t="n">
        <v>0.00643923776303179</v>
      </c>
      <c r="O391" s="0" t="n">
        <v>-0.000273918566621844</v>
      </c>
      <c r="P391" s="0" t="n">
        <v>0.0164106090427784</v>
      </c>
      <c r="Q391" s="0" t="n">
        <v>0</v>
      </c>
      <c r="R391" s="0" t="n">
        <v>-0.00168629498100703</v>
      </c>
      <c r="S391" s="0" t="n">
        <v>-0.0140545879286571</v>
      </c>
      <c r="T391" s="0" t="n">
        <v>-0.000627957870686035</v>
      </c>
      <c r="U391" s="0" t="n">
        <v>-0.00231274404558945</v>
      </c>
      <c r="V391" s="0" t="n">
        <v>0.00378077502987483</v>
      </c>
      <c r="W391" s="0" t="n">
        <v>-0.0130217870125703</v>
      </c>
      <c r="X391" s="0" t="n">
        <v>-0.0444852945408924</v>
      </c>
    </row>
    <row r="392">
      <c r="A392" s="5" t="n">
        <v>42937</v>
      </c>
      <c r="B392" s="0" t="n">
        <v>-0.00743850504357457</v>
      </c>
      <c r="C392" s="0" t="n">
        <v>-0.0186994090285206</v>
      </c>
      <c r="D392" s="0" t="n">
        <v>0.000944441639735949</v>
      </c>
      <c r="E392" s="0" t="n">
        <v>-0.0210349363387449</v>
      </c>
      <c r="F392" s="0" t="n">
        <v>0.00461122646732414</v>
      </c>
      <c r="G392" s="0" t="n">
        <v>-0.00129062985405958</v>
      </c>
      <c r="H392" s="0" t="n">
        <v>0.00599572942914772</v>
      </c>
      <c r="I392" s="0" t="n">
        <v>-0.0213636085018955</v>
      </c>
      <c r="J392" s="0" t="n">
        <v>-0.0165901826324619</v>
      </c>
      <c r="K392" s="0" t="n">
        <v>0.0517763323961458</v>
      </c>
      <c r="L392" s="0" t="n">
        <v>0.0186715058830695</v>
      </c>
      <c r="M392" s="0" t="n">
        <v>-0.00479042380881944</v>
      </c>
      <c r="N392" s="0" t="n">
        <v>-0.0264485651470307</v>
      </c>
      <c r="O392" s="0" t="n">
        <v>-0.00769865742269626</v>
      </c>
      <c r="P392" s="0" t="n">
        <v>0.0121336056034304</v>
      </c>
      <c r="Q392" s="0" t="n">
        <v>-0.00337268122422251</v>
      </c>
      <c r="R392" s="0" t="n">
        <v>0.000908320260615269</v>
      </c>
      <c r="S392" s="0" t="n">
        <v>-0.00123155545403275</v>
      </c>
      <c r="T392" s="0" t="n">
        <v>0.000627957870686035</v>
      </c>
      <c r="U392" s="0" t="n">
        <v>-0.0106806272386137</v>
      </c>
      <c r="V392" s="0" t="n">
        <v>-0.000898931328089602</v>
      </c>
      <c r="W392" s="0" t="n">
        <v>0.00184438064244352</v>
      </c>
      <c r="X392" s="0" t="n">
        <v>0.0168199159994366</v>
      </c>
    </row>
    <row r="393">
      <c r="A393" s="5" t="n">
        <v>42940</v>
      </c>
      <c r="B393" s="0" t="n">
        <v>0.00136899838487547</v>
      </c>
      <c r="C393" s="0" t="n">
        <v>0.000393141039320976</v>
      </c>
      <c r="D393" s="0" t="n">
        <v>-0.0305540501243513</v>
      </c>
      <c r="E393" s="0" t="n">
        <v>-0.00177300611316333</v>
      </c>
      <c r="F393" s="0" t="n">
        <v>0.0235596638561559</v>
      </c>
      <c r="G393" s="0" t="n">
        <v>0.0191862958266892</v>
      </c>
      <c r="H393" s="0" t="n">
        <v>-0.00256519769937657</v>
      </c>
      <c r="I393" s="0" t="n">
        <v>-0.0007448960299560879</v>
      </c>
      <c r="J393" s="0" t="n">
        <v>0.00185696470490515</v>
      </c>
      <c r="K393" s="0" t="n">
        <v>-0.009216645991064309</v>
      </c>
      <c r="L393" s="0" t="n">
        <v>0.0405172828686128</v>
      </c>
      <c r="M393" s="0" t="n">
        <v>-0.00662457185574938</v>
      </c>
      <c r="N393" s="0" t="n">
        <v>0.008748912262031</v>
      </c>
      <c r="O393" s="0" t="n">
        <v>-0.000276006114324101</v>
      </c>
      <c r="P393" s="0" t="n">
        <v>0.0394140245671876</v>
      </c>
      <c r="Q393" s="0" t="n">
        <v>0</v>
      </c>
      <c r="R393" s="0" t="n">
        <v>0.0232047481632511</v>
      </c>
      <c r="S393" s="0" t="n">
        <v>-0.0142726310819325</v>
      </c>
      <c r="T393" s="0" t="n">
        <v>0.008127532185459691</v>
      </c>
      <c r="U393" s="0" t="n">
        <v>-0.00552184635318742</v>
      </c>
      <c r="V393" s="0" t="n">
        <v>0.00627527458135634</v>
      </c>
      <c r="W393" s="0" t="n">
        <v>0.0144519281459354</v>
      </c>
      <c r="X393" s="0" t="n">
        <v>0.0157957435729976</v>
      </c>
    </row>
    <row r="394">
      <c r="A394" s="5" t="n">
        <v>42941</v>
      </c>
      <c r="B394" s="0" t="n">
        <v>-0.00569373393693961</v>
      </c>
      <c r="C394" s="0" t="n">
        <v>0.00587895347448919</v>
      </c>
      <c r="D394" s="0" t="n">
        <v>-0.00426759296863998</v>
      </c>
      <c r="E394" s="0" t="n">
        <v>-0.0188093346353634</v>
      </c>
      <c r="F394" s="0" t="n">
        <v>-0.0110907058107443</v>
      </c>
      <c r="G394" s="0" t="n">
        <v>0.00168772227827318</v>
      </c>
      <c r="H394" s="0" t="n">
        <v>0.0034188034047502</v>
      </c>
      <c r="I394" s="0" t="n">
        <v>0.0271975518103042</v>
      </c>
      <c r="J394" s="0" t="n">
        <v>0</v>
      </c>
      <c r="K394" s="0" t="n">
        <v>0</v>
      </c>
      <c r="L394" s="0" t="n">
        <v>-0.0189878437933015</v>
      </c>
      <c r="M394" s="0" t="n">
        <v>-0.00636459464034988</v>
      </c>
      <c r="N394" s="0" t="n">
        <v>-0.0043648465102728</v>
      </c>
      <c r="O394" s="0" t="n">
        <v>0.0487638036840145</v>
      </c>
      <c r="P394" s="0" t="n">
        <v>-0.032403415226641</v>
      </c>
      <c r="Q394" s="0" t="n">
        <v>0.00337268122422251</v>
      </c>
      <c r="R394" s="0" t="n">
        <v>-0.0078881163277531</v>
      </c>
      <c r="S394" s="0" t="n">
        <v>0.0031200798010742</v>
      </c>
      <c r="T394" s="0" t="n">
        <v>-0.0144248061913749</v>
      </c>
      <c r="U394" s="0" t="n">
        <v>-0.00708476259951496</v>
      </c>
      <c r="V394" s="0" t="n">
        <v>0.0005360275160075641</v>
      </c>
      <c r="W394" s="0" t="n">
        <v>-0.00272804614427091</v>
      </c>
      <c r="X394" s="0" t="n">
        <v>-0.0165541262601545</v>
      </c>
    </row>
    <row r="395">
      <c r="A395" s="5" t="n">
        <v>42942</v>
      </c>
      <c r="B395" s="0" t="n">
        <v>-0.00199699324852176</v>
      </c>
      <c r="C395" s="0" t="n">
        <v>0.00778512211168935</v>
      </c>
      <c r="D395" s="0" t="n">
        <v>0.0143154252934643</v>
      </c>
      <c r="E395" s="0" t="n">
        <v>0.0107914609893189</v>
      </c>
      <c r="F395" s="0" t="n">
        <v>-0.00413901562551854</v>
      </c>
      <c r="G395" s="0" t="n">
        <v>0.00964981053086466</v>
      </c>
      <c r="H395" s="0" t="n">
        <v>-0.00256300615900872</v>
      </c>
      <c r="I395" s="0" t="n">
        <v>-0.0737175403733272</v>
      </c>
      <c r="J395" s="0" t="n">
        <v>0.07847162712581671</v>
      </c>
      <c r="K395" s="0" t="n">
        <v>0</v>
      </c>
      <c r="L395" s="0" t="n">
        <v>0.00212760759901975</v>
      </c>
      <c r="M395" s="0" t="n">
        <v>0.00333891982287459</v>
      </c>
      <c r="N395" s="0" t="n">
        <v>0.0318580431293278</v>
      </c>
      <c r="O395" s="0" t="n">
        <v>0.0356442974933637</v>
      </c>
      <c r="P395" s="0" t="n">
        <v>0.0265894047970545</v>
      </c>
      <c r="Q395" s="0" t="n">
        <v>0.0150379025255538</v>
      </c>
      <c r="R395" s="0" t="n">
        <v>0.00801476533913714</v>
      </c>
      <c r="S395" s="0" t="n">
        <v>-0.0112782747136854</v>
      </c>
      <c r="T395" s="0" t="n">
        <v>-0.00284675673002476</v>
      </c>
      <c r="U395" s="0" t="n">
        <v>0.0306152772023233</v>
      </c>
      <c r="V395" s="0" t="n">
        <v>-0.0315758013327114</v>
      </c>
      <c r="W395" s="0" t="n">
        <v>-0.00364898717036066</v>
      </c>
      <c r="X395" s="0" t="n">
        <v>-0.00456277743550881</v>
      </c>
    </row>
    <row r="396">
      <c r="A396" s="5" t="n">
        <v>42943</v>
      </c>
      <c r="B396" s="0" t="n">
        <v>-0.00539131825949734</v>
      </c>
      <c r="C396" s="0" t="n">
        <v>-0.0101325887603702</v>
      </c>
      <c r="D396" s="0" t="n">
        <v>0.000963181309789895</v>
      </c>
      <c r="E396" s="0" t="n">
        <v>-0.000894875112170012</v>
      </c>
      <c r="F396" s="0" t="n">
        <v>-0.0033236391854774</v>
      </c>
      <c r="G396" s="0" t="n">
        <v>0.0136846387591562</v>
      </c>
      <c r="H396" s="0" t="n">
        <v>0.00766939526011078</v>
      </c>
      <c r="I396" s="0" t="n">
        <v>0.0185619997187953</v>
      </c>
      <c r="J396" s="0" t="n">
        <v>-0.00343642626075713</v>
      </c>
      <c r="K396" s="0" t="n">
        <v>-0.000926398131960382</v>
      </c>
      <c r="L396" s="0" t="n">
        <v>0.0272553799731749</v>
      </c>
      <c r="M396" s="0" t="n">
        <v>0.00453520119492001</v>
      </c>
      <c r="N396" s="0" t="n">
        <v>-0.0136520758372169</v>
      </c>
      <c r="O396" s="0" t="n">
        <v>-0.0104579412054595</v>
      </c>
      <c r="P396" s="0" t="n">
        <v>-0.0127141190069268</v>
      </c>
      <c r="Q396" s="0" t="n">
        <v>0.00331125803599197</v>
      </c>
      <c r="R396" s="0" t="n">
        <v>0.0104620837119417</v>
      </c>
      <c r="S396" s="0" t="n">
        <v>-0.0178008344699356</v>
      </c>
      <c r="T396" s="0" t="n">
        <v>-0.00158501339062411</v>
      </c>
      <c r="U396" s="0" t="n">
        <v>-0.0997276618855016</v>
      </c>
      <c r="V396" s="0" t="n">
        <v>0.0188115995501645</v>
      </c>
      <c r="W396" s="0" t="n">
        <v>-0.0261101744838101</v>
      </c>
      <c r="X396" s="0" t="n">
        <v>0.0038037467548877</v>
      </c>
    </row>
    <row r="397">
      <c r="A397" s="5" t="n">
        <v>42944</v>
      </c>
      <c r="B397" s="0" t="n">
        <v>0.00263015720593795</v>
      </c>
      <c r="C397" s="0" t="n">
        <v>0.00312868091165618</v>
      </c>
      <c r="D397" s="0" t="n">
        <v>-0.00530883011257365</v>
      </c>
      <c r="E397" s="0" t="n">
        <v>0.00446630398254477</v>
      </c>
      <c r="F397" s="0" t="n">
        <v>0.00373832833018328</v>
      </c>
      <c r="G397" s="0" t="n">
        <v>0.00983613526541216</v>
      </c>
      <c r="H397" s="0" t="n">
        <v>0.0109751945398191</v>
      </c>
      <c r="I397" s="0" t="n">
        <v>0.0061115486462917</v>
      </c>
      <c r="J397" s="0" t="n">
        <v>0.008569065357745259</v>
      </c>
      <c r="K397" s="0" t="n">
        <v>0.0101430441230246</v>
      </c>
      <c r="L397" s="0" t="n">
        <v>0.0365522579958725</v>
      </c>
      <c r="M397" s="0" t="n">
        <v>0.000301563004128979</v>
      </c>
      <c r="N397" s="0" t="n">
        <v>-0.000429655372280457</v>
      </c>
      <c r="O397" s="0" t="n">
        <v>0</v>
      </c>
      <c r="P397" s="0" t="n">
        <v>-0.009891220748848619</v>
      </c>
      <c r="Q397" s="0" t="n">
        <v>0.00494637986055601</v>
      </c>
      <c r="R397" s="0" t="n">
        <v>0.00225451379101215</v>
      </c>
      <c r="S397" s="0" t="n">
        <v>-0.00192614713933503</v>
      </c>
      <c r="T397" s="0" t="n">
        <v>-0.00222327210738226</v>
      </c>
      <c r="U397" s="0" t="n">
        <v>-0.0298710885735804</v>
      </c>
      <c r="V397" s="0" t="n">
        <v>0.0290650938216492</v>
      </c>
      <c r="W397" s="0" t="n">
        <v>0.011935975394242</v>
      </c>
      <c r="X397" s="0" t="n">
        <v>0.00605603088403139</v>
      </c>
    </row>
    <row r="398">
      <c r="A398" s="5" t="n">
        <v>42947</v>
      </c>
      <c r="B398" s="0" t="n">
        <v>0.00434531759465706</v>
      </c>
      <c r="C398" s="0" t="n">
        <v>-0.00666016773746447</v>
      </c>
      <c r="D398" s="0" t="n">
        <v>-0.00351452708926558</v>
      </c>
      <c r="E398" s="0" t="n">
        <v>-0.0243584850501084</v>
      </c>
      <c r="F398" s="0" t="n">
        <v>0.0135888404718764</v>
      </c>
      <c r="G398" s="0" t="n">
        <v>0.00325732870821449</v>
      </c>
      <c r="H398" s="0" t="n">
        <v>0.0305935104001635</v>
      </c>
      <c r="I398" s="0" t="n">
        <v>-0.00458019274389531</v>
      </c>
      <c r="J398" s="0" t="n">
        <v>-0.0120173413764688</v>
      </c>
      <c r="K398" s="0" t="n">
        <v>-0.0185190293691656</v>
      </c>
      <c r="L398" s="0" t="n">
        <v>-0.0140563950020808</v>
      </c>
      <c r="M398" s="0" t="n">
        <v>-0.00241540015772212</v>
      </c>
      <c r="N398" s="0" t="n">
        <v>0.00386018710205116</v>
      </c>
      <c r="O398" s="0" t="n">
        <v>-0.00308163906530856</v>
      </c>
      <c r="P398" s="0" t="n">
        <v>-0.00398406504127901</v>
      </c>
      <c r="Q398" s="0" t="n">
        <v>0.00492211160555911</v>
      </c>
      <c r="R398" s="0" t="n">
        <v>-0.00288170795035913</v>
      </c>
      <c r="S398" s="0" t="n">
        <v>0.013405884284547</v>
      </c>
      <c r="T398" s="0" t="n">
        <v>0.00633912913217393</v>
      </c>
      <c r="U398" s="0" t="n">
        <v>0.00812449896004707</v>
      </c>
      <c r="V398" s="0" t="n">
        <v>-0.0139813073084891</v>
      </c>
      <c r="W398" s="0" t="n">
        <v>0.00259217334098815</v>
      </c>
      <c r="X398" s="0" t="n">
        <v>0.00526908976891693</v>
      </c>
    </row>
    <row r="399">
      <c r="A399" s="5" t="n">
        <v>42948</v>
      </c>
      <c r="B399" s="0" t="n">
        <v>-0.00586718579388545</v>
      </c>
      <c r="C399" s="0" t="n">
        <v>0.00313973198176897</v>
      </c>
      <c r="D399" s="0" t="n">
        <v>-0.00669961752619308</v>
      </c>
      <c r="E399" s="0" t="n">
        <v>0.00455583395457015</v>
      </c>
      <c r="F399" s="0" t="n">
        <v>0.00570961530843527</v>
      </c>
      <c r="G399" s="0" t="n">
        <v>0.00121871961360398</v>
      </c>
      <c r="H399" s="0" t="n">
        <v>0.0145515771774471</v>
      </c>
      <c r="I399" s="0" t="n">
        <v>-0.00845181041922948</v>
      </c>
      <c r="J399" s="0" t="n">
        <v>-0.0191810824854941</v>
      </c>
      <c r="K399" s="0" t="n">
        <v>-0.0478560888977729</v>
      </c>
      <c r="L399" s="0" t="n">
        <v>0.00101053825949692</v>
      </c>
      <c r="M399" s="0" t="n">
        <v>-0.00484860532028497</v>
      </c>
      <c r="N399" s="0" t="n">
        <v>0.0161361954522432</v>
      </c>
      <c r="O399" s="0" t="n">
        <v>-0.0158136956653036</v>
      </c>
      <c r="P399" s="0" t="n">
        <v>-0.0211808249900609</v>
      </c>
      <c r="Q399" s="0" t="n">
        <v>0.0130083009052321</v>
      </c>
      <c r="R399" s="0" t="n">
        <v>0.000627194159346977</v>
      </c>
      <c r="S399" s="0" t="n">
        <v>-0.00572339561744339</v>
      </c>
      <c r="T399" s="0" t="n">
        <v>-0.00411585702479166</v>
      </c>
      <c r="U399" s="0" t="n">
        <v>0.000763114124683994</v>
      </c>
      <c r="V399" s="0" t="n">
        <v>-0.0158077850158679</v>
      </c>
      <c r="W399" s="0" t="n">
        <v>-0.00854235270524528</v>
      </c>
      <c r="X399" s="0" t="n">
        <v>0</v>
      </c>
    </row>
    <row r="400">
      <c r="A400" s="5" t="n">
        <v>42949</v>
      </c>
      <c r="B400" s="0" t="n">
        <v>0.00338647473988729</v>
      </c>
      <c r="C400" s="0" t="n">
        <v>0.00936040123975612</v>
      </c>
      <c r="D400" s="0" t="n">
        <v>0.00134351910714958</v>
      </c>
      <c r="E400" s="0" t="n">
        <v>-0.00638394268899222</v>
      </c>
      <c r="F400" s="0" t="n">
        <v>-0.00898696035911728</v>
      </c>
      <c r="G400" s="0" t="n">
        <v>-0.0234144897091961</v>
      </c>
      <c r="H400" s="0" t="n">
        <v>-0.00321543389595024</v>
      </c>
      <c r="I400" s="0" t="n">
        <v>-0.0116415452019622</v>
      </c>
      <c r="J400" s="0" t="n">
        <v>-0.00706716067378554</v>
      </c>
      <c r="K400" s="0" t="n">
        <v>-0.0502617865863102</v>
      </c>
      <c r="L400" s="0" t="n">
        <v>-0.00811362731883713</v>
      </c>
      <c r="M400" s="0" t="n">
        <v>0.015373389373285</v>
      </c>
      <c r="N400" s="0" t="n">
        <v>-0.0563162750864782</v>
      </c>
      <c r="O400" s="0" t="n">
        <v>0.000261223296922352</v>
      </c>
      <c r="P400" s="0" t="n">
        <v>-0.0448225411329965</v>
      </c>
      <c r="Q400" s="0" t="n">
        <v>-0.00648299861519485</v>
      </c>
      <c r="R400" s="0" t="n">
        <v>-0.0145250616430105</v>
      </c>
      <c r="S400" s="0" t="n">
        <v>-0.0115460104598019</v>
      </c>
      <c r="T400" s="0" t="n">
        <v>0.00126819954305812</v>
      </c>
      <c r="U400" s="0" t="n">
        <v>-0.000152599526236585</v>
      </c>
      <c r="V400" s="0" t="n">
        <v>0.00487674512760794</v>
      </c>
      <c r="W400" s="0" t="n">
        <v>-0.00411133834706278</v>
      </c>
      <c r="X400" s="0" t="n">
        <v>-0.0120847278988014</v>
      </c>
    </row>
    <row r="401">
      <c r="A401" s="5" t="n">
        <v>42950</v>
      </c>
      <c r="B401" s="0" t="n">
        <v>0.00151672704756844</v>
      </c>
      <c r="C401" s="0" t="n">
        <v>0.000776137734394222</v>
      </c>
      <c r="D401" s="0" t="n">
        <v>0.00462734944487941</v>
      </c>
      <c r="E401" s="0" t="n">
        <v>0.00182810873442207</v>
      </c>
      <c r="F401" s="0" t="n">
        <v>0.0243221747185962</v>
      </c>
      <c r="G401" s="0" t="n">
        <v>0.002905156507647</v>
      </c>
      <c r="H401" s="0" t="n">
        <v>-0.00484262000285351</v>
      </c>
      <c r="I401" s="0" t="n">
        <v>-0.0197089542165804</v>
      </c>
      <c r="J401" s="0" t="n">
        <v>-0.0142859438661591</v>
      </c>
      <c r="K401" s="0" t="n">
        <v>-0.0208341289462697</v>
      </c>
      <c r="L401" s="0" t="n">
        <v>0.0151595194675664</v>
      </c>
      <c r="M401" s="0" t="n">
        <v>0.0062621074003144</v>
      </c>
      <c r="N401" s="0" t="n">
        <v>0.00133595118506057</v>
      </c>
      <c r="O401" s="0" t="n">
        <v>0.00391087782187815</v>
      </c>
      <c r="P401" s="0" t="n">
        <v>0.0366340739326291</v>
      </c>
      <c r="Q401" s="0" t="n">
        <v>-0.00489001950058765</v>
      </c>
      <c r="R401" s="0" t="n">
        <v>-0.00804752704437294</v>
      </c>
      <c r="S401" s="0" t="n">
        <v>0.0032206269659496</v>
      </c>
      <c r="T401" s="0" t="n">
        <v>0.00757578673862857</v>
      </c>
      <c r="U401" s="0" t="n">
        <v>-0.000305268930091529</v>
      </c>
      <c r="V401" s="0" t="n">
        <v>0.00807542764163926</v>
      </c>
      <c r="W401" s="0" t="n">
        <v>-0.0105422919988007</v>
      </c>
      <c r="X401" s="0" t="n">
        <v>0.0105821352663286</v>
      </c>
    </row>
    <row r="402">
      <c r="A402" s="5" t="n">
        <v>42951</v>
      </c>
      <c r="B402" s="0" t="n">
        <v>-0.0117106449542383</v>
      </c>
      <c r="C402" s="0" t="n">
        <v>-0.00583549877483635</v>
      </c>
      <c r="D402" s="0" t="n">
        <v>-0.0029200394002995</v>
      </c>
      <c r="E402" s="0" t="n">
        <v>-0.00274346154041671</v>
      </c>
      <c r="F402" s="0" t="n">
        <v>-0.000400569971417574</v>
      </c>
      <c r="G402" s="0" t="n">
        <v>0.00989705721699518</v>
      </c>
      <c r="H402" s="0" t="n">
        <v>0.014458069884836</v>
      </c>
      <c r="I402" s="0" t="n">
        <v>0</v>
      </c>
      <c r="J402" s="0" t="n">
        <v>0.00716848274016346</v>
      </c>
      <c r="K402" s="0" t="n">
        <v>0.0310906190811184</v>
      </c>
      <c r="L402" s="0" t="n">
        <v>0.0374059458113786</v>
      </c>
      <c r="M402" s="0" t="n">
        <v>-0.00985812352794424</v>
      </c>
      <c r="N402" s="0" t="n">
        <v>-0.00580225516760535</v>
      </c>
      <c r="O402" s="0" t="n">
        <v>0.00233918629588236</v>
      </c>
      <c r="P402" s="0" t="n">
        <v>0</v>
      </c>
      <c r="Q402" s="0" t="n">
        <v>0.00489001950058765</v>
      </c>
      <c r="R402" s="0" t="n">
        <v>0.0146415690510171</v>
      </c>
      <c r="S402" s="0" t="n">
        <v>0.00832538349385236</v>
      </c>
      <c r="T402" s="0" t="n">
        <v>0.00125709997419143</v>
      </c>
      <c r="U402" s="0" t="n">
        <v>0.00714779471373372</v>
      </c>
      <c r="V402" s="0" t="n">
        <v>0.00623607320029417</v>
      </c>
      <c r="W402" s="0" t="n">
        <v>-0.00569368085912591</v>
      </c>
      <c r="X402" s="0" t="n">
        <v>-0.00150492562797888</v>
      </c>
    </row>
    <row r="403">
      <c r="A403" s="5" t="n">
        <v>42954</v>
      </c>
      <c r="B403" s="0" t="n">
        <v>-0.00952455272002605</v>
      </c>
      <c r="C403" s="0" t="n">
        <v>-0.00273486320613391</v>
      </c>
      <c r="D403" s="0" t="n">
        <v>-0.00121919636612766</v>
      </c>
      <c r="E403" s="0" t="n">
        <v>-0.00275100883209145</v>
      </c>
      <c r="F403" s="0" t="n">
        <v>-0.00240671867085273</v>
      </c>
      <c r="G403" s="0" t="n">
        <v>-0.00989705721699518</v>
      </c>
      <c r="H403" s="0" t="n">
        <v>0.0103135062172108</v>
      </c>
      <c r="I403" s="0" t="n">
        <v>-0.000796513673235299</v>
      </c>
      <c r="J403" s="0" t="n">
        <v>-0.00896861858622033</v>
      </c>
      <c r="K403" s="0" t="n">
        <v>0.00508906456768931</v>
      </c>
      <c r="L403" s="0" t="n">
        <v>-0.0145988549776272</v>
      </c>
      <c r="M403" s="0" t="n">
        <v>-0.000901114159951532</v>
      </c>
      <c r="N403" s="0" t="n">
        <v>-0.0212629274089071</v>
      </c>
      <c r="O403" s="0" t="n">
        <v>-0.00416233288733369</v>
      </c>
      <c r="P403" s="0" t="n">
        <v>0.0163103311974643</v>
      </c>
      <c r="Q403" s="0" t="n">
        <v>0.00162465544934087</v>
      </c>
      <c r="R403" s="0" t="n">
        <v>-0.00697577872498289</v>
      </c>
      <c r="S403" s="0" t="n">
        <v>-0.00511509567632417</v>
      </c>
      <c r="T403" s="0" t="n">
        <v>-0.00535350280893842</v>
      </c>
      <c r="U403" s="0" t="n">
        <v>-0.00928682373674671</v>
      </c>
      <c r="V403" s="0" t="n">
        <v>0.0107765483394963</v>
      </c>
      <c r="W403" s="0" t="n">
        <v>0.00323037181524243</v>
      </c>
      <c r="X403" s="0" t="n">
        <v>0.00525728948007309</v>
      </c>
    </row>
    <row r="404">
      <c r="A404" s="5" t="n">
        <v>42955</v>
      </c>
      <c r="B404" s="0" t="n">
        <v>-0.00239535363258802</v>
      </c>
      <c r="C404" s="0" t="n">
        <v>0.00585135608902831</v>
      </c>
      <c r="D404" s="0" t="n">
        <v>0.00729307317636163</v>
      </c>
      <c r="E404" s="0" t="n">
        <v>0.00275100883209145</v>
      </c>
      <c r="F404" s="0" t="n">
        <v>-0.00644643043773918</v>
      </c>
      <c r="G404" s="0" t="n">
        <v>-0.00790512241927299</v>
      </c>
      <c r="H404" s="0" t="n">
        <v>-0.0143086563648755</v>
      </c>
      <c r="I404" s="0" t="n">
        <v>0.0134548981290172</v>
      </c>
      <c r="J404" s="0" t="n">
        <v>0</v>
      </c>
      <c r="K404" s="0" t="n">
        <v>0.00506329706666153</v>
      </c>
      <c r="L404" s="0" t="n">
        <v>-0.0158105911266446</v>
      </c>
      <c r="M404" s="0" t="n">
        <v>0.00509523010936563</v>
      </c>
      <c r="N404" s="0" t="n">
        <v>-0.00228890664353542</v>
      </c>
      <c r="O404" s="0" t="n">
        <v>0</v>
      </c>
      <c r="P404" s="0" t="n">
        <v>-0.0111847236055844</v>
      </c>
      <c r="Q404" s="0" t="n">
        <v>-0.00651467494992852</v>
      </c>
      <c r="R404" s="0" t="n">
        <v>0.0108861911835083</v>
      </c>
      <c r="S404" s="0" t="n">
        <v>-0.00643091478347779</v>
      </c>
      <c r="T404" s="0" t="n">
        <v>-0.00158000463703089</v>
      </c>
      <c r="U404" s="0" t="n">
        <v>-0.00107123275379805</v>
      </c>
      <c r="V404" s="0" t="n">
        <v>0.008573259974958169</v>
      </c>
      <c r="W404" s="0" t="n">
        <v>0.00151662268036689</v>
      </c>
      <c r="X404" s="0" t="n">
        <v>-0.0135748918725697</v>
      </c>
    </row>
    <row r="405">
      <c r="A405" s="5" t="n">
        <v>42956</v>
      </c>
      <c r="B405" s="0" t="n">
        <v>0.000493579681252853</v>
      </c>
      <c r="C405" s="0" t="n">
        <v>-0.0160755897421887</v>
      </c>
      <c r="D405" s="0" t="n">
        <v>-0.006317560003394</v>
      </c>
      <c r="E405" s="0" t="n">
        <v>-0.013831443631497</v>
      </c>
      <c r="F405" s="0" t="n">
        <v>-0.0253799510597811</v>
      </c>
      <c r="G405" s="0" t="n">
        <v>-0.0155760184375943</v>
      </c>
      <c r="H405" s="0" t="n">
        <v>-0.0194023680735764</v>
      </c>
      <c r="I405" s="0" t="n">
        <v>0.0240787917385616</v>
      </c>
      <c r="J405" s="0" t="n">
        <v>-0.009049869886559311</v>
      </c>
      <c r="K405" s="0" t="n">
        <v>-0.0204088517691994</v>
      </c>
      <c r="L405" s="0" t="n">
        <v>-0.0191056165521961</v>
      </c>
      <c r="M405" s="0" t="n">
        <v>-0.0008973410045340911</v>
      </c>
      <c r="N405" s="0" t="n">
        <v>-0.00643677577104817</v>
      </c>
      <c r="O405" s="0" t="n">
        <v>-0.00444160064839893</v>
      </c>
      <c r="P405" s="0" t="n">
        <v>-0.0227516857868974</v>
      </c>
      <c r="Q405" s="0" t="n">
        <v>-0.0115037742555648</v>
      </c>
      <c r="R405" s="0" t="n">
        <v>-0.00365770624213634</v>
      </c>
      <c r="S405" s="0" t="n">
        <v>-0.0294620200569033</v>
      </c>
      <c r="T405" s="0" t="n">
        <v>-0.0198026538374</v>
      </c>
      <c r="U405" s="0" t="n">
        <v>-0.00830264516645229</v>
      </c>
      <c r="V405" s="0" t="n">
        <v>-0.0142120360579687</v>
      </c>
      <c r="W405" s="0" t="n">
        <v>-0.0160400639470723</v>
      </c>
      <c r="X405" s="0" t="n">
        <v>-0.0277153728825942</v>
      </c>
    </row>
    <row r="406">
      <c r="A406" s="5" t="n">
        <v>42957</v>
      </c>
      <c r="B406" s="0" t="n">
        <v>0</v>
      </c>
      <c r="C406" s="0" t="n">
        <v>-0.00396037694793127</v>
      </c>
      <c r="D406" s="0" t="n">
        <v>-0.0110295419661881</v>
      </c>
      <c r="E406" s="0" t="n">
        <v>0</v>
      </c>
      <c r="F406" s="0" t="n">
        <v>-0.0108379644027674</v>
      </c>
      <c r="G406" s="0" t="n">
        <v>-0.00339991507338144</v>
      </c>
      <c r="H406" s="0" t="n">
        <v>0.008939448336405141</v>
      </c>
      <c r="I406" s="0" t="n">
        <v>-0.00230501318183184</v>
      </c>
      <c r="J406" s="0" t="n">
        <v>0.0126469925196854</v>
      </c>
      <c r="K406" s="0" t="n">
        <v>-0.0103628388823701</v>
      </c>
      <c r="L406" s="0" t="n">
        <v>-0.0163771113133108</v>
      </c>
      <c r="M406" s="0" t="n">
        <v>-0.00509970127619396</v>
      </c>
      <c r="N406" s="0" t="n">
        <v>-0.0009229561196599779</v>
      </c>
      <c r="O406" s="0" t="n">
        <v>-0.00235942319464488</v>
      </c>
      <c r="P406" s="0" t="n">
        <v>0.0135066116423079</v>
      </c>
      <c r="Q406" s="0" t="n">
        <v>0.0115037742555648</v>
      </c>
      <c r="R406" s="0" t="n">
        <v>0.00340592277861873</v>
      </c>
      <c r="S406" s="0" t="n">
        <v>0.0223399662906613</v>
      </c>
      <c r="T406" s="0" t="n">
        <v>0.0150474847721189</v>
      </c>
      <c r="U406" s="0" t="n">
        <v>-0.00712737918261741</v>
      </c>
      <c r="V406" s="0" t="n">
        <v>0.00247086941850405</v>
      </c>
      <c r="W406" s="0" t="n">
        <v>-0.00019255243661842</v>
      </c>
      <c r="X406" s="0" t="n">
        <v>-0.00705056976079854</v>
      </c>
    </row>
    <row r="407">
      <c r="A407" s="5" t="n">
        <v>42958</v>
      </c>
      <c r="B407" s="0" t="n">
        <v>0.00337845887325194</v>
      </c>
      <c r="C407" s="0" t="n">
        <v>0.00632908067058002</v>
      </c>
      <c r="D407" s="0" t="n">
        <v>0.00418097435370423</v>
      </c>
      <c r="E407" s="0" t="n">
        <v>0.0129152521870348</v>
      </c>
      <c r="F407" s="0" t="n">
        <v>0.0231990295564941</v>
      </c>
      <c r="G407" s="0" t="n">
        <v>0.00382410294666613</v>
      </c>
      <c r="H407" s="0" t="n">
        <v>0.0072552216381978</v>
      </c>
      <c r="I407" s="0" t="n">
        <v>-0.0131631847805189</v>
      </c>
      <c r="J407" s="0" t="n">
        <v>0.0107143777204716</v>
      </c>
      <c r="K407" s="0" t="n">
        <v>0.025708393584908</v>
      </c>
      <c r="L407" s="0" t="n">
        <v>0.00411946655270956</v>
      </c>
      <c r="M407" s="0" t="n">
        <v>0.00180292633131395</v>
      </c>
      <c r="N407" s="0" t="n">
        <v>0.0137553404224894</v>
      </c>
      <c r="O407" s="0" t="n">
        <v>0.0104439992103992</v>
      </c>
      <c r="P407" s="0" t="n">
        <v>-0.0166496929522788</v>
      </c>
      <c r="Q407" s="0" t="n">
        <v>0</v>
      </c>
      <c r="R407" s="0" t="n">
        <v>-0.00138618389908806</v>
      </c>
      <c r="S407" s="0" t="n">
        <v>0.0103426807321915</v>
      </c>
      <c r="T407" s="0" t="n">
        <v>0.0116886765112504</v>
      </c>
      <c r="U407" s="0" t="n">
        <v>0.00820753820462183</v>
      </c>
      <c r="V407" s="0" t="n">
        <v>0.0155665478498399</v>
      </c>
      <c r="W407" s="0" t="n">
        <v>0.0171793027472073</v>
      </c>
      <c r="X407" s="0" t="n">
        <v>0.0186921149627607</v>
      </c>
    </row>
    <row r="408">
      <c r="A408" s="5" t="n">
        <v>42961</v>
      </c>
      <c r="B408" s="0" t="n">
        <v>-0.00175814938303453</v>
      </c>
      <c r="C408" s="0" t="n">
        <v>-0.00871292049535821</v>
      </c>
      <c r="D408" s="0" t="n">
        <v>0.00269609507452717</v>
      </c>
      <c r="E408" s="0" t="n">
        <v>-0.00643677577104773</v>
      </c>
      <c r="F408" s="0" t="n">
        <v>0.0020453775870739</v>
      </c>
      <c r="G408" s="0" t="n">
        <v>-0.0201334411766871</v>
      </c>
      <c r="H408" s="0" t="n">
        <v>0.00240668037067903</v>
      </c>
      <c r="I408" s="0" t="n">
        <v>-0.007824796071143499</v>
      </c>
      <c r="J408" s="0" t="n">
        <v>-0.00534288176737751</v>
      </c>
      <c r="K408" s="0" t="n">
        <v>0.00455809537255713</v>
      </c>
      <c r="L408" s="0" t="n">
        <v>0.00512560759187996</v>
      </c>
      <c r="M408" s="0" t="n">
        <v>0.00209925679917022</v>
      </c>
      <c r="N408" s="0" t="n">
        <v>-0.0668483258773382</v>
      </c>
      <c r="O408" s="0" t="n">
        <v>-0.00887039871228756</v>
      </c>
      <c r="P408" s="0" t="n">
        <v>-0.00631575425097175</v>
      </c>
      <c r="Q408" s="0" t="n">
        <v>0.0113730181157825</v>
      </c>
      <c r="R408" s="0" t="n">
        <v>-0.00239887037597519</v>
      </c>
      <c r="S408" s="0" t="n">
        <v>0.0172142921578526</v>
      </c>
      <c r="T408" s="0" t="n">
        <v>0.007821094108248159</v>
      </c>
      <c r="U408" s="0" t="n">
        <v>0.00706944262850317</v>
      </c>
      <c r="V408" s="0" t="n">
        <v>0.00432938600944599</v>
      </c>
      <c r="W408" s="0" t="n">
        <v>0.000189200902505959</v>
      </c>
      <c r="X408" s="0" t="n">
        <v>0.00308166359396899</v>
      </c>
    </row>
    <row r="409">
      <c r="A409" s="5" t="n">
        <v>42962</v>
      </c>
      <c r="B409" s="0" t="n">
        <v>0.00302205427112944</v>
      </c>
      <c r="C409" s="0" t="n">
        <v>-0.00159236312290733</v>
      </c>
      <c r="D409" s="0" t="n">
        <v>-0.0125617000749924</v>
      </c>
      <c r="E409" s="0" t="n">
        <v>-0.00369685829706467</v>
      </c>
      <c r="F409" s="0" t="n">
        <v>-0.0115085026943173</v>
      </c>
      <c r="G409" s="0" t="n">
        <v>-0.000865820722200094</v>
      </c>
      <c r="H409" s="0" t="n">
        <v>0.00877553391452545</v>
      </c>
      <c r="I409" s="0" t="n">
        <v>0.0232929940334942</v>
      </c>
      <c r="J409" s="0" t="n">
        <v>-0.00178726624761593</v>
      </c>
      <c r="K409" s="0" t="n">
        <v>0.00554299088332088</v>
      </c>
      <c r="L409" s="0" t="n">
        <v>0.0321960048733265</v>
      </c>
      <c r="M409" s="0" t="n">
        <v>-0.000599354445891542</v>
      </c>
      <c r="N409" s="0" t="n">
        <v>0.0168962972777602</v>
      </c>
      <c r="O409" s="0" t="n">
        <v>0.00183269315293177</v>
      </c>
      <c r="P409" s="0" t="n">
        <v>-0.0300130446878732</v>
      </c>
      <c r="Q409" s="0" t="n">
        <v>0.00644123992039591</v>
      </c>
      <c r="R409" s="0" t="n">
        <v>0.00176811600885873</v>
      </c>
      <c r="S409" s="0" t="n">
        <v>0.0081838742235516</v>
      </c>
      <c r="T409" s="0" t="n">
        <v>0.00776039899043734</v>
      </c>
      <c r="U409" s="0" t="n">
        <v>0.00229436271178506</v>
      </c>
      <c r="V409" s="0" t="n">
        <v>-0.00641414932529293</v>
      </c>
      <c r="W409" s="0" t="n">
        <v>-0.00303202528676971</v>
      </c>
      <c r="X409" s="0" t="n">
        <v>0</v>
      </c>
    </row>
    <row r="410">
      <c r="A410" s="5" t="n">
        <v>42963</v>
      </c>
      <c r="B410" s="0" t="n">
        <v>-0.0127120572781835</v>
      </c>
      <c r="C410" s="0" t="n">
        <v>-0.0140423512157767</v>
      </c>
      <c r="D410" s="0" t="n">
        <v>-0.0364732117070056</v>
      </c>
      <c r="E410" s="0" t="n">
        <v>-0.0149256356101354</v>
      </c>
      <c r="F410" s="0" t="n">
        <v>-0.022999179980252</v>
      </c>
      <c r="G410" s="0" t="n">
        <v>-0.0100109449085934</v>
      </c>
      <c r="H410" s="0" t="n">
        <v>-0.021678926841413</v>
      </c>
      <c r="I410" s="0" t="n">
        <v>0.0106871509048311</v>
      </c>
      <c r="J410" s="0" t="n">
        <v>-0.0198742100231015</v>
      </c>
      <c r="K410" s="0" t="n">
        <v>-0.0177444281398225</v>
      </c>
      <c r="L410" s="0" t="n">
        <v>-0.038349815672046</v>
      </c>
      <c r="M410" s="0" t="n">
        <v>-0.01236631168348</v>
      </c>
      <c r="N410" s="0" t="n">
        <v>-0.0750289831925479</v>
      </c>
      <c r="O410" s="0" t="n">
        <v>-0.0166165259204209</v>
      </c>
      <c r="P410" s="0" t="n">
        <v>-0.0142467243372572</v>
      </c>
      <c r="Q410" s="0" t="n">
        <v>-0.00644123992039591</v>
      </c>
      <c r="R410" s="0" t="n">
        <v>-0.00455294338713407</v>
      </c>
      <c r="S410" s="0" t="n">
        <v>-0.0253981663814042</v>
      </c>
      <c r="T410" s="0" t="n">
        <v>-0.0410281340571017</v>
      </c>
      <c r="U410" s="0" t="n">
        <v>-0.0177267670237784</v>
      </c>
      <c r="V410" s="0" t="n">
        <v>-0.0127769225571912</v>
      </c>
      <c r="W410" s="0" t="n">
        <v>-0.0170355236207191</v>
      </c>
      <c r="X410" s="0" t="n">
        <v>-0.0280829415812156</v>
      </c>
    </row>
    <row r="411">
      <c r="A411" s="5" t="n">
        <v>42964</v>
      </c>
      <c r="B411" s="0" t="n">
        <v>-0.00713269801268712</v>
      </c>
      <c r="C411" s="0" t="n">
        <v>-0.00811358515147953</v>
      </c>
      <c r="D411" s="0" t="n">
        <v>-0.0094273745798441</v>
      </c>
      <c r="E411" s="0" t="n">
        <v>-0.00754719816612903</v>
      </c>
      <c r="F411" s="0" t="n">
        <v>-0.000846320419460866</v>
      </c>
      <c r="G411" s="0" t="n">
        <v>0</v>
      </c>
      <c r="H411" s="0" t="n">
        <v>0.0280130670200575</v>
      </c>
      <c r="I411" s="0" t="n">
        <v>-0.0230425088322325</v>
      </c>
      <c r="J411" s="0" t="n">
        <v>0.00182310939027052</v>
      </c>
      <c r="K411" s="0" t="n">
        <v>-0.00256081836006893</v>
      </c>
      <c r="L411" s="0" t="n">
        <v>0.0313949294063848</v>
      </c>
      <c r="M411" s="0" t="n">
        <v>-0.00853411453697416</v>
      </c>
      <c r="N411" s="0" t="n">
        <v>-0.0114167985796851</v>
      </c>
      <c r="O411" s="0" t="n">
        <v>-0.00613579489872773</v>
      </c>
      <c r="P411" s="0" t="n">
        <v>0.0120681282181278</v>
      </c>
      <c r="Q411" s="0" t="n">
        <v>0.00644123992039591</v>
      </c>
      <c r="R411" s="0" t="n">
        <v>-0.0157140979110659</v>
      </c>
      <c r="S411" s="0" t="n">
        <v>0.00641024171994919</v>
      </c>
      <c r="T411" s="0" t="n">
        <v>-0.0218214181188107</v>
      </c>
      <c r="U411" s="0" t="n">
        <v>-0.00953213588365287</v>
      </c>
      <c r="V411" s="0" t="n">
        <v>-0.00618435212626433</v>
      </c>
      <c r="W411" s="0" t="n">
        <v>-0.00231926915742564</v>
      </c>
      <c r="X411" s="0" t="n">
        <v>0.00158098878295298</v>
      </c>
    </row>
    <row r="412">
      <c r="A412" s="5" t="n">
        <v>42965</v>
      </c>
      <c r="B412" s="0" t="n">
        <v>0.00449956039341525</v>
      </c>
      <c r="C412" s="0" t="n">
        <v>-0.00244703303004945</v>
      </c>
      <c r="D412" s="0" t="n">
        <v>0.00401421794745893</v>
      </c>
      <c r="E412" s="0" t="n">
        <v>0.000946452995720381</v>
      </c>
      <c r="F412" s="0" t="n">
        <v>-0.0102129261512753</v>
      </c>
      <c r="G412" s="0" t="n">
        <v>-0.0109963717815682</v>
      </c>
      <c r="H412" s="0" t="n">
        <v>-0.0191240702804988</v>
      </c>
      <c r="I412" s="0" t="n">
        <v>0.0108192974012086</v>
      </c>
      <c r="J412" s="0" t="n">
        <v>0.00544964300290429</v>
      </c>
      <c r="K412" s="0" t="n">
        <v>-0.0103094212892962</v>
      </c>
      <c r="L412" s="0" t="n">
        <v>-0.00399600560146451</v>
      </c>
      <c r="M412" s="0" t="n">
        <v>0.00275103818361532</v>
      </c>
      <c r="N412" s="0" t="n">
        <v>0.00208555419132761</v>
      </c>
      <c r="O412" s="0" t="n">
        <v>0.00560382779426404</v>
      </c>
      <c r="P412" s="0" t="n">
        <v>-0.0209374632501266</v>
      </c>
      <c r="Q412" s="0" t="n">
        <v>-0.00805809216823938</v>
      </c>
      <c r="R412" s="0" t="n">
        <v>-0.000257621019684073</v>
      </c>
      <c r="S412" s="0" t="n">
        <v>-0.00191875552612286</v>
      </c>
      <c r="T412" s="0" t="n">
        <v>0.0101556797548258</v>
      </c>
      <c r="U412" s="0" t="n">
        <v>0.0109307892499508</v>
      </c>
      <c r="V412" s="0" t="n">
        <v>0.00389176548963376</v>
      </c>
      <c r="W412" s="0" t="n">
        <v>0.00270530386536282</v>
      </c>
      <c r="X412" s="0" t="n">
        <v>-0.00475056043046695</v>
      </c>
    </row>
    <row r="413">
      <c r="A413" s="5" t="n">
        <v>42968</v>
      </c>
      <c r="B413" s="0" t="n">
        <v>0.00483396608204067</v>
      </c>
      <c r="C413" s="0" t="n">
        <v>0.00448160924652008</v>
      </c>
      <c r="D413" s="0" t="n">
        <v>0.0113083303012082</v>
      </c>
      <c r="E413" s="0" t="n">
        <v>0.00754008532641492</v>
      </c>
      <c r="F413" s="0" t="n">
        <v>0.0190643677604915</v>
      </c>
      <c r="G413" s="0" t="n">
        <v>0.0144898216972131</v>
      </c>
      <c r="H413" s="0" t="n">
        <v>0.0238484839934547</v>
      </c>
      <c r="I413" s="0" t="n">
        <v>-0.00771611707798136</v>
      </c>
      <c r="J413" s="0" t="n">
        <v>0.0268112743617205</v>
      </c>
      <c r="K413" s="0" t="n">
        <v>0.00516802683077177</v>
      </c>
      <c r="L413" s="0" t="n">
        <v>0.00100052324467858</v>
      </c>
      <c r="M413" s="0" t="n">
        <v>0.011834554911783</v>
      </c>
      <c r="N413" s="0" t="n">
        <v>0.0358093937909487</v>
      </c>
      <c r="O413" s="0" t="n">
        <v>0.0105876506218853</v>
      </c>
      <c r="P413" s="0" t="n">
        <v>0.0121750936375368</v>
      </c>
      <c r="Q413" s="0" t="n">
        <v>-0.00324149091801051</v>
      </c>
      <c r="R413" s="0" t="n">
        <v>0.00154443718477637</v>
      </c>
      <c r="S413" s="0" t="n">
        <v>0.0190240481235934</v>
      </c>
      <c r="T413" s="0" t="n">
        <v>0.0190481996627038</v>
      </c>
      <c r="U413" s="0" t="n">
        <v>-0.0051382260013435</v>
      </c>
      <c r="V413" s="0" t="n">
        <v>0.0180216372672799</v>
      </c>
      <c r="W413" s="0" t="n">
        <v>0.00768941740233009</v>
      </c>
      <c r="X413" s="0" t="n">
        <v>0.00790513421324501</v>
      </c>
    </row>
    <row r="414">
      <c r="A414" s="5" t="n">
        <v>42969</v>
      </c>
      <c r="B414" s="0" t="n">
        <v>0.00798171221144183</v>
      </c>
      <c r="C414" s="0" t="n">
        <v>-0.0085732430091947</v>
      </c>
      <c r="D414" s="0" t="n">
        <v>-0.00140656768635949</v>
      </c>
      <c r="E414" s="0" t="n">
        <v>0.00561803168478647</v>
      </c>
      <c r="F414" s="0" t="n">
        <v>-0.00294178378154041</v>
      </c>
      <c r="G414" s="0" t="n">
        <v>0.000871396594627871</v>
      </c>
      <c r="H414" s="0" t="n">
        <v>0.0179063165929322</v>
      </c>
      <c r="I414" s="0" t="n">
        <v>0.00848447889972803</v>
      </c>
      <c r="J414" s="0" t="n">
        <v>-0.0195910332243414</v>
      </c>
      <c r="K414" s="0" t="n">
        <v>0.0102564901348486</v>
      </c>
      <c r="L414" s="0" t="n">
        <v>0.0324671827518336</v>
      </c>
      <c r="M414" s="0" t="n">
        <v>0.00271125782123693</v>
      </c>
      <c r="N414" s="0" t="n">
        <v>0.0238342740542005</v>
      </c>
      <c r="O414" s="0" t="n">
        <v>-0.00158106423187076</v>
      </c>
      <c r="P414" s="0" t="n">
        <v>0.0174486265486</v>
      </c>
      <c r="Q414" s="0" t="n">
        <v>0.0208843118729809</v>
      </c>
      <c r="R414" s="0" t="n">
        <v>-0.00193089489389386</v>
      </c>
      <c r="S414" s="0" t="n">
        <v>-0.00188618305373111</v>
      </c>
      <c r="T414" s="0" t="n">
        <v>-0.0112559599221344</v>
      </c>
      <c r="U414" s="0" t="n">
        <v>-0.00547858431160097</v>
      </c>
      <c r="V414" s="0" t="n">
        <v>0.00346202125183481</v>
      </c>
      <c r="W414" s="0" t="n">
        <v>-0.00364513480645634</v>
      </c>
      <c r="X414" s="0" t="n">
        <v>-0.00236497809138303</v>
      </c>
    </row>
    <row r="415">
      <c r="A415" s="5" t="n">
        <v>42970</v>
      </c>
      <c r="B415" s="0" t="n">
        <v>0.00561249576703737</v>
      </c>
      <c r="C415" s="0" t="n">
        <v>-0.00369685555564736</v>
      </c>
      <c r="D415" s="0" t="n">
        <v>0.0090440597966781</v>
      </c>
      <c r="E415" s="0" t="n">
        <v>0</v>
      </c>
      <c r="F415" s="0" t="n">
        <v>0.0033613444701297</v>
      </c>
      <c r="G415" s="0" t="n">
        <v>-0.0844804730153261</v>
      </c>
      <c r="H415" s="0" t="n">
        <v>0.00921664599106453</v>
      </c>
      <c r="I415" s="0" t="n">
        <v>-0.000768361821746665</v>
      </c>
      <c r="J415" s="0" t="n">
        <v>0.00359066474942793</v>
      </c>
      <c r="K415" s="0" t="n">
        <v>-0.00511509567632417</v>
      </c>
      <c r="L415" s="0" t="n">
        <v>0.0370589048061797</v>
      </c>
      <c r="M415" s="0" t="n">
        <v>-0.000300951891748724</v>
      </c>
      <c r="N415" s="0" t="n">
        <v>-0.0158262307045369</v>
      </c>
      <c r="O415" s="0" t="n">
        <v>-0.00634917129220591</v>
      </c>
      <c r="P415" s="0" t="n">
        <v>0.00431499719517303</v>
      </c>
      <c r="Q415" s="0" t="n">
        <v>-0.00798091894609331</v>
      </c>
      <c r="R415" s="0" t="n">
        <v>-0.0290216606027007</v>
      </c>
      <c r="S415" s="0" t="n">
        <v>-0.00188980759522161</v>
      </c>
      <c r="T415" s="0" t="n">
        <v>0.0102960914582377</v>
      </c>
      <c r="U415" s="0" t="n">
        <v>-0.0017280754038973</v>
      </c>
      <c r="V415" s="0" t="n">
        <v>0.00517062931642531</v>
      </c>
      <c r="W415" s="0" t="n">
        <v>0.00249546285232904</v>
      </c>
      <c r="X415" s="0" t="n">
        <v>0.00236497809138303</v>
      </c>
    </row>
    <row r="416">
      <c r="A416" s="5" t="n">
        <v>42971</v>
      </c>
      <c r="B416" s="0" t="n">
        <v>0.00558117138449976</v>
      </c>
      <c r="C416" s="0" t="n">
        <v>0.00778848931832198</v>
      </c>
      <c r="D416" s="0" t="n">
        <v>-0.000888039311726984</v>
      </c>
      <c r="E416" s="0" t="n">
        <v>0.010218357192083</v>
      </c>
      <c r="F416" s="0" t="n">
        <v>-0.00294054796750264</v>
      </c>
      <c r="G416" s="0" t="n">
        <v>0.0298808126037655</v>
      </c>
      <c r="H416" s="0" t="n">
        <v>-0.00459770471269926</v>
      </c>
      <c r="I416" s="0" t="n">
        <v>0.00460119416962134</v>
      </c>
      <c r="J416" s="0" t="n">
        <v>0</v>
      </c>
      <c r="K416" s="0" t="n">
        <v>0.0046047375522088</v>
      </c>
      <c r="L416" s="0" t="n">
        <v>-0.00373831844549954</v>
      </c>
      <c r="M416" s="0" t="n">
        <v>0.00480336708520257</v>
      </c>
      <c r="N416" s="0" t="n">
        <v>0.00843887264091458</v>
      </c>
      <c r="O416" s="0" t="n">
        <v>0.00819355357403184</v>
      </c>
      <c r="P416" s="0" t="n">
        <v>-0.0151847111227585</v>
      </c>
      <c r="Q416" s="0" t="n">
        <v>0.001601318046756</v>
      </c>
      <c r="R416" s="0" t="n">
        <v>-0.000530727305733336</v>
      </c>
      <c r="S416" s="0" t="n">
        <v>0.0723499644227252</v>
      </c>
      <c r="T416" s="0" t="n">
        <v>0.00638166690264929</v>
      </c>
      <c r="U416" s="0" t="n">
        <v>0.00751888498034514</v>
      </c>
      <c r="V416" s="0" t="n">
        <v>0.00343231447163194</v>
      </c>
      <c r="W416" s="0" t="n">
        <v>-0.00750507493694874</v>
      </c>
      <c r="X416" s="0" t="n">
        <v>0.00471331740803959</v>
      </c>
    </row>
    <row r="417">
      <c r="A417" s="5" t="n">
        <v>42972</v>
      </c>
      <c r="B417" s="0" t="n">
        <v>-0.00859401611696419</v>
      </c>
      <c r="C417" s="0" t="n">
        <v>-0.000816956105404553</v>
      </c>
      <c r="D417" s="0" t="n">
        <v>0.000634338957189228</v>
      </c>
      <c r="E417" s="0" t="n">
        <v>-0.00277646947890675</v>
      </c>
      <c r="F417" s="0" t="n">
        <v>-0.00210575544857638</v>
      </c>
      <c r="G417" s="0" t="n">
        <v>-0.000920407712698967</v>
      </c>
      <c r="H417" s="0" t="n">
        <v>-0.0115876592229557</v>
      </c>
      <c r="I417" s="0" t="n">
        <v>0.0316291489660889</v>
      </c>
      <c r="J417" s="0" t="n">
        <v>0</v>
      </c>
      <c r="K417" s="0" t="n">
        <v>-0.0046047375522088</v>
      </c>
      <c r="L417" s="0" t="n">
        <v>0.0130233831069896</v>
      </c>
      <c r="M417" s="0" t="n">
        <v>0.00239311601870406</v>
      </c>
      <c r="N417" s="0" t="n">
        <v>0.024897563213921</v>
      </c>
      <c r="O417" s="0" t="n">
        <v>-0.00131708307086064</v>
      </c>
      <c r="P417" s="0" t="n">
        <v>-0.0132014997391514</v>
      </c>
      <c r="Q417" s="0" t="n">
        <v>-0.00320512788739368</v>
      </c>
      <c r="R417" s="0" t="n">
        <v>0.00145879758159139</v>
      </c>
      <c r="S417" s="0" t="n">
        <v>0.00526471857751431</v>
      </c>
      <c r="T417" s="0" t="n">
        <v>0.00317562601482057</v>
      </c>
      <c r="U417" s="0" t="n">
        <v>-0.00234359178238641</v>
      </c>
      <c r="V417" s="0" t="n">
        <v>0.00359133174026737</v>
      </c>
      <c r="W417" s="0" t="n">
        <v>-0.00270792017663001</v>
      </c>
      <c r="X417" s="0" t="n">
        <v>-0.00313971694928483</v>
      </c>
    </row>
    <row r="418">
      <c r="A418" s="5" t="n">
        <v>42975</v>
      </c>
      <c r="B418" s="0" t="n">
        <v>0.00441103390712793</v>
      </c>
      <c r="C418" s="0" t="n">
        <v>-0.00122676809403632</v>
      </c>
      <c r="D418" s="0" t="n">
        <v>-0.00368503228184913</v>
      </c>
      <c r="E418" s="0" t="n">
        <v>0.00462323435323108</v>
      </c>
      <c r="F418" s="0" t="n">
        <v>-0.00591965330788024</v>
      </c>
      <c r="G418" s="0" t="n">
        <v>0.00413509227449315</v>
      </c>
      <c r="H418" s="0" t="n">
        <v>0.00465116679159027</v>
      </c>
      <c r="I418" s="0" t="n">
        <v>0.00738558613812001</v>
      </c>
      <c r="J418" s="0" t="n">
        <v>0.00892069975811304</v>
      </c>
      <c r="K418" s="0" t="n">
        <v>-0.00514139445852446</v>
      </c>
      <c r="L418" s="0" t="n">
        <v>0.00276886993141856</v>
      </c>
      <c r="M418" s="0" t="n">
        <v>0.000895887136225681</v>
      </c>
      <c r="N418" s="0" t="n">
        <v>-0.00531790536269527</v>
      </c>
      <c r="O418" s="0" t="n">
        <v>-0.00237498874086306</v>
      </c>
      <c r="P418" s="0" t="n">
        <v>-0.00889882688199117</v>
      </c>
      <c r="Q418" s="0" t="n">
        <v>0</v>
      </c>
      <c r="R418" s="0" t="n">
        <v>0.00831409965622853</v>
      </c>
      <c r="S418" s="0" t="n">
        <v>0.00697682135624955</v>
      </c>
      <c r="T418" s="0" t="n">
        <v>-0.00190420155460202</v>
      </c>
      <c r="U418" s="0" t="n">
        <v>-0.00187880015040864</v>
      </c>
      <c r="V418" s="0" t="n">
        <v>0.00476838051795169</v>
      </c>
      <c r="W418" s="0" t="n">
        <v>-0.00407575335147081</v>
      </c>
      <c r="X418" s="0" t="n">
        <v>-0.0102727187287823</v>
      </c>
    </row>
    <row r="419">
      <c r="A419" s="5" t="n">
        <v>42976</v>
      </c>
      <c r="B419" s="0" t="n">
        <v>-0.00406022144939921</v>
      </c>
      <c r="C419" s="0" t="n">
        <v>-0.00656819325013557</v>
      </c>
      <c r="D419" s="0" t="n">
        <v>0.0243975230125421</v>
      </c>
      <c r="E419" s="0" t="n">
        <v>0.009182748549772409</v>
      </c>
      <c r="F419" s="0" t="n">
        <v>0.0122235836355497</v>
      </c>
      <c r="G419" s="0" t="n">
        <v>0.0177237675181611</v>
      </c>
      <c r="H419" s="0" t="n">
        <v>-0.00542841323684362</v>
      </c>
      <c r="I419" s="0" t="n">
        <v>-0.0155731761377908</v>
      </c>
      <c r="J419" s="0" t="n">
        <v>0.0123566788996647</v>
      </c>
      <c r="K419" s="0" t="n">
        <v>-0.00516802683077177</v>
      </c>
      <c r="L419" s="0" t="n">
        <v>-0.00369344467639587</v>
      </c>
      <c r="M419" s="0" t="n">
        <v>-0.00149362944842934</v>
      </c>
      <c r="N419" s="0" t="n">
        <v>-0.0107213170572979</v>
      </c>
      <c r="O419" s="0" t="n">
        <v>-0.00476696647343644</v>
      </c>
      <c r="P419" s="0" t="n">
        <v>0.00889882688199117</v>
      </c>
      <c r="Q419" s="0" t="n">
        <v>0.00160380984063768</v>
      </c>
      <c r="R419" s="0" t="n">
        <v>0.00380404377815501</v>
      </c>
      <c r="S419" s="0" t="n">
        <v>0.0285570515354081</v>
      </c>
      <c r="T419" s="0" t="n">
        <v>0.0160709377988439</v>
      </c>
      <c r="U419" s="0" t="n">
        <v>0.00375413658741408</v>
      </c>
      <c r="V419" s="0" t="n">
        <v>0.00879573414853407</v>
      </c>
      <c r="W419" s="0" t="n">
        <v>-0.00116749496246892</v>
      </c>
      <c r="X419" s="0" t="n">
        <v>0.00633414017864453</v>
      </c>
    </row>
    <row r="420">
      <c r="A420" s="5" t="n">
        <v>42977</v>
      </c>
      <c r="B420" s="0" t="n">
        <v>0.00329144333517916</v>
      </c>
      <c r="C420" s="0" t="n">
        <v>0.0110589504796259</v>
      </c>
      <c r="D420" s="0" t="n">
        <v>0.009890092455644419</v>
      </c>
      <c r="E420" s="0" t="n">
        <v>0.00819305041844353</v>
      </c>
      <c r="F420" s="0" t="n">
        <v>0.000837460280067592</v>
      </c>
      <c r="G420" s="0" t="n">
        <v>-0.0149764501824729</v>
      </c>
      <c r="H420" s="0" t="n">
        <v>-0.00702309771988263</v>
      </c>
      <c r="I420" s="0" t="n">
        <v>0.027277760859365</v>
      </c>
      <c r="J420" s="0" t="n">
        <v>0.008733713431011919</v>
      </c>
      <c r="K420" s="0" t="n">
        <v>0.0356272048203988</v>
      </c>
      <c r="L420" s="0" t="n">
        <v>0.0237670486841516</v>
      </c>
      <c r="M420" s="0" t="n">
        <v>0.0139529475595443</v>
      </c>
      <c r="N420" s="0" t="n">
        <v>-0.0343916549908827</v>
      </c>
      <c r="O420" s="0" t="n">
        <v>-0.00559030052036835</v>
      </c>
      <c r="P420" s="0" t="n">
        <v>0.0326826688243837</v>
      </c>
      <c r="Q420" s="0" t="n">
        <v>0.00320007597304594</v>
      </c>
      <c r="R420" s="0" t="n">
        <v>0.0124903929904398</v>
      </c>
      <c r="S420" s="0" t="n">
        <v>0.00841045710140209</v>
      </c>
      <c r="T420" s="0" t="n">
        <v>0.00685358811277447</v>
      </c>
      <c r="U420" s="0" t="n">
        <v>-0.0102001904785629</v>
      </c>
      <c r="V420" s="0" t="n">
        <v>0.0183552369790254</v>
      </c>
      <c r="W420" s="0" t="n">
        <v>-0.00566243658158205</v>
      </c>
      <c r="X420" s="0" t="n">
        <v>-0.00633414017864453</v>
      </c>
    </row>
    <row r="421">
      <c r="A421" s="5" t="n">
        <v>42978</v>
      </c>
      <c r="B421" s="0" t="n">
        <v>0.0073143236440849</v>
      </c>
      <c r="C421" s="0" t="n">
        <v>0.0237482994901636</v>
      </c>
      <c r="D421" s="0" t="n">
        <v>-0.0149968611486821</v>
      </c>
      <c r="E421" s="0" t="n">
        <v>0.0285989684809888</v>
      </c>
      <c r="F421" s="0" t="n">
        <v>0.0083368871715499</v>
      </c>
      <c r="G421" s="0" t="n">
        <v>0.0248375479845526</v>
      </c>
      <c r="H421" s="0" t="n">
        <v>0.0232208357359664</v>
      </c>
      <c r="I421" s="0" t="n">
        <v>0</v>
      </c>
      <c r="J421" s="0" t="n">
        <v>-0.0104895966146998</v>
      </c>
      <c r="K421" s="0" t="n">
        <v>0.00995032141084806</v>
      </c>
      <c r="L421" s="0" t="n">
        <v>0.0205640234447623</v>
      </c>
      <c r="M421" s="0" t="n">
        <v>0.00117857754201899</v>
      </c>
      <c r="N421" s="0" t="n">
        <v>0.0160970075469233</v>
      </c>
      <c r="O421" s="0" t="n">
        <v>0.000533772580865843</v>
      </c>
      <c r="P421" s="0" t="n">
        <v>0.009600090005435821</v>
      </c>
      <c r="Q421" s="0" t="n">
        <v>-0.00320007597304594</v>
      </c>
      <c r="R421" s="0" t="n">
        <v>0.00747139700674814</v>
      </c>
      <c r="S421" s="0" t="n">
        <v>-0.00335567795641589</v>
      </c>
      <c r="T421" s="0" t="n">
        <v>0.0027902716887862</v>
      </c>
      <c r="U421" s="0" t="n">
        <v>0.00220575773937614</v>
      </c>
      <c r="V421" s="0" t="n">
        <v>-0.00963619370725865</v>
      </c>
      <c r="W421" s="0" t="n">
        <v>-0.00195998638252214</v>
      </c>
      <c r="X421" s="0" t="n">
        <v>0.00869911827002756</v>
      </c>
    </row>
    <row r="422">
      <c r="A422" s="5" t="n">
        <v>42979</v>
      </c>
      <c r="B422" s="0" t="n">
        <v>-0.00724444908808585</v>
      </c>
      <c r="C422" s="0" t="n">
        <v>-0.0156347143386841</v>
      </c>
      <c r="D422" s="0" t="n">
        <v>-0.00325206207499562</v>
      </c>
      <c r="E422" s="0" t="n">
        <v>0.000880605533852829</v>
      </c>
      <c r="F422" s="0" t="n">
        <v>-0.0329143928242849</v>
      </c>
      <c r="G422" s="0" t="n">
        <v>0.000445941090858603</v>
      </c>
      <c r="H422" s="0" t="n">
        <v>0.00229275504013459</v>
      </c>
      <c r="I422" s="0" t="n">
        <v>0.0230060253238959</v>
      </c>
      <c r="J422" s="0" t="n">
        <v>-0.0177309437309702</v>
      </c>
      <c r="K422" s="0" t="n">
        <v>0.00493827698919335</v>
      </c>
      <c r="L422" s="0" t="n">
        <v>0.00705469615701837</v>
      </c>
      <c r="M422" s="0" t="n">
        <v>-0.00472255456735526</v>
      </c>
      <c r="N422" s="0" t="n">
        <v>-0.0262907174657063</v>
      </c>
      <c r="O422" s="0" t="n">
        <v>-0.0104600495411868</v>
      </c>
      <c r="P422" s="0" t="n">
        <v>-0.009600090005435821</v>
      </c>
      <c r="Q422" s="0" t="n">
        <v>0.00798091894609331</v>
      </c>
      <c r="R422" s="0" t="n">
        <v>0.009833477737396731</v>
      </c>
      <c r="S422" s="0" t="n">
        <v>-0.000560393891504862</v>
      </c>
      <c r="T422" s="0" t="n">
        <v>-0.0212773482856478</v>
      </c>
      <c r="U422" s="0" t="n">
        <v>-0.0106005578443451</v>
      </c>
      <c r="V422" s="0" t="n">
        <v>-0.00150363657781671</v>
      </c>
      <c r="W422" s="0" t="n">
        <v>-0.0172162706672396</v>
      </c>
      <c r="X422" s="0" t="n">
        <v>-0.0255197019455861</v>
      </c>
    </row>
    <row r="423">
      <c r="A423" s="5" t="n">
        <v>42983</v>
      </c>
      <c r="B423" s="0" t="n">
        <v>0.00543830411242218</v>
      </c>
      <c r="C423" s="0" t="n">
        <v>0.00684521111177804</v>
      </c>
      <c r="D423" s="0" t="n">
        <v>0.008607331048329669</v>
      </c>
      <c r="E423" s="0" t="n">
        <v>0.0122486522982727</v>
      </c>
      <c r="F423" s="0" t="n">
        <v>0.00428084484818391</v>
      </c>
      <c r="G423" s="0" t="n">
        <v>0.0053356699776379</v>
      </c>
      <c r="H423" s="0" t="n">
        <v>0.0352492623089775</v>
      </c>
      <c r="I423" s="0" t="n">
        <v>-0.0172047092763638</v>
      </c>
      <c r="J423" s="0" t="n">
        <v>0.00178726624761593</v>
      </c>
      <c r="K423" s="0" t="n">
        <v>0.009803990929980629</v>
      </c>
      <c r="L423" s="0" t="n">
        <v>0.0104895966146996</v>
      </c>
      <c r="M423" s="0" t="n">
        <v>0.00560563317241813</v>
      </c>
      <c r="N423" s="0" t="n">
        <v>-0.0270006252695136</v>
      </c>
      <c r="O423" s="0" t="n">
        <v>-0.0141191717991757</v>
      </c>
      <c r="P423" s="0" t="n">
        <v>0.0191088939428083</v>
      </c>
      <c r="Q423" s="0" t="n">
        <v>0.0251190365887366</v>
      </c>
      <c r="R423" s="0" t="n">
        <v>0.0150093605912484</v>
      </c>
      <c r="S423" s="0" t="n">
        <v>-0.0129761785375088</v>
      </c>
      <c r="T423" s="0" t="n">
        <v>0.00787529643971973</v>
      </c>
      <c r="U423" s="0" t="n">
        <v>0.00634220498817317</v>
      </c>
      <c r="V423" s="0" t="n">
        <v>0.00100263307932735</v>
      </c>
      <c r="W423" s="0" t="n">
        <v>-0.0044008354086209</v>
      </c>
      <c r="X423" s="0" t="n">
        <v>0.0104460662742638</v>
      </c>
    </row>
    <row r="424">
      <c r="A424" s="5" t="n">
        <v>42984</v>
      </c>
      <c r="B424" s="0" t="n">
        <v>-0.00641752637660975</v>
      </c>
      <c r="C424" s="0" t="n">
        <v>-0.0367838965544455</v>
      </c>
      <c r="D424" s="0" t="n">
        <v>0.0127122817734433</v>
      </c>
      <c r="E424" s="0" t="n">
        <v>-0.008733713431011919</v>
      </c>
      <c r="F424" s="0" t="n">
        <v>-0.0189742881768917</v>
      </c>
      <c r="G424" s="0" t="n">
        <v>0.009708868064002729</v>
      </c>
      <c r="H424" s="0" t="n">
        <v>-0.00295202870336153</v>
      </c>
      <c r="I424" s="0" t="n">
        <v>0.0242869189266645</v>
      </c>
      <c r="J424" s="0" t="n">
        <v>-0.00896861858622033</v>
      </c>
      <c r="K424" s="0" t="n">
        <v>0.009708805137453751</v>
      </c>
      <c r="L424" s="0" t="n">
        <v>0.012100436429169</v>
      </c>
      <c r="M424" s="0" t="n">
        <v>0</v>
      </c>
      <c r="N424" s="0" t="n">
        <v>-0.0180567919245144</v>
      </c>
      <c r="O424" s="0" t="n">
        <v>-0.0268826288200969</v>
      </c>
      <c r="P424" s="0" t="n">
        <v>0.00837700418170372</v>
      </c>
      <c r="Q424" s="0" t="n">
        <v>0.00154922246323052</v>
      </c>
      <c r="R424" s="0" t="n">
        <v>0.00661311793925367</v>
      </c>
      <c r="S424" s="0" t="n">
        <v>-0.00798187232578762</v>
      </c>
      <c r="T424" s="0" t="n">
        <v>-0.0034575111767241</v>
      </c>
      <c r="U424" s="0" t="n">
        <v>-0.008571495582587289</v>
      </c>
      <c r="V424" s="0" t="n">
        <v>0.0484162887189318</v>
      </c>
      <c r="W424" s="0" t="n">
        <v>-0.00401769845748001</v>
      </c>
      <c r="X424" s="0" t="n">
        <v>-0.0267330554374964</v>
      </c>
    </row>
    <row r="425">
      <c r="A425" s="5" t="n">
        <v>42985</v>
      </c>
      <c r="B425" s="0" t="n">
        <v>-0.00315400270346888</v>
      </c>
      <c r="C425" s="0" t="n">
        <v>-0.00836120169105214</v>
      </c>
      <c r="D425" s="0" t="n">
        <v>0.0167825568663344</v>
      </c>
      <c r="E425" s="0" t="n">
        <v>-0.00351493886726084</v>
      </c>
      <c r="F425" s="0" t="n">
        <v>-0.00348887950793841</v>
      </c>
      <c r="G425" s="0" t="n">
        <v>-0.0780684188324865</v>
      </c>
      <c r="H425" s="0" t="n">
        <v>-0.000739423728490784</v>
      </c>
      <c r="I425" s="0" t="n">
        <v>0.00141040251387725</v>
      </c>
      <c r="J425" s="0" t="n">
        <v>-0.0126928576844971</v>
      </c>
      <c r="K425" s="0" t="n">
        <v>0.0238674596749334</v>
      </c>
      <c r="L425" s="0" t="n">
        <v>-0.0466018990489733</v>
      </c>
      <c r="M425" s="0" t="n">
        <v>0.00323092645307054</v>
      </c>
      <c r="N425" s="0" t="n">
        <v>-0.0064515777230234</v>
      </c>
      <c r="O425" s="0" t="n">
        <v>-0.000280891186734244</v>
      </c>
      <c r="P425" s="0" t="n">
        <v>-0.0393458382760809</v>
      </c>
      <c r="Q425" s="0" t="n">
        <v>-0.00465481214703511</v>
      </c>
      <c r="R425" s="0" t="n">
        <v>-0.008618081446040369</v>
      </c>
      <c r="S425" s="0" t="n">
        <v>-0.0126729413643307</v>
      </c>
      <c r="T425" s="0" t="n">
        <v>-0.008855234577752389</v>
      </c>
      <c r="U425" s="0" t="n">
        <v>-0.00800260358615823</v>
      </c>
      <c r="V425" s="0" t="n">
        <v>-0.00350711697445227</v>
      </c>
      <c r="W425" s="0" t="n">
        <v>-0.0020148802296922</v>
      </c>
      <c r="X425" s="0" t="n">
        <v>0.0114286459973786</v>
      </c>
    </row>
    <row r="426">
      <c r="A426" s="5" t="n">
        <v>42986</v>
      </c>
      <c r="B426" s="0" t="n">
        <v>0.0167767234600129</v>
      </c>
      <c r="C426" s="0" t="n">
        <v>-0.00420704758551604</v>
      </c>
      <c r="D426" s="0" t="n">
        <v>-0.00350348801182853</v>
      </c>
      <c r="E426" s="0" t="n">
        <v>0.00439176742988101</v>
      </c>
      <c r="F426" s="0" t="n">
        <v>0.0203250767881648</v>
      </c>
      <c r="G426" s="0" t="n">
        <v>0.0132077716769622</v>
      </c>
      <c r="H426" s="0" t="n">
        <v>0.0146845378015281</v>
      </c>
      <c r="I426" s="0" t="n">
        <v>-0.0256973214405418</v>
      </c>
      <c r="J426" s="0" t="n">
        <v>0.00908274903378236</v>
      </c>
      <c r="K426" s="0" t="n">
        <v>0.0460911740693242</v>
      </c>
      <c r="L426" s="0" t="n">
        <v>0.0125225559010293</v>
      </c>
      <c r="M426" s="0" t="n">
        <v>0.00643092618540519</v>
      </c>
      <c r="N426" s="0" t="n">
        <v>-0.0108461343706331</v>
      </c>
      <c r="O426" s="0" t="n">
        <v>0.00420585288505526</v>
      </c>
      <c r="P426" s="0" t="n">
        <v>0.0278092014492101</v>
      </c>
      <c r="Q426" s="0" t="n">
        <v>0.00774600175504303</v>
      </c>
      <c r="R426" s="0" t="n">
        <v>0</v>
      </c>
      <c r="S426" s="0" t="n">
        <v>0.00693248509074972</v>
      </c>
      <c r="T426" s="0" t="n">
        <v>0.0223033936408878</v>
      </c>
      <c r="U426" s="0" t="n">
        <v>0.00416937957562701</v>
      </c>
      <c r="V426" s="0" t="n">
        <v>0.00159569666372849</v>
      </c>
      <c r="W426" s="0" t="n">
        <v>0.021549078023169</v>
      </c>
      <c r="X426" s="0" t="n">
        <v>0.0176995988281394</v>
      </c>
    </row>
    <row r="427">
      <c r="A427" s="5" t="n">
        <v>42989</v>
      </c>
      <c r="B427" s="0" t="n">
        <v>0.00619363284471674</v>
      </c>
      <c r="C427" s="0" t="n">
        <v>0.007978258650385589</v>
      </c>
      <c r="D427" s="0" t="n">
        <v>-0.00558252781420787</v>
      </c>
      <c r="E427" s="0" t="n">
        <v>0.0156525200163257</v>
      </c>
      <c r="F427" s="0" t="n">
        <v>0.024943171624344</v>
      </c>
      <c r="G427" s="0" t="n">
        <v>0.011183703270658</v>
      </c>
      <c r="H427" s="0" t="n">
        <v>-0.00804974549639503</v>
      </c>
      <c r="I427" s="0" t="n">
        <v>0</v>
      </c>
      <c r="J427" s="0" t="n">
        <v>0.0107914609893191</v>
      </c>
      <c r="K427" s="0" t="n">
        <v>0.0134230074446499</v>
      </c>
      <c r="L427" s="0" t="n">
        <v>0.00354924613231277</v>
      </c>
      <c r="M427" s="0" t="n">
        <v>0.030135707291357</v>
      </c>
      <c r="N427" s="0" t="n">
        <v>0.0411273150427691</v>
      </c>
      <c r="O427" s="0" t="n">
        <v>0.0144446023424036</v>
      </c>
      <c r="P427" s="0" t="n">
        <v>0.015698969714204</v>
      </c>
      <c r="Q427" s="0" t="n">
        <v>0.0303974485431204</v>
      </c>
      <c r="R427" s="0" t="n">
        <v>0.0334289413704018</v>
      </c>
      <c r="S427" s="0" t="n">
        <v>0.0131542951504033</v>
      </c>
      <c r="T427" s="0" t="n">
        <v>0.00681120979672877</v>
      </c>
      <c r="U427" s="0" t="n">
        <v>0.000159985941599494</v>
      </c>
      <c r="V427" s="0" t="n">
        <v>0.00477174808801894</v>
      </c>
      <c r="W427" s="0" t="n">
        <v>0.0178034605836376</v>
      </c>
      <c r="X427" s="0" t="n">
        <v>0.0197400804454375</v>
      </c>
    </row>
    <row r="428">
      <c r="A428" s="5" t="n">
        <v>42990</v>
      </c>
      <c r="B428" s="0" t="n">
        <v>0.00157676801359052</v>
      </c>
      <c r="C428" s="0" t="n">
        <v>0.00832985993345625</v>
      </c>
      <c r="D428" s="0" t="n">
        <v>0.00315920236801936</v>
      </c>
      <c r="E428" s="0" t="n">
        <v>0.00258507105801086</v>
      </c>
      <c r="F428" s="0" t="n">
        <v>0.0157417979472005</v>
      </c>
      <c r="G428" s="0" t="n">
        <v>0.00692681690777341</v>
      </c>
      <c r="H428" s="0" t="n">
        <v>0.00366698146303701</v>
      </c>
      <c r="I428" s="0" t="n">
        <v>-0.0293491069015279</v>
      </c>
      <c r="J428" s="0" t="n">
        <v>-0.0308834849356605</v>
      </c>
      <c r="K428" s="0" t="n">
        <v>-0.0371251405568892</v>
      </c>
      <c r="L428" s="0" t="n">
        <v>-0.0223923373891343</v>
      </c>
      <c r="M428" s="0" t="n">
        <v>-0.00880305435622474</v>
      </c>
      <c r="N428" s="0" t="n">
        <v>-0.0190180377746185</v>
      </c>
      <c r="O428" s="0" t="n">
        <v>0.00796600628498955</v>
      </c>
      <c r="P428" s="0" t="n">
        <v>0.0565235683615426</v>
      </c>
      <c r="Q428" s="0" t="n">
        <v>0.00149592084252692</v>
      </c>
      <c r="R428" s="0" t="n">
        <v>0.0078545690201901</v>
      </c>
      <c r="S428" s="0" t="n">
        <v>0.0124224811986763</v>
      </c>
      <c r="T428" s="0" t="n">
        <v>-0.00712186139777015</v>
      </c>
      <c r="U428" s="0" t="n">
        <v>0.000159960350192278</v>
      </c>
      <c r="V428" s="0" t="n">
        <v>-0.008605645388045421</v>
      </c>
      <c r="W428" s="0" t="n">
        <v>-0.00213531308261805</v>
      </c>
      <c r="X428" s="0" t="n">
        <v>0.008563669188140549</v>
      </c>
    </row>
    <row r="429">
      <c r="A429" s="5" t="n">
        <v>42991</v>
      </c>
      <c r="B429" s="0" t="n">
        <v>-0.0030872470506722</v>
      </c>
      <c r="C429" s="0" t="n">
        <v>0.00620225554631437</v>
      </c>
      <c r="D429" s="0" t="n">
        <v>0.00773417014988364</v>
      </c>
      <c r="E429" s="0" t="n">
        <v>-0.00517684203189583</v>
      </c>
      <c r="F429" s="0" t="n">
        <v>-0.00370600190084013</v>
      </c>
      <c r="G429" s="0" t="n">
        <v>-0.021866389522716</v>
      </c>
      <c r="H429" s="0" t="n">
        <v>0.00583942716390906</v>
      </c>
      <c r="I429" s="0" t="n">
        <v>0</v>
      </c>
      <c r="J429" s="0" t="n">
        <v>0.00368324185838941</v>
      </c>
      <c r="K429" s="0" t="n">
        <v>-0.0129991976050382</v>
      </c>
      <c r="L429" s="0" t="n">
        <v>-0.0275499696240473</v>
      </c>
      <c r="M429" s="0" t="n">
        <v>0.0189297405607469</v>
      </c>
      <c r="N429" s="0" t="n">
        <v>-0.00267018775697858</v>
      </c>
      <c r="O429" s="0" t="n">
        <v>-0.00631261999125509</v>
      </c>
      <c r="P429" s="0" t="n">
        <v>0.0242377362059524</v>
      </c>
      <c r="Q429" s="0" t="n">
        <v>0.00744600827221586</v>
      </c>
      <c r="R429" s="0" t="n">
        <v>-0.00531020362185241</v>
      </c>
      <c r="S429" s="0" t="n">
        <v>0.0254861986714693</v>
      </c>
      <c r="T429" s="0" t="n">
        <v>0.000310651601041378</v>
      </c>
      <c r="U429" s="0" t="n">
        <v>-0.00368618972699419</v>
      </c>
      <c r="V429" s="0" t="n">
        <v>0.00335542517494769</v>
      </c>
      <c r="W429" s="0" t="n">
        <v>-0.00330896981135619</v>
      </c>
      <c r="X429" s="0" t="n">
        <v>-0.00778209596959689</v>
      </c>
    </row>
    <row r="430">
      <c r="A430" s="5" t="n">
        <v>42992</v>
      </c>
      <c r="B430" s="0" t="n">
        <v>-0.00495927425289455</v>
      </c>
      <c r="C430" s="0" t="n">
        <v>-0.0136960333042832</v>
      </c>
      <c r="D430" s="0" t="n">
        <v>-0.00761283654066335</v>
      </c>
      <c r="E430" s="0" t="n">
        <v>0.00517684203189583</v>
      </c>
      <c r="F430" s="0" t="n">
        <v>0.00575893787130388</v>
      </c>
      <c r="G430" s="0" t="n">
        <v>0.0144760625732609</v>
      </c>
      <c r="H430" s="0" t="n">
        <v>0.0166009222471799</v>
      </c>
      <c r="I430" s="0" t="n">
        <v>-0.0134934808263533</v>
      </c>
      <c r="J430" s="0" t="n">
        <v>0.0127855933178575</v>
      </c>
      <c r="K430" s="0" t="n">
        <v>0.0317340964633514</v>
      </c>
      <c r="L430" s="0" t="n">
        <v>0.0101900473754077</v>
      </c>
      <c r="M430" s="0" t="n">
        <v>-0.0104094041930564</v>
      </c>
      <c r="N430" s="0" t="n">
        <v>0.0148622044041277</v>
      </c>
      <c r="O430" s="0" t="n">
        <v>0.0212483831539014</v>
      </c>
      <c r="P430" s="0" t="n">
        <v>0</v>
      </c>
      <c r="Q430" s="0" t="n">
        <v>0.0103322207935183</v>
      </c>
      <c r="R430" s="0" t="n">
        <v>0.00639286643907244</v>
      </c>
      <c r="S430" s="0" t="n">
        <v>0.00327687155960143</v>
      </c>
      <c r="T430" s="0" t="n">
        <v>0.00773638426527201</v>
      </c>
      <c r="U430" s="0" t="n">
        <v>0.00176466897429783</v>
      </c>
      <c r="V430" s="0" t="n">
        <v>-0.00335542517494769</v>
      </c>
      <c r="W430" s="0" t="n">
        <v>0.0071879654628062</v>
      </c>
      <c r="X430" s="0" t="n">
        <v>-0.00312988997264085</v>
      </c>
    </row>
    <row r="431">
      <c r="A431" s="5" t="n">
        <v>42993</v>
      </c>
      <c r="B431" s="0" t="n">
        <v>-0.00186615296082859</v>
      </c>
      <c r="C431" s="0" t="n">
        <v>0.021906210038451</v>
      </c>
      <c r="D431" s="0" t="n">
        <v>0.000969861886209955</v>
      </c>
      <c r="E431" s="0" t="n">
        <v>0.000860234795571734</v>
      </c>
      <c r="F431" s="0" t="n">
        <v>0.0130401848920702</v>
      </c>
      <c r="G431" s="0" t="n">
        <v>-0.00604508514090174</v>
      </c>
      <c r="H431" s="0" t="n">
        <v>0.000715511678164748</v>
      </c>
      <c r="I431" s="0" t="n">
        <v>-0.02135853351569</v>
      </c>
      <c r="J431" s="0" t="n">
        <v>-0.00545956026368799</v>
      </c>
      <c r="K431" s="0" t="n">
        <v>0.00180911326955424</v>
      </c>
      <c r="L431" s="0" t="n">
        <v>0.0055146707139535</v>
      </c>
      <c r="M431" s="0" t="n">
        <v>0.00535887975770821</v>
      </c>
      <c r="N431" s="0" t="n">
        <v>-0.0353924264756515</v>
      </c>
      <c r="O431" s="0" t="n">
        <v>0.008588343428850729</v>
      </c>
      <c r="P431" s="0" t="n">
        <v>0.0217915302026634</v>
      </c>
      <c r="Q431" s="0" t="n">
        <v>-0.0162846138299741</v>
      </c>
      <c r="R431" s="0" t="n">
        <v>0.00168187681694842</v>
      </c>
      <c r="S431" s="0" t="n">
        <v>0.004895313092105</v>
      </c>
      <c r="T431" s="0" t="n">
        <v>0.00246311184203396</v>
      </c>
      <c r="U431" s="0" t="n">
        <v>0.00272112184878636</v>
      </c>
      <c r="V431" s="0" t="n">
        <v>0.00351496160210107</v>
      </c>
      <c r="W431" s="0" t="n">
        <v>0.0201213887839761</v>
      </c>
      <c r="X431" s="0" t="n">
        <v>0.0255332957245455</v>
      </c>
    </row>
    <row r="432">
      <c r="A432" s="5" t="n">
        <v>42996</v>
      </c>
      <c r="B432" s="0" t="n">
        <v>-0.00110752181845708</v>
      </c>
      <c r="C432" s="0" t="n">
        <v>-0.0106864974985212</v>
      </c>
      <c r="D432" s="0" t="n">
        <v>-0.00961947492131454</v>
      </c>
      <c r="E432" s="0" t="n">
        <v>0.0077088305621733</v>
      </c>
      <c r="F432" s="0" t="n">
        <v>0.00645683611194813</v>
      </c>
      <c r="G432" s="0" t="n">
        <v>-0.0145645692016644</v>
      </c>
      <c r="H432" s="0" t="n">
        <v>-0.00645852257796786</v>
      </c>
      <c r="I432" s="0" t="n">
        <v>-0.009295177888952731</v>
      </c>
      <c r="J432" s="0" t="n">
        <v>-0.00182652636278657</v>
      </c>
      <c r="K432" s="0" t="n">
        <v>0.0254307353035873</v>
      </c>
      <c r="L432" s="0" t="n">
        <v>-0.0119872451488323</v>
      </c>
      <c r="M432" s="0" t="n">
        <v>-0.00281686028852368</v>
      </c>
      <c r="N432" s="0" t="n">
        <v>0.0113977347652332</v>
      </c>
      <c r="O432" s="0" t="n">
        <v>0.0208919655849681</v>
      </c>
      <c r="P432" s="0" t="n">
        <v>0.00187261331976928</v>
      </c>
      <c r="Q432" s="0" t="n">
        <v>0.0103935861777997</v>
      </c>
      <c r="R432" s="0" t="n">
        <v>-0.00252387718229485</v>
      </c>
      <c r="S432" s="0" t="n">
        <v>-0.0153092485471302</v>
      </c>
      <c r="T432" s="0" t="n">
        <v>-0.000922897413948131</v>
      </c>
      <c r="U432" s="0" t="n">
        <v>-0.0052889269635088</v>
      </c>
      <c r="V432" s="0" t="n">
        <v>0.00366154258132223</v>
      </c>
      <c r="W432" s="0" t="n">
        <v>0.012256239547765</v>
      </c>
      <c r="X432" s="0" t="n">
        <v>0.0121489608535938</v>
      </c>
    </row>
    <row r="433">
      <c r="A433" s="5" t="n">
        <v>42997</v>
      </c>
      <c r="B433" s="0" t="n">
        <v>0.0102664316558875</v>
      </c>
      <c r="C433" s="0" t="n">
        <v>0.00494644294451518</v>
      </c>
      <c r="D433" s="0" t="n">
        <v>0.00354190643418661</v>
      </c>
      <c r="E433" s="0" t="n">
        <v>-0.0008536260656275549</v>
      </c>
      <c r="F433" s="0" t="n">
        <v>0.008012817522648151</v>
      </c>
      <c r="G433" s="0" t="n">
        <v>-0.0157408418828501</v>
      </c>
      <c r="H433" s="0" t="n">
        <v>-0.00432900684493686</v>
      </c>
      <c r="I433" s="0" t="n">
        <v>-0.00624513513633839</v>
      </c>
      <c r="J433" s="0" t="n">
        <v>0.00546951416072438</v>
      </c>
      <c r="K433" s="0" t="n">
        <v>0.00877197781718708</v>
      </c>
      <c r="L433" s="0" t="n">
        <v>-0.0177823666880971</v>
      </c>
      <c r="M433" s="0" t="n">
        <v>0.0151178942282701</v>
      </c>
      <c r="N433" s="0" t="n">
        <v>0.00752688428692671</v>
      </c>
      <c r="O433" s="0" t="n">
        <v>0.00574117501943849</v>
      </c>
      <c r="P433" s="0" t="n">
        <v>0.0385368869656459</v>
      </c>
      <c r="Q433" s="0" t="n">
        <v>0.00735841291883065</v>
      </c>
      <c r="R433" s="0" t="n">
        <v>-0.0293061460396213</v>
      </c>
      <c r="S433" s="0" t="n">
        <v>-0.00663346439451872</v>
      </c>
      <c r="T433" s="0" t="n">
        <v>0.00337984022452397</v>
      </c>
      <c r="U433" s="0" t="n">
        <v>-0.0163632377682496</v>
      </c>
      <c r="V433" s="0" t="n">
        <v>0.008859437230778861</v>
      </c>
      <c r="W433" s="0" t="n">
        <v>0.00728225396203141</v>
      </c>
      <c r="X433" s="0" t="n">
        <v>0.00826758997845722</v>
      </c>
    </row>
    <row r="434">
      <c r="A434" s="5" t="n">
        <v>42998</v>
      </c>
      <c r="B434" s="0" t="n">
        <v>-0.00425919704997213</v>
      </c>
      <c r="C434" s="0" t="n">
        <v>0.0175264384089177</v>
      </c>
      <c r="D434" s="0" t="n">
        <v>0.0158455713319698</v>
      </c>
      <c r="E434" s="0" t="n">
        <v>0.0008536260656275549</v>
      </c>
      <c r="F434" s="0" t="n">
        <v>0.00398249761077407</v>
      </c>
      <c r="G434" s="0" t="n">
        <v>-0.0282807703938945</v>
      </c>
      <c r="H434" s="0" t="n">
        <v>-0.00362192843106168</v>
      </c>
      <c r="I434" s="0" t="n">
        <v>-0.00235207371283996</v>
      </c>
      <c r="J434" s="0" t="n">
        <v>-0.00181987840766728</v>
      </c>
      <c r="K434" s="0" t="n">
        <v>-0.0265502068829212</v>
      </c>
      <c r="L434" s="0" t="n">
        <v>-0.0258264435398722</v>
      </c>
      <c r="M434" s="0" t="n">
        <v>-0.000555877083737943</v>
      </c>
      <c r="N434" s="0" t="n">
        <v>-0.009687928619726449</v>
      </c>
      <c r="O434" s="0" t="n">
        <v>-0.00547944176685089</v>
      </c>
      <c r="P434" s="0" t="n">
        <v>0.0169571698480863</v>
      </c>
      <c r="Q434" s="0" t="n">
        <v>-0.0117996060601746</v>
      </c>
      <c r="R434" s="0" t="n">
        <v>-0.0142271141604028</v>
      </c>
      <c r="S434" s="0" t="n">
        <v>0</v>
      </c>
      <c r="T434" s="0" t="n">
        <v>0.00306285966812991</v>
      </c>
      <c r="U434" s="0" t="n">
        <v>0.00456322135559261</v>
      </c>
      <c r="V434" s="0" t="n">
        <v>-0.00252326017781889</v>
      </c>
      <c r="W434" s="0" t="n">
        <v>0.0057508992436186</v>
      </c>
      <c r="X434" s="0" t="n">
        <v>0.002989536078287</v>
      </c>
    </row>
    <row r="435">
      <c r="A435" s="5" t="n">
        <v>42999</v>
      </c>
      <c r="B435" s="0" t="n">
        <v>-0.000895276235262976</v>
      </c>
      <c r="C435" s="0" t="n">
        <v>0.0048367872663686</v>
      </c>
      <c r="D435" s="0" t="n">
        <v>0.00693618915762783</v>
      </c>
      <c r="E435" s="0" t="n">
        <v>0.0101868354104559</v>
      </c>
      <c r="F435" s="0" t="n">
        <v>-0.0055799024328631</v>
      </c>
      <c r="G435" s="0" t="n">
        <v>-0.00346791017240377</v>
      </c>
      <c r="H435" s="0" t="n">
        <v>0.00723068276190419</v>
      </c>
      <c r="I435" s="0" t="n">
        <v>0.0101523805375571</v>
      </c>
      <c r="J435" s="0" t="n">
        <v>0.009066280042699271</v>
      </c>
      <c r="K435" s="0" t="n">
        <v>0.0133632150392364</v>
      </c>
      <c r="L435" s="0" t="n">
        <v>-0.0156253033502773</v>
      </c>
      <c r="M435" s="0" t="n">
        <v>-0.000278107500417235</v>
      </c>
      <c r="N435" s="0" t="n">
        <v>0.00270057649855148</v>
      </c>
      <c r="O435" s="0" t="n">
        <v>0.009634208752621991</v>
      </c>
      <c r="P435" s="0" t="n">
        <v>-0.00443461394705702</v>
      </c>
      <c r="Q435" s="0" t="n">
        <v>0.0161887473863953</v>
      </c>
      <c r="R435" s="0" t="n">
        <v>0.000879448478134925</v>
      </c>
      <c r="S435" s="0" t="n">
        <v>-0.00891369916413298</v>
      </c>
      <c r="T435" s="0" t="n">
        <v>0.0202821595203448</v>
      </c>
      <c r="U435" s="0" t="n">
        <v>0.015969395988284</v>
      </c>
      <c r="V435" s="0" t="n">
        <v>0.000473577697993832</v>
      </c>
      <c r="W435" s="0" t="n">
        <v>0.00350842616917823</v>
      </c>
      <c r="X435" s="0" t="n">
        <v>-0.000746493145658888</v>
      </c>
    </row>
    <row r="436">
      <c r="A436" s="5" t="n">
        <v>43000</v>
      </c>
      <c r="B436" s="0" t="n">
        <v>0.00508585449771903</v>
      </c>
      <c r="C436" s="0" t="n">
        <v>0.00960387275809271</v>
      </c>
      <c r="D436" s="0" t="n">
        <v>0.00866212137356292</v>
      </c>
      <c r="E436" s="0" t="n">
        <v>0.00841043047732803</v>
      </c>
      <c r="F436" s="0" t="n">
        <v>-0.0104460662742638</v>
      </c>
      <c r="G436" s="0" t="n">
        <v>-0.0104764781442692</v>
      </c>
      <c r="H436" s="0" t="n">
        <v>-0.0218508124569796</v>
      </c>
      <c r="I436" s="0" t="n">
        <v>0.014655143262233</v>
      </c>
      <c r="J436" s="0" t="n">
        <v>-0.00724640163503198</v>
      </c>
      <c r="K436" s="0" t="n">
        <v>0.0175442931386567</v>
      </c>
      <c r="L436" s="0" t="n">
        <v>-0.0309869332199546</v>
      </c>
      <c r="M436" s="0" t="n">
        <v>-0.0125928844562603</v>
      </c>
      <c r="N436" s="0" t="n">
        <v>0.0422448883960022</v>
      </c>
      <c r="O436" s="0" t="n">
        <v>0.0136406383594511</v>
      </c>
      <c r="P436" s="0" t="n">
        <v>0.0158733758558331</v>
      </c>
      <c r="Q436" s="0" t="n">
        <v>-0.0147061334674425</v>
      </c>
      <c r="R436" s="0" t="n">
        <v>0.0216158166852471</v>
      </c>
      <c r="S436" s="0" t="n">
        <v>-0.014656418967105</v>
      </c>
      <c r="T436" s="0" t="n">
        <v>0.0104339085797802</v>
      </c>
      <c r="U436" s="0" t="n">
        <v>0.0205898818053151</v>
      </c>
      <c r="V436" s="0" t="n">
        <v>-0.00268671808660769</v>
      </c>
      <c r="W436" s="0" t="n">
        <v>-0.00406356715765632</v>
      </c>
      <c r="X436" s="0" t="n">
        <v>-0.000747122090101193</v>
      </c>
    </row>
    <row r="437">
      <c r="A437" s="5" t="n">
        <v>43003</v>
      </c>
      <c r="B437" s="0" t="n">
        <v>0.00471910364335848</v>
      </c>
      <c r="C437" s="0" t="n">
        <v>-0.00719426365597364</v>
      </c>
      <c r="D437" s="0" t="n">
        <v>-0.00497452367084072</v>
      </c>
      <c r="E437" s="0" t="n">
        <v>-0.000837811130318666</v>
      </c>
      <c r="F437" s="0" t="n">
        <v>0.00201731911739644</v>
      </c>
      <c r="G437" s="0" t="n">
        <v>0.0124596674594137</v>
      </c>
      <c r="H437" s="0" t="n">
        <v>0.00147166921725583</v>
      </c>
      <c r="I437" s="0" t="n">
        <v>-0.0138784264168281</v>
      </c>
      <c r="J437" s="0" t="n">
        <v>-0.0109690208521073</v>
      </c>
      <c r="K437" s="0" t="n">
        <v>-0.008733671785050461</v>
      </c>
      <c r="L437" s="0" t="n">
        <v>0.00506322469636</v>
      </c>
      <c r="M437" s="0" t="n">
        <v>-0.00593135736132</v>
      </c>
      <c r="N437" s="0" t="n">
        <v>0.00103361545994928</v>
      </c>
      <c r="O437" s="0" t="n">
        <v>-0.0102775239282575</v>
      </c>
      <c r="P437" s="0" t="n">
        <v>0.0121740103228504</v>
      </c>
      <c r="Q437" s="0" t="n">
        <v>-0.0164305615036872</v>
      </c>
      <c r="R437" s="0" t="n">
        <v>0.00343514964171998</v>
      </c>
      <c r="S437" s="0" t="n">
        <v>0.00226880459880263</v>
      </c>
      <c r="T437" s="0" t="n">
        <v>0.00118545067532238</v>
      </c>
      <c r="U437" s="0" t="n">
        <v>0.0113787486215857</v>
      </c>
      <c r="V437" s="0" t="n">
        <v>-0.0041230366643461</v>
      </c>
      <c r="W437" s="0" t="n">
        <v>-0.00426597227620462</v>
      </c>
      <c r="X437" s="0" t="n">
        <v>0.00521802861360187</v>
      </c>
    </row>
    <row r="438">
      <c r="A438" s="5" t="n">
        <v>43004</v>
      </c>
      <c r="B438" s="0" t="n">
        <v>-0.00615972033649558</v>
      </c>
      <c r="C438" s="0" t="n">
        <v>-0.0227190367222398</v>
      </c>
      <c r="D438" s="0" t="n">
        <v>0.00509268937688389</v>
      </c>
      <c r="E438" s="0" t="n">
        <v>0.00167500072608373</v>
      </c>
      <c r="F438" s="0" t="n">
        <v>0.0238960151492317</v>
      </c>
      <c r="G438" s="0" t="n">
        <v>0.0019791697753555</v>
      </c>
      <c r="H438" s="0" t="n">
        <v>-0.00589971652563781</v>
      </c>
      <c r="I438" s="0" t="n">
        <v>-0.0125001506565651</v>
      </c>
      <c r="J438" s="0" t="n">
        <v>0.0164087820879519</v>
      </c>
      <c r="K438" s="0" t="n">
        <v>-0.0154699601996967</v>
      </c>
      <c r="L438" s="0" t="n">
        <v>0.00904985114111944</v>
      </c>
      <c r="M438" s="0" t="n">
        <v>0.00424033217346542</v>
      </c>
      <c r="N438" s="0" t="n">
        <v>-0.00258604459148026</v>
      </c>
      <c r="O438" s="0" t="n">
        <v>0.00129046955520051</v>
      </c>
      <c r="P438" s="0" t="n">
        <v>0.0196840328064773</v>
      </c>
      <c r="Q438" s="0" t="n">
        <v>-0.00755857171187579</v>
      </c>
      <c r="R438" s="0" t="n">
        <v>-0.00220696879850113</v>
      </c>
      <c r="S438" s="0" t="n">
        <v>0.0151816500379693</v>
      </c>
      <c r="T438" s="0" t="n">
        <v>-0.008328388061612291</v>
      </c>
      <c r="U438" s="0" t="n">
        <v>-0.00170624381263628</v>
      </c>
      <c r="V438" s="0" t="n">
        <v>0.000317770221834656</v>
      </c>
      <c r="W438" s="0" t="n">
        <v>0.00759192339700609</v>
      </c>
      <c r="X438" s="0" t="n">
        <v>0.0220597322457631</v>
      </c>
    </row>
    <row r="439">
      <c r="A439" s="5" t="n">
        <v>43005</v>
      </c>
      <c r="B439" s="0" t="n">
        <v>0</v>
      </c>
      <c r="C439" s="0" t="n">
        <v>-0.00534870660389907</v>
      </c>
      <c r="D439" s="0" t="n">
        <v>0.00412612988543248</v>
      </c>
      <c r="E439" s="0" t="n">
        <v>0.000836489295588549</v>
      </c>
      <c r="F439" s="0" t="n">
        <v>0.00157298164746633</v>
      </c>
      <c r="G439" s="0" t="n">
        <v>0.00148188156607309</v>
      </c>
      <c r="H439" s="0" t="n">
        <v>-0.00148038375967329</v>
      </c>
      <c r="I439" s="0" t="n">
        <v>0.00313971694928483</v>
      </c>
      <c r="J439" s="0" t="n">
        <v>-0.0164087820879519</v>
      </c>
      <c r="K439" s="0" t="n">
        <v>-0.00222960009388317</v>
      </c>
      <c r="L439" s="0" t="n">
        <v>-0.00501759129584522</v>
      </c>
      <c r="M439" s="0" t="n">
        <v>0.00422232049651594</v>
      </c>
      <c r="N439" s="0" t="n">
        <v>-0.00519213966180309</v>
      </c>
      <c r="O439" s="0" t="n">
        <v>0.00694002150589945</v>
      </c>
      <c r="P439" s="0" t="n">
        <v>-0.00339558570236864</v>
      </c>
      <c r="Q439" s="0" t="n">
        <v>-0.00456277743550881</v>
      </c>
      <c r="R439" s="0" t="n">
        <v>-0.00258095245760614</v>
      </c>
      <c r="S439" s="0" t="n">
        <v>0.0027862507805505</v>
      </c>
      <c r="T439" s="0" t="n">
        <v>-0.00389050534038304</v>
      </c>
      <c r="U439" s="0" t="n">
        <v>-0.00342148405727638</v>
      </c>
      <c r="V439" s="0" t="n">
        <v>0.000952644705736638</v>
      </c>
      <c r="W439" s="0" t="n">
        <v>0.000737616036854849</v>
      </c>
      <c r="X439" s="0" t="n">
        <v>0.008689401963192451</v>
      </c>
    </row>
    <row r="440">
      <c r="A440" s="5" t="n">
        <v>43006</v>
      </c>
      <c r="B440" s="0" t="n">
        <v>-0.0039898368955562</v>
      </c>
      <c r="C440" s="0" t="n">
        <v>-0.0024782845400666</v>
      </c>
      <c r="D440" s="0" t="n">
        <v>0.00633285701136099</v>
      </c>
      <c r="E440" s="0" t="n">
        <v>0.000835790166020977</v>
      </c>
      <c r="F440" s="0" t="n">
        <v>-0.00433159205989142</v>
      </c>
      <c r="G440" s="0" t="n">
        <v>-0.009920754206987681</v>
      </c>
      <c r="H440" s="0" t="n">
        <v>0.0147061334674423</v>
      </c>
      <c r="I440" s="0" t="n">
        <v>0.0155523980134759</v>
      </c>
      <c r="J440" s="0" t="n">
        <v>0.0145987854473443</v>
      </c>
      <c r="K440" s="0" t="n">
        <v>-0.00447427609926287</v>
      </c>
      <c r="L440" s="0" t="n">
        <v>0.0129936979715084</v>
      </c>
      <c r="M440" s="0" t="n">
        <v>0.00280511516022974</v>
      </c>
      <c r="N440" s="0" t="n">
        <v>-0.0162690272395575</v>
      </c>
      <c r="O440" s="0" t="n">
        <v>0.00332431593548543</v>
      </c>
      <c r="P440" s="0" t="n">
        <v>0.00169919362223858</v>
      </c>
      <c r="Q440" s="0" t="n">
        <v>0.00456277743550881</v>
      </c>
      <c r="R440" s="0" t="n">
        <v>0.000738068158956828</v>
      </c>
      <c r="S440" s="0" t="n">
        <v>-0.0039029710492584</v>
      </c>
      <c r="T440" s="0" t="n">
        <v>0.00836083090482242</v>
      </c>
      <c r="U440" s="0" t="n">
        <v>-0.0120682331194252</v>
      </c>
      <c r="V440" s="0" t="n">
        <v>0.0115189180063497</v>
      </c>
      <c r="W440" s="0" t="n">
        <v>0.0164537809467377</v>
      </c>
      <c r="X440" s="0" t="n">
        <v>0.00646787399104464</v>
      </c>
    </row>
    <row r="441">
      <c r="A441" s="5" t="n">
        <v>43007</v>
      </c>
      <c r="B441" s="0" t="n">
        <v>0.0108316806000141</v>
      </c>
      <c r="C441" s="0" t="n">
        <v>0.0160003413464409</v>
      </c>
      <c r="D441" s="0" t="n">
        <v>0.00942467342014818</v>
      </c>
      <c r="E441" s="0" t="n">
        <v>0.00997513536964866</v>
      </c>
      <c r="F441" s="0" t="n">
        <v>0.0109891483109363</v>
      </c>
      <c r="G441" s="0" t="n">
        <v>-0.00499753089556387</v>
      </c>
      <c r="H441" s="0" t="n">
        <v>0.0050965270722858</v>
      </c>
      <c r="I441" s="0" t="n">
        <v>0.0130320031631248</v>
      </c>
      <c r="J441" s="0" t="n">
        <v>-0.003629764595237</v>
      </c>
      <c r="K441" s="0" t="n">
        <v>0.0212963220745727</v>
      </c>
      <c r="L441" s="0" t="n">
        <v>-0.000993470042036648</v>
      </c>
      <c r="M441" s="0" t="n">
        <v>0.0103107762983474</v>
      </c>
      <c r="N441" s="0" t="n">
        <v>0.0219789111065109</v>
      </c>
      <c r="O441" s="0" t="n">
        <v>-0.00153289655793908</v>
      </c>
      <c r="P441" s="0" t="n">
        <v>-0.0119556837570868</v>
      </c>
      <c r="Q441" s="0" t="n">
        <v>-0.0122138802898981</v>
      </c>
      <c r="R441" s="0" t="n">
        <v>-0.00678641711480398</v>
      </c>
      <c r="S441" s="0" t="n">
        <v>0.0275499523473379</v>
      </c>
      <c r="T441" s="0" t="n">
        <v>0.0035618598055751</v>
      </c>
      <c r="U441" s="0" t="n">
        <v>-0.008233052273118879</v>
      </c>
      <c r="V441" s="0" t="n">
        <v>0.0127826508233992</v>
      </c>
      <c r="W441" s="0" t="n">
        <v>0.00578558270638218</v>
      </c>
      <c r="X441" s="0" t="n">
        <v>0.00571429581382654</v>
      </c>
    </row>
    <row r="442">
      <c r="A442" s="5" t="n">
        <v>43010</v>
      </c>
      <c r="B442" s="0" t="n">
        <v>0.0008178511646512729</v>
      </c>
      <c r="C442" s="0" t="n">
        <v>0.00931744202689843</v>
      </c>
      <c r="D442" s="0" t="n">
        <v>0.00115738990663061</v>
      </c>
      <c r="E442" s="0" t="n">
        <v>0.0204673535948471</v>
      </c>
      <c r="F442" s="0" t="n">
        <v>0.009324067720308801</v>
      </c>
      <c r="G442" s="0" t="n">
        <v>0.0296171895961854</v>
      </c>
      <c r="H442" s="0" t="n">
        <v>0.0314535988094131</v>
      </c>
      <c r="I442" s="0" t="n">
        <v>0.00455923788528522</v>
      </c>
      <c r="J442" s="0" t="n">
        <v>0.0180184884727796</v>
      </c>
      <c r="K442" s="0" t="n">
        <v>0.00525388480834843</v>
      </c>
      <c r="L442" s="0" t="n">
        <v>0.0245471323458446</v>
      </c>
      <c r="M442" s="0" t="n">
        <v>0.00193878182075613</v>
      </c>
      <c r="N442" s="0" t="n">
        <v>0.0435512170596239</v>
      </c>
      <c r="O442" s="0" t="n">
        <v>0.00941599859701058</v>
      </c>
      <c r="P442" s="0" t="n">
        <v>-0.00171973022322413</v>
      </c>
      <c r="Q442" s="0" t="n">
        <v>0.0376834325341546</v>
      </c>
      <c r="R442" s="0" t="n">
        <v>0.00173190318869931</v>
      </c>
      <c r="S442" s="0" t="n">
        <v>0.00162914435748495</v>
      </c>
      <c r="T442" s="0" t="n">
        <v>0.00295853696208059</v>
      </c>
      <c r="U442" s="0" t="n">
        <v>0.00744435851500568</v>
      </c>
      <c r="V442" s="0" t="n">
        <v>-0.00419087375142801</v>
      </c>
      <c r="W442" s="0" t="n">
        <v>0.00198110118515693</v>
      </c>
      <c r="X442" s="0" t="n">
        <v>-0.0100215831878633</v>
      </c>
    </row>
    <row r="443">
      <c r="A443" s="5" t="n">
        <v>43011</v>
      </c>
      <c r="B443" s="0" t="n">
        <v>-0.00204598760165009</v>
      </c>
      <c r="C443" s="0" t="n">
        <v>-0.0129871646826953</v>
      </c>
      <c r="D443" s="0" t="n">
        <v>0.00588205545635389</v>
      </c>
      <c r="E443" s="0" t="n">
        <v>-0.00324675295727772</v>
      </c>
      <c r="F443" s="0" t="n">
        <v>-0.00581741127783841</v>
      </c>
      <c r="G443" s="0" t="n">
        <v>-0.00146015013459965</v>
      </c>
      <c r="H443" s="0" t="n">
        <v>-0.000704027198425549</v>
      </c>
      <c r="I443" s="0" t="n">
        <v>0.00529306710281218</v>
      </c>
      <c r="J443" s="0" t="n">
        <v>0.0229489533441493</v>
      </c>
      <c r="K443" s="0" t="n">
        <v>0.0215990917817465</v>
      </c>
      <c r="L443" s="0" t="n">
        <v>0.00580267247682897</v>
      </c>
      <c r="M443" s="0" t="n">
        <v>-0.00499308413173427</v>
      </c>
      <c r="N443" s="0" t="n">
        <v>-0.00446984362608882</v>
      </c>
      <c r="O443" s="0" t="n">
        <v>0.000506468936619874</v>
      </c>
      <c r="P443" s="0" t="n">
        <v>-0.0129927871532418</v>
      </c>
      <c r="Q443" s="0" t="n">
        <v>-0.011904962062389</v>
      </c>
      <c r="R443" s="0" t="n">
        <v>-0.0104362228080843</v>
      </c>
      <c r="S443" s="0" t="n">
        <v>0.00433135071033907</v>
      </c>
      <c r="T443" s="0" t="n">
        <v>-0.0121862071314344</v>
      </c>
      <c r="U443" s="0" t="n">
        <v>0.00189189313886295</v>
      </c>
      <c r="V443" s="0" t="n">
        <v>0.00697510310684279</v>
      </c>
      <c r="W443" s="0" t="n">
        <v>-0.0112178260028183</v>
      </c>
      <c r="X443" s="0" t="n">
        <v>-0.0101229635537287</v>
      </c>
    </row>
    <row r="444">
      <c r="A444" s="5" t="n">
        <v>43012</v>
      </c>
      <c r="B444" s="0" t="n">
        <v>0.00163714562938821</v>
      </c>
      <c r="C444" s="0" t="n">
        <v>0.00244795053377266</v>
      </c>
      <c r="D444" s="0" t="n">
        <v>0.007903396491205861</v>
      </c>
      <c r="E444" s="0" t="n">
        <v>-0.00407334089453481</v>
      </c>
      <c r="F444" s="0" t="n">
        <v>0.0162040617468797</v>
      </c>
      <c r="G444" s="0" t="n">
        <v>0.00824647265150213</v>
      </c>
      <c r="H444" s="0" t="n">
        <v>0.009810961469333799</v>
      </c>
      <c r="I444" s="0" t="n">
        <v>0</v>
      </c>
      <c r="J444" s="0" t="n">
        <v>0.00174363640123575</v>
      </c>
      <c r="K444" s="0" t="n">
        <v>0.0548765998391643</v>
      </c>
      <c r="L444" s="0" t="n">
        <v>-0.0175102051502986</v>
      </c>
      <c r="M444" s="0" t="n">
        <v>0.00111175431229426</v>
      </c>
      <c r="N444" s="0" t="n">
        <v>-0.00349038966966652</v>
      </c>
      <c r="O444" s="0" t="n">
        <v>0.000253090034147085</v>
      </c>
      <c r="P444" s="0" t="n">
        <v>-0.000872239806607666</v>
      </c>
      <c r="Q444" s="0" t="n">
        <v>0</v>
      </c>
      <c r="R444" s="0" t="n">
        <v>0.0103125946525626</v>
      </c>
      <c r="S444" s="0" t="n">
        <v>-0.00759219403868272</v>
      </c>
      <c r="T444" s="0" t="n">
        <v>0.0044756610176746</v>
      </c>
      <c r="U444" s="0" t="n">
        <v>0.00502749978275041</v>
      </c>
      <c r="V444" s="0" t="n">
        <v>-0.01462603710858</v>
      </c>
      <c r="W444" s="0" t="n">
        <v>0.00779342976982011</v>
      </c>
      <c r="X444" s="0" t="n">
        <v>0.0144302509277656</v>
      </c>
    </row>
    <row r="445">
      <c r="A445" s="5" t="n">
        <v>43013</v>
      </c>
      <c r="B445" s="0" t="n">
        <v>-0.00163714562938821</v>
      </c>
      <c r="C445" s="0" t="n">
        <v>-0.00613118967090242</v>
      </c>
      <c r="D445" s="0" t="n">
        <v>-0.00652437138239925</v>
      </c>
      <c r="E445" s="0" t="n">
        <v>0.00488603729309078</v>
      </c>
      <c r="F445" s="0" t="n">
        <v>0.00305693498995385</v>
      </c>
      <c r="G445" s="0" t="n">
        <v>-0.00338745072538371</v>
      </c>
      <c r="H445" s="0" t="n">
        <v>-0.014045261760899</v>
      </c>
      <c r="I445" s="0" t="n">
        <v>0.00301204754988537</v>
      </c>
      <c r="J445" s="0" t="n">
        <v>-0.00174363640123575</v>
      </c>
      <c r="K445" s="0" t="n">
        <v>-0.0212599208339742</v>
      </c>
      <c r="L445" s="0" t="n">
        <v>-0.0059054764975488</v>
      </c>
      <c r="M445" s="0" t="n">
        <v>0.00138790411147882</v>
      </c>
      <c r="N445" s="0" t="n">
        <v>-0.0009995231984016859</v>
      </c>
      <c r="O445" s="0" t="n">
        <v>-0.0235605824376174</v>
      </c>
      <c r="P445" s="0" t="n">
        <v>-0.0202739866275196</v>
      </c>
      <c r="Q445" s="0" t="n">
        <v>-0.0105342877882974</v>
      </c>
      <c r="R445" s="0" t="n">
        <v>-0.050447946009827</v>
      </c>
      <c r="S445" s="0" t="n">
        <v>-0.00929730890953139</v>
      </c>
      <c r="T445" s="0" t="n">
        <v>0.00475200915167928</v>
      </c>
      <c r="U445" s="0" t="n">
        <v>-0.0199437146861729</v>
      </c>
      <c r="V445" s="0" t="n">
        <v>0.0157066963769691</v>
      </c>
      <c r="W445" s="0" t="n">
        <v>0.00342439623299828</v>
      </c>
      <c r="X445" s="0" t="n">
        <v>-0.00430728737403685</v>
      </c>
    </row>
    <row r="446">
      <c r="A446" s="5" t="n">
        <v>43014</v>
      </c>
      <c r="B446" s="0" t="n">
        <v>0.00619325950888427</v>
      </c>
      <c r="C446" s="0" t="n">
        <v>-0.0401559461704543</v>
      </c>
      <c r="D446" s="0" t="n">
        <v>-0.00034455612189177</v>
      </c>
      <c r="E446" s="0" t="n">
        <v>0.00243405655872175</v>
      </c>
      <c r="F446" s="0" t="n">
        <v>-0.0138303666933672</v>
      </c>
      <c r="G446" s="0" t="n">
        <v>-0.0166180874430983</v>
      </c>
      <c r="H446" s="0" t="n">
        <v>-0.0214446905424265</v>
      </c>
      <c r="I446" s="0" t="n">
        <v>0.00599701368453997</v>
      </c>
      <c r="J446" s="0" t="n">
        <v>-0.00174676534342976</v>
      </c>
      <c r="K446" s="0" t="n">
        <v>0.0365151776491751</v>
      </c>
      <c r="L446" s="0" t="n">
        <v>-0.032099013206166</v>
      </c>
      <c r="M446" s="0" t="n">
        <v>0.00249342570796118</v>
      </c>
      <c r="N446" s="0" t="n">
        <v>0.00498756048963233</v>
      </c>
      <c r="O446" s="0" t="n">
        <v>-0.00754330323709595</v>
      </c>
      <c r="P446" s="0" t="n">
        <v>0.00798231782826519</v>
      </c>
      <c r="Q446" s="0" t="n">
        <v>-0.00606981543786333</v>
      </c>
      <c r="R446" s="0" t="n">
        <v>-0.0346549041187467</v>
      </c>
      <c r="S446" s="0" t="n">
        <v>0.013642775835768</v>
      </c>
      <c r="T446" s="0" t="n">
        <v>0.000296202691597802</v>
      </c>
      <c r="U446" s="0" t="n">
        <v>0.0161754314320452</v>
      </c>
      <c r="V446" s="0" t="n">
        <v>-0.0102357599216604</v>
      </c>
      <c r="W446" s="0" t="n">
        <v>-0.00794806273232051</v>
      </c>
      <c r="X446" s="0" t="n">
        <v>-0.00360355251649302</v>
      </c>
    </row>
    <row r="447">
      <c r="A447" s="5" t="n">
        <v>43017</v>
      </c>
      <c r="B447" s="0" t="n">
        <v>0.00750282753515296</v>
      </c>
      <c r="C447" s="0" t="n">
        <v>-0.00299212714169616</v>
      </c>
      <c r="D447" s="0" t="n">
        <v>-0.0102766259200022</v>
      </c>
      <c r="E447" s="0" t="n">
        <v>0.00404369250816749</v>
      </c>
      <c r="F447" s="0" t="n">
        <v>0.00308999560830169</v>
      </c>
      <c r="G447" s="0" t="n">
        <v>0.0117590655169799</v>
      </c>
      <c r="H447" s="0" t="n">
        <v>0.0207372780344732</v>
      </c>
      <c r="I447" s="0" t="n">
        <v>-0.00599701368453997</v>
      </c>
      <c r="J447" s="0" t="n">
        <v>-0.0123132066743836</v>
      </c>
      <c r="K447" s="0" t="n">
        <v>-0.0531822135763918</v>
      </c>
      <c r="L447" s="0" t="n">
        <v>0.00101877493775681</v>
      </c>
      <c r="M447" s="0" t="n">
        <v>0.00716854828689417</v>
      </c>
      <c r="N447" s="0" t="n">
        <v>0.0108857736481646</v>
      </c>
      <c r="O447" s="0" t="n">
        <v>0.00520836502722898</v>
      </c>
      <c r="P447" s="0" t="n">
        <v>0.00440725188123503</v>
      </c>
      <c r="Q447" s="0" t="n">
        <v>0.0255460323409035</v>
      </c>
      <c r="R447" s="0" t="n">
        <v>0.00550294693612585</v>
      </c>
      <c r="S447" s="0" t="n">
        <v>0.00324672711244611</v>
      </c>
      <c r="T447" s="0" t="n">
        <v>-0.00623977933281727</v>
      </c>
      <c r="U447" s="0" t="n">
        <v>0.0223994809287138</v>
      </c>
      <c r="V447" s="0" t="n">
        <v>0.0151611155397883</v>
      </c>
      <c r="W447" s="0" t="n">
        <v>0.008487657648519329</v>
      </c>
      <c r="X447" s="0" t="n">
        <v>0.009342443885193671</v>
      </c>
    </row>
    <row r="448">
      <c r="A448" s="5" t="n">
        <v>43018</v>
      </c>
      <c r="B448" s="0" t="n">
        <v>-0.00594358697775199</v>
      </c>
      <c r="C448" s="0" t="n">
        <v>-0.0124921123129797</v>
      </c>
      <c r="D448" s="0" t="n">
        <v>-0.00116137630992252</v>
      </c>
      <c r="E448" s="0" t="n">
        <v>-0.000807446850250137</v>
      </c>
      <c r="F448" s="0" t="n">
        <v>-0.0038640071657352</v>
      </c>
      <c r="G448" s="0" t="n">
        <v>0.0121037542378577</v>
      </c>
      <c r="H448" s="0" t="n">
        <v>0.0035322705750751</v>
      </c>
      <c r="I448" s="0" t="n">
        <v>0.00450109284201305</v>
      </c>
      <c r="J448" s="0" t="n">
        <v>0.0123132066743836</v>
      </c>
      <c r="K448" s="0" t="n">
        <v>0.012526247349155</v>
      </c>
      <c r="L448" s="0" t="n">
        <v>-0.00305963864351621</v>
      </c>
      <c r="M448" s="0" t="n">
        <v>0.00137266282334636</v>
      </c>
      <c r="N448" s="0" t="n">
        <v>-0.00246362464457039</v>
      </c>
      <c r="O448" s="0" t="n">
        <v>-0.008084576015754401</v>
      </c>
      <c r="P448" s="0" t="n">
        <v>0.0148409600770431</v>
      </c>
      <c r="Q448" s="0" t="n">
        <v>0.00739104498700804</v>
      </c>
      <c r="R448" s="0" t="n">
        <v>-0.0109010911312514</v>
      </c>
      <c r="S448" s="0" t="n">
        <v>0</v>
      </c>
      <c r="T448" s="0" t="n">
        <v>0.00119156748954019</v>
      </c>
      <c r="U448" s="0" t="n">
        <v>-0.00215582751165488</v>
      </c>
      <c r="V448" s="0" t="n">
        <v>-0.000307073764611587</v>
      </c>
      <c r="W448" s="0" t="n">
        <v>0.000898701181271555</v>
      </c>
      <c r="X448" s="0" t="n">
        <v>-0.009342443885193671</v>
      </c>
    </row>
    <row r="449">
      <c r="A449" s="5" t="n">
        <v>43019</v>
      </c>
      <c r="B449" s="0" t="n">
        <v>-0.00400473197784556</v>
      </c>
      <c r="C449" s="0" t="n">
        <v>-0.000867263052508171</v>
      </c>
      <c r="D449" s="0" t="n">
        <v>0.00429014225364721</v>
      </c>
      <c r="E449" s="0" t="n">
        <v>-0.0212253053016175</v>
      </c>
      <c r="F449" s="0" t="n">
        <v>-0.0148208311795481</v>
      </c>
      <c r="G449" s="0" t="n">
        <v>0.0105314190087661</v>
      </c>
      <c r="H449" s="0" t="n">
        <v>-0.00992211345277294</v>
      </c>
      <c r="I449" s="0" t="n">
        <v>-0.00525327255588603</v>
      </c>
      <c r="J449" s="0" t="n">
        <v>-0.00174973836327496</v>
      </c>
      <c r="K449" s="0" t="n">
        <v>-0.016736876257225</v>
      </c>
      <c r="L449" s="0" t="n">
        <v>0.00712468114889697</v>
      </c>
      <c r="M449" s="0" t="n">
        <v>-0.00274731738367428</v>
      </c>
      <c r="N449" s="0" t="n">
        <v>0.00393894758682744</v>
      </c>
      <c r="O449" s="0" t="n">
        <v>-0.062951180080597</v>
      </c>
      <c r="P449" s="0" t="n">
        <v>-0.009577753268060979</v>
      </c>
      <c r="Q449" s="0" t="n">
        <v>0</v>
      </c>
      <c r="R449" s="0" t="n">
        <v>-0.00162517297869069</v>
      </c>
      <c r="S449" s="0" t="n">
        <v>-0.0119566264917705</v>
      </c>
      <c r="T449" s="0" t="n">
        <v>-0.00987298486710619</v>
      </c>
      <c r="U449" s="0" t="n">
        <v>0.00737210715614722</v>
      </c>
      <c r="V449" s="0" t="n">
        <v>0.00367926009796715</v>
      </c>
      <c r="W449" s="0" t="n">
        <v>-0.008117673642999529</v>
      </c>
      <c r="X449" s="0" t="n">
        <v>-0.00434157113735489</v>
      </c>
    </row>
    <row r="450">
      <c r="A450" s="5" t="n">
        <v>43020</v>
      </c>
      <c r="B450" s="0" t="n">
        <v>0.000476029812522149</v>
      </c>
      <c r="C450" s="0" t="n">
        <v>-0.00304153020203346</v>
      </c>
      <c r="D450" s="0" t="n">
        <v>0.00138747558682528</v>
      </c>
      <c r="E450" s="0" t="n">
        <v>-0.00579229543356518</v>
      </c>
      <c r="F450" s="0" t="n">
        <v>0.0148208311795481</v>
      </c>
      <c r="G450" s="0" t="n">
        <v>0.0141845991732019</v>
      </c>
      <c r="H450" s="0" t="n">
        <v>0.00638984287769783</v>
      </c>
      <c r="I450" s="0" t="n">
        <v>0.008242808634173031</v>
      </c>
      <c r="J450" s="0" t="n">
        <v>0</v>
      </c>
      <c r="K450" s="0" t="n">
        <v>-0.0140218970075572</v>
      </c>
      <c r="L450" s="0" t="n">
        <v>0.0581158263638883</v>
      </c>
      <c r="M450" s="0" t="n">
        <v>-0.000275094835194611</v>
      </c>
      <c r="N450" s="0" t="n">
        <v>-0.00492613708149658</v>
      </c>
      <c r="O450" s="0" t="n">
        <v>-0.00447177504094087</v>
      </c>
      <c r="P450" s="0" t="n">
        <v>-0.0017513540054499</v>
      </c>
      <c r="Q450" s="0" t="n">
        <v>0.0275979835543784</v>
      </c>
      <c r="R450" s="0" t="n">
        <v>-0.0161227748102179</v>
      </c>
      <c r="S450" s="0" t="n">
        <v>-0.0005469088702749751</v>
      </c>
      <c r="T450" s="0" t="n">
        <v>0.00629412839504173</v>
      </c>
      <c r="U450" s="0" t="n">
        <v>-0.00460116484835282</v>
      </c>
      <c r="V450" s="0" t="n">
        <v>-0.000918517499881588</v>
      </c>
      <c r="W450" s="0" t="n">
        <v>-0.0279173408569914</v>
      </c>
      <c r="X450" s="0" t="n">
        <v>-0.00654787012710622</v>
      </c>
    </row>
    <row r="451">
      <c r="A451" s="5" t="n">
        <v>43021</v>
      </c>
      <c r="B451" s="0" t="n">
        <v>-0.00183720165425693</v>
      </c>
      <c r="C451" s="0" t="n">
        <v>0.0164009055675213</v>
      </c>
      <c r="D451" s="0" t="n">
        <v>-0.0069566205596141</v>
      </c>
      <c r="E451" s="0" t="n">
        <v>0.00579229543356518</v>
      </c>
      <c r="F451" s="0" t="n">
        <v>0.0157483511992033</v>
      </c>
      <c r="G451" s="0" t="n">
        <v>-0.0412132454330582</v>
      </c>
      <c r="H451" s="0" t="n">
        <v>-0.009957398394436989</v>
      </c>
      <c r="I451" s="0" t="n">
        <v>-0.0257005225107751</v>
      </c>
      <c r="J451" s="0" t="n">
        <v>-0.00175288897040237</v>
      </c>
      <c r="K451" s="0" t="n">
        <v>-0.0116205100892337</v>
      </c>
      <c r="L451" s="0" t="n">
        <v>0.00477329700479778</v>
      </c>
      <c r="M451" s="0" t="n">
        <v>-0.009955851367260401</v>
      </c>
      <c r="N451" s="0" t="n">
        <v>-0.0244950896497377</v>
      </c>
      <c r="O451" s="0" t="n">
        <v>0.0130792851839847</v>
      </c>
      <c r="P451" s="0" t="n">
        <v>-0.0079191046847673</v>
      </c>
      <c r="Q451" s="0" t="n">
        <v>-0.0202611655642424</v>
      </c>
      <c r="R451" s="0" t="n">
        <v>-0.00220623409546227</v>
      </c>
      <c r="S451" s="0" t="n">
        <v>-0.000547208143269806</v>
      </c>
      <c r="T451" s="0" t="n">
        <v>0.00208923199684862</v>
      </c>
      <c r="U451" s="0" t="n">
        <v>0.0049072277680322</v>
      </c>
      <c r="V451" s="0" t="n">
        <v>-0.0254395502446413</v>
      </c>
      <c r="W451" s="0" t="n">
        <v>0.00204671413038282</v>
      </c>
      <c r="X451" s="0" t="n">
        <v>0.0159308414753338</v>
      </c>
    </row>
    <row r="452">
      <c r="A452" s="5" t="n">
        <v>43024</v>
      </c>
      <c r="B452" s="0" t="n">
        <v>-0.00197708452954081</v>
      </c>
      <c r="C452" s="0" t="n">
        <v>-0.007304013320371</v>
      </c>
      <c r="D452" s="0" t="n">
        <v>0.0012790027191416</v>
      </c>
      <c r="E452" s="0" t="n">
        <v>0.0123003248315236</v>
      </c>
      <c r="F452" s="0" t="n">
        <v>-0.00152551546638024</v>
      </c>
      <c r="G452" s="0" t="n">
        <v>0.00195498635599822</v>
      </c>
      <c r="H452" s="0" t="n">
        <v>-0.000715102339662987</v>
      </c>
      <c r="I452" s="0" t="n">
        <v>0.00610688320632712</v>
      </c>
      <c r="J452" s="0" t="n">
        <v>0.00175288897040237</v>
      </c>
      <c r="K452" s="0" t="n">
        <v>-0.0469736102030787</v>
      </c>
      <c r="L452" s="0" t="n">
        <v>-0.0231223951126833</v>
      </c>
      <c r="M452" s="0" t="n">
        <v>0.0060959241077394</v>
      </c>
      <c r="N452" s="0" t="n">
        <v>-0.0381686227180759</v>
      </c>
      <c r="O452" s="0" t="n">
        <v>0.00165749693162053</v>
      </c>
      <c r="P452" s="0" t="n">
        <v>0.00879516509254951</v>
      </c>
      <c r="Q452" s="0" t="n">
        <v>-0.00146309153034795</v>
      </c>
      <c r="R452" s="0" t="n">
        <v>0.00261935508432209</v>
      </c>
      <c r="S452" s="0" t="n">
        <v>0.00491402299049514</v>
      </c>
      <c r="T452" s="0" t="n">
        <v>0.001787237864451</v>
      </c>
      <c r="U452" s="0" t="n">
        <v>-0.0076781700758266</v>
      </c>
      <c r="V452" s="0" t="n">
        <v>0.008292291460334051</v>
      </c>
      <c r="W452" s="0" t="n">
        <v>-0.0114030700510761</v>
      </c>
      <c r="X452" s="0" t="n">
        <v>-0.007933662580970941</v>
      </c>
    </row>
    <row r="453">
      <c r="A453" s="5" t="n">
        <v>43025</v>
      </c>
      <c r="B453" s="0" t="n">
        <v>0.0849336017451527</v>
      </c>
      <c r="C453" s="0" t="n">
        <v>-0.00302305470453001</v>
      </c>
      <c r="D453" s="0" t="n">
        <v>-0.00384183719409048</v>
      </c>
      <c r="E453" s="0" t="n">
        <v>-0.00654138696021933</v>
      </c>
      <c r="F453" s="0" t="n">
        <v>0.0106302738947823</v>
      </c>
      <c r="G453" s="0" t="n">
        <v>0.009234599565159041</v>
      </c>
      <c r="H453" s="0" t="n">
        <v>-0.00214817528498167</v>
      </c>
      <c r="I453" s="0" t="n">
        <v>0.000760690430141153</v>
      </c>
      <c r="J453" s="0" t="n">
        <v>0.00698082446060954</v>
      </c>
      <c r="K453" s="0" t="n">
        <v>0.0281834642971042</v>
      </c>
      <c r="L453" s="0" t="n">
        <v>-0.0107791941462229</v>
      </c>
      <c r="M453" s="0" t="n">
        <v>-0.010273557486585</v>
      </c>
      <c r="N453" s="0" t="n">
        <v>-0.0196449555490509</v>
      </c>
      <c r="O453" s="0" t="n">
        <v>-0.0144567563035371</v>
      </c>
      <c r="P453" s="0" t="n">
        <v>0.0318855004051483</v>
      </c>
      <c r="Q453" s="0" t="n">
        <v>-0.00146516538662155</v>
      </c>
      <c r="R453" s="0" t="n">
        <v>0.0200374899078887</v>
      </c>
      <c r="S453" s="0" t="n">
        <v>0.00488999340237406</v>
      </c>
      <c r="T453" s="0" t="n">
        <v>-0.00148918087877536</v>
      </c>
      <c r="U453" s="0" t="n">
        <v>-0.000925434795336244</v>
      </c>
      <c r="V453" s="0" t="n">
        <v>-0.00750706588152017</v>
      </c>
      <c r="W453" s="0" t="n">
        <v>0.00412760855913108</v>
      </c>
      <c r="X453" s="0" t="n">
        <v>0.010086496788435</v>
      </c>
    </row>
    <row r="454">
      <c r="A454" s="5" t="n">
        <v>43026</v>
      </c>
      <c r="B454" s="0" t="n">
        <v>0.00855103140370694</v>
      </c>
      <c r="C454" s="0" t="n">
        <v>0.0197007987639703</v>
      </c>
      <c r="D454" s="0" t="n">
        <v>0.0073217508664225</v>
      </c>
      <c r="E454" s="0" t="n">
        <v>0.00327600319935506</v>
      </c>
      <c r="F454" s="0" t="n">
        <v>0.0037693366330882</v>
      </c>
      <c r="G454" s="0" t="n">
        <v>0.0105871689663463</v>
      </c>
      <c r="H454" s="0" t="n">
        <v>-0.00719426860021155</v>
      </c>
      <c r="I454" s="0" t="n">
        <v>0.00833027240412143</v>
      </c>
      <c r="J454" s="0" t="n">
        <v>-0.00174068435266905</v>
      </c>
      <c r="K454" s="0" t="n">
        <v>-0.0299999718182797</v>
      </c>
      <c r="L454" s="0" t="n">
        <v>0.0175786078413082</v>
      </c>
      <c r="M454" s="0" t="n">
        <v>0.0113779450692708</v>
      </c>
      <c r="N454" s="0" t="n">
        <v>-0.00861609261533269</v>
      </c>
      <c r="O454" s="0" t="n">
        <v>-0.000560236944759928</v>
      </c>
      <c r="P454" s="0" t="n">
        <v>-0.0231670163095687</v>
      </c>
      <c r="Q454" s="0" t="n">
        <v>0</v>
      </c>
      <c r="R454" s="0" t="n">
        <v>0.00712702263075826</v>
      </c>
      <c r="S454" s="0" t="n">
        <v>-0.00217042488159613</v>
      </c>
      <c r="T454" s="0" t="n">
        <v>0.00594357664121947</v>
      </c>
      <c r="U454" s="0" t="n">
        <v>-0.00681214603622493</v>
      </c>
      <c r="V454" s="0" t="n">
        <v>0.0151128125894928</v>
      </c>
      <c r="W454" s="0" t="n">
        <v>0.00634567551300913</v>
      </c>
      <c r="X454" s="0" t="n">
        <v>0.00214820946685678</v>
      </c>
    </row>
    <row r="455">
      <c r="A455" s="5" t="n">
        <v>43027</v>
      </c>
      <c r="B455" s="0" t="n">
        <v>0.00724536979698609</v>
      </c>
      <c r="C455" s="0" t="n">
        <v>0.0105464153467553</v>
      </c>
      <c r="D455" s="0" t="n">
        <v>0.0100237342146991</v>
      </c>
      <c r="E455" s="0" t="n">
        <v>-0.0106864281403891</v>
      </c>
      <c r="F455" s="0" t="n">
        <v>0.0219543758315303</v>
      </c>
      <c r="G455" s="0" t="n">
        <v>0.00620384087526426</v>
      </c>
      <c r="H455" s="0" t="n">
        <v>-0.00651944569109907</v>
      </c>
      <c r="I455" s="0" t="n">
        <v>-0.0129034104401526</v>
      </c>
      <c r="J455" s="0" t="n">
        <v>0.00347834398763891</v>
      </c>
      <c r="K455" s="0" t="n">
        <v>0.0130957134385011</v>
      </c>
      <c r="L455" s="0" t="n">
        <v>-0.00485204169442576</v>
      </c>
      <c r="M455" s="0" t="n">
        <v>0.00495449653329815</v>
      </c>
      <c r="N455" s="0" t="n">
        <v>0.0293120444272867</v>
      </c>
      <c r="O455" s="0" t="n">
        <v>-0.00421165053677263</v>
      </c>
      <c r="P455" s="0" t="n">
        <v>-0.0122272562496696</v>
      </c>
      <c r="Q455" s="0" t="n">
        <v>-0.0162605403569771</v>
      </c>
      <c r="R455" s="0" t="n">
        <v>0.0246174510649002</v>
      </c>
      <c r="S455" s="0" t="n">
        <v>0</v>
      </c>
      <c r="T455" s="0" t="n">
        <v>0.0147061473896954</v>
      </c>
      <c r="U455" s="0" t="n">
        <v>0.00973954116244701</v>
      </c>
      <c r="V455" s="0" t="n">
        <v>-0.00387327166532891</v>
      </c>
      <c r="W455" s="0" t="n">
        <v>0.0215338805515989</v>
      </c>
      <c r="X455" s="0" t="n">
        <v>0.014909757539173</v>
      </c>
    </row>
    <row r="456">
      <c r="A456" s="5" t="n">
        <v>43028</v>
      </c>
      <c r="B456" s="0" t="n">
        <v>-0.0156710140101932</v>
      </c>
      <c r="C456" s="0" t="n">
        <v>-0.0654621668371002</v>
      </c>
      <c r="D456" s="0" t="n">
        <v>-0.000573396618060328</v>
      </c>
      <c r="E456" s="0" t="n">
        <v>-0.00497104741679699</v>
      </c>
      <c r="F456" s="0" t="n">
        <v>-0.000368129173893727</v>
      </c>
      <c r="G456" s="0" t="n">
        <v>0.0155773703157331</v>
      </c>
      <c r="H456" s="0" t="n">
        <v>-0.024274852237351</v>
      </c>
      <c r="I456" s="0" t="n">
        <v>-0.00459422093526873</v>
      </c>
      <c r="J456" s="0" t="n">
        <v>-0.0104713730659817</v>
      </c>
      <c r="K456" s="0" t="n">
        <v>0.0221836740355999</v>
      </c>
      <c r="L456" s="0" t="n">
        <v>-0.022627580567776</v>
      </c>
      <c r="M456" s="0" t="n">
        <v>-0.000549207460940337</v>
      </c>
      <c r="N456" s="0" t="n">
        <v>-0.0126852481936206</v>
      </c>
      <c r="O456" s="0" t="n">
        <v>-0.008193319228704249</v>
      </c>
      <c r="P456" s="0" t="n">
        <v>-0.020417975060909</v>
      </c>
      <c r="Q456" s="0" t="n">
        <v>-0.028724583655503</v>
      </c>
      <c r="R456" s="0" t="n">
        <v>-0.0076115091340867</v>
      </c>
      <c r="S456" s="0" t="n">
        <v>0.00325377007821758</v>
      </c>
      <c r="T456" s="0" t="n">
        <v>0.00291540953861213</v>
      </c>
      <c r="U456" s="0" t="n">
        <v>-0.00772204609391025</v>
      </c>
      <c r="V456" s="0" t="n">
        <v>-0.0104549314408171</v>
      </c>
      <c r="W456" s="0" t="n">
        <v>-0.00018206904746254</v>
      </c>
      <c r="X456" s="0" t="n">
        <v>-0.00565372006780684</v>
      </c>
    </row>
    <row r="457">
      <c r="A457" s="5" t="n">
        <v>43031</v>
      </c>
      <c r="B457" s="0" t="n">
        <v>-0.0232708600568498</v>
      </c>
      <c r="C457" s="0" t="n">
        <v>-0.0194532330832966</v>
      </c>
      <c r="D457" s="0" t="n">
        <v>-0.0233257126566046</v>
      </c>
      <c r="E457" s="0" t="n">
        <v>0.012381472357831</v>
      </c>
      <c r="F457" s="0" t="n">
        <v>0.018964844702221</v>
      </c>
      <c r="G457" s="0" t="n">
        <v>0.00560482236699533</v>
      </c>
      <c r="H457" s="0" t="n">
        <v>0.00371614465127034</v>
      </c>
      <c r="I457" s="0" t="n">
        <v>-0.00693111399848955</v>
      </c>
      <c r="J457" s="0" t="n">
        <v>0.00350262733367734</v>
      </c>
      <c r="K457" s="0" t="n">
        <v>-0.008371960448390611</v>
      </c>
      <c r="L457" s="0" t="n">
        <v>0.0323082352792014</v>
      </c>
      <c r="M457" s="0" t="n">
        <v>-0.00357785064663307</v>
      </c>
      <c r="N457" s="0" t="n">
        <v>-0.00319656465728623</v>
      </c>
      <c r="O457" s="0" t="n">
        <v>-0.0111254716577522</v>
      </c>
      <c r="P457" s="0" t="n">
        <v>-0.0328196879589528</v>
      </c>
      <c r="Q457" s="0" t="n">
        <v>0.00153260240507457</v>
      </c>
      <c r="R457" s="0" t="n">
        <v>0.00131646241109084</v>
      </c>
      <c r="S457" s="0" t="n">
        <v>0.00593797224456338</v>
      </c>
      <c r="T457" s="0" t="n">
        <v>0.00667355895956012</v>
      </c>
      <c r="U457" s="0" t="n">
        <v>-0.00575299346930524</v>
      </c>
      <c r="V457" s="0" t="n">
        <v>-0.00156983506216068</v>
      </c>
      <c r="W457" s="0" t="n">
        <v>0.00924502788332226</v>
      </c>
      <c r="X457" s="0" t="n">
        <v>0.00706220326067796</v>
      </c>
    </row>
    <row r="458">
      <c r="A458" s="5" t="n">
        <v>43032</v>
      </c>
      <c r="B458" s="0" t="n">
        <v>-0.0153859447674324</v>
      </c>
      <c r="C458" s="0" t="n">
        <v>-0.0179769766540438</v>
      </c>
      <c r="D458" s="0" t="n">
        <v>-0.00376426395718354</v>
      </c>
      <c r="E458" s="0" t="n">
        <v>-0.012381472357831</v>
      </c>
      <c r="F458" s="0" t="n">
        <v>-0.0018080332132726</v>
      </c>
      <c r="G458" s="0" t="n">
        <v>-0.0159627879987227</v>
      </c>
      <c r="H458" s="0" t="n">
        <v>0.0132647360731192</v>
      </c>
      <c r="I458" s="0" t="n">
        <v>-0.0046475270835069</v>
      </c>
      <c r="J458" s="0" t="n">
        <v>-0.028370670740883</v>
      </c>
      <c r="K458" s="0" t="n">
        <v>0.00441501402649768</v>
      </c>
      <c r="L458" s="0" t="n">
        <v>-0.00482861301699966</v>
      </c>
      <c r="M458" s="0" t="n">
        <v>-0.0030374346116333</v>
      </c>
      <c r="N458" s="0" t="n">
        <v>-0.0112691872435801</v>
      </c>
      <c r="O458" s="0" t="n">
        <v>-0.0400931206759662</v>
      </c>
      <c r="P458" s="0" t="n">
        <v>-0.017765738628912</v>
      </c>
      <c r="Q458" s="0" t="n">
        <v>-0.00768646211063228</v>
      </c>
      <c r="R458" s="0" t="n">
        <v>-0.00633502651902073</v>
      </c>
      <c r="S458" s="0" t="n">
        <v>-0.010278723852541</v>
      </c>
      <c r="T458" s="0" t="n">
        <v>-0.00813020127764518</v>
      </c>
      <c r="U458" s="0" t="n">
        <v>-0.0053157777263495</v>
      </c>
      <c r="V458" s="0" t="n">
        <v>0.0054837343832963</v>
      </c>
      <c r="W458" s="0" t="n">
        <v>-0.00307216599736825</v>
      </c>
      <c r="X458" s="0" t="n">
        <v>-0.0234969814698442</v>
      </c>
    </row>
    <row r="459">
      <c r="A459" s="5" t="n">
        <v>43033</v>
      </c>
      <c r="B459" s="0" t="n">
        <v>0.00065129342274961</v>
      </c>
      <c r="C459" s="0" t="n">
        <v>-0.00840732164175062</v>
      </c>
      <c r="D459" s="0" t="n">
        <v>-0.00816518119392739</v>
      </c>
      <c r="E459" s="0" t="n">
        <v>0.0189228593180503</v>
      </c>
      <c r="F459" s="0" t="n">
        <v>0.0039732980743854</v>
      </c>
      <c r="G459" s="0" t="n">
        <v>-0.0147797433813359</v>
      </c>
      <c r="H459" s="0" t="n">
        <v>-0.0282126831251181</v>
      </c>
      <c r="I459" s="0" t="n">
        <v>0.0031007746981877</v>
      </c>
      <c r="J459" s="0" t="n">
        <v>0.00359066474942793</v>
      </c>
      <c r="K459" s="0" t="n">
        <v>-0.0133039529664712</v>
      </c>
      <c r="L459" s="0" t="n">
        <v>-0.0445397524030144</v>
      </c>
      <c r="M459" s="0" t="n">
        <v>-0.01168297460964</v>
      </c>
      <c r="N459" s="0" t="n">
        <v>-0.00107993840243736</v>
      </c>
      <c r="O459" s="0" t="n">
        <v>0.00565726151060541</v>
      </c>
      <c r="P459" s="0" t="n">
        <v>0.009389686536441561</v>
      </c>
      <c r="Q459" s="0" t="n">
        <v>-0.0250012779872466</v>
      </c>
      <c r="R459" s="0" t="n">
        <v>-0.0298329202305298</v>
      </c>
      <c r="S459" s="0" t="n">
        <v>0.000543638455978268</v>
      </c>
      <c r="T459" s="0" t="n">
        <v>-0.000874982684681224</v>
      </c>
      <c r="U459" s="0" t="n">
        <v>0.0308714124077384</v>
      </c>
      <c r="V459" s="0" t="n">
        <v>-0.0488292149149263</v>
      </c>
      <c r="W459" s="0" t="n">
        <v>0.00667448920415836</v>
      </c>
      <c r="X459" s="0" t="n">
        <v>0.00215903164201591</v>
      </c>
    </row>
    <row r="460">
      <c r="A460" s="5" t="n">
        <v>43034</v>
      </c>
      <c r="B460" s="0" t="n">
        <v>0.000520610351405714</v>
      </c>
      <c r="C460" s="0" t="n">
        <v>-0.025173475409268</v>
      </c>
      <c r="D460" s="0" t="n">
        <v>-0.0035710434822187</v>
      </c>
      <c r="E460" s="0" t="n">
        <v>-0.0172630699372455</v>
      </c>
      <c r="F460" s="0" t="n">
        <v>0.00216058661700735</v>
      </c>
      <c r="G460" s="0" t="n">
        <v>-0.0120803597001026</v>
      </c>
      <c r="H460" s="0" t="n">
        <v>0.01271989656713</v>
      </c>
      <c r="I460" s="0" t="n">
        <v>0.013835755067372</v>
      </c>
      <c r="J460" s="0" t="n">
        <v>-0.00719426884701213</v>
      </c>
      <c r="K460" s="0" t="n">
        <v>-0.008968661352744319</v>
      </c>
      <c r="L460" s="0" t="n">
        <v>0.0130720928495819</v>
      </c>
      <c r="M460" s="0" t="n">
        <v>-0.00392496169832101</v>
      </c>
      <c r="N460" s="0" t="n">
        <v>-0.0572537949111771</v>
      </c>
      <c r="O460" s="0" t="n">
        <v>0.008573619672067601</v>
      </c>
      <c r="P460" s="0" t="n">
        <v>0.04923510046022</v>
      </c>
      <c r="Q460" s="0" t="n">
        <v>0.0110150121747942</v>
      </c>
      <c r="R460" s="0" t="n">
        <v>-0.0607354563393283</v>
      </c>
      <c r="S460" s="0" t="n">
        <v>0.00217160320746812</v>
      </c>
      <c r="T460" s="0" t="n">
        <v>0.00465793697001126</v>
      </c>
      <c r="U460" s="0" t="n">
        <v>-0.0133121505722062</v>
      </c>
      <c r="V460" s="0" t="n">
        <v>-0.0167098294673229</v>
      </c>
      <c r="W460" s="0" t="n">
        <v>0.00448471475116907</v>
      </c>
      <c r="X460" s="0" t="n">
        <v>0.00215438026505188</v>
      </c>
    </row>
    <row r="461">
      <c r="A461" s="5" t="n">
        <v>43035</v>
      </c>
      <c r="B461" s="0" t="n">
        <v>0.00441506982209016</v>
      </c>
      <c r="C461" s="0" t="n">
        <v>-0.0184471470666225</v>
      </c>
      <c r="D461" s="0" t="n">
        <v>-0.0145339062918692</v>
      </c>
      <c r="E461" s="0" t="n">
        <v>0.00331125803599219</v>
      </c>
      <c r="F461" s="0" t="n">
        <v>-0.00722020670825429</v>
      </c>
      <c r="G461" s="0" t="n">
        <v>0.00339722221316307</v>
      </c>
      <c r="H461" s="0" t="n">
        <v>-0.0240793957001623</v>
      </c>
      <c r="I461" s="0" t="n">
        <v>0.0211488039262834</v>
      </c>
      <c r="J461" s="0" t="n">
        <v>-0.0054298291692818</v>
      </c>
      <c r="K461" s="0" t="n">
        <v>0.0483610260617473</v>
      </c>
      <c r="L461" s="0" t="n">
        <v>-0.0191635249030364</v>
      </c>
      <c r="M461" s="0" t="n">
        <v>-0.0127209333290485</v>
      </c>
      <c r="N461" s="0" t="n">
        <v>0.051293299843353</v>
      </c>
      <c r="O461" s="0" t="n">
        <v>-0.0127390344155884</v>
      </c>
      <c r="P461" s="0" t="n">
        <v>0.00355239829475362</v>
      </c>
      <c r="Q461" s="0" t="n">
        <v>-0.00627944960906323</v>
      </c>
      <c r="R461" s="0" t="n">
        <v>-0.00785802844296235</v>
      </c>
      <c r="S461" s="0" t="n">
        <v>-0.0114536835102452</v>
      </c>
      <c r="T461" s="0" t="n">
        <v>-0.0113919556132855</v>
      </c>
      <c r="U461" s="0" t="n">
        <v>-0.0134916384523702</v>
      </c>
      <c r="V461" s="0" t="n">
        <v>0.0149034309216888</v>
      </c>
      <c r="W461" s="0" t="n">
        <v>-0.000358046158999592</v>
      </c>
      <c r="X461" s="0" t="n">
        <v>-0.0122700292466366</v>
      </c>
    </row>
    <row r="462">
      <c r="A462" s="5" t="n">
        <v>43038</v>
      </c>
      <c r="B462" s="0" t="n">
        <v>-0.00194541954579019</v>
      </c>
      <c r="C462" s="0" t="n">
        <v>-0.012324556325117</v>
      </c>
      <c r="D462" s="0" t="n">
        <v>-0.00862754081519501</v>
      </c>
      <c r="E462" s="0" t="n">
        <v>0.0139518119012533</v>
      </c>
      <c r="F462" s="0" t="n">
        <v>-0.00763782555322212</v>
      </c>
      <c r="G462" s="0" t="n">
        <v>0.00290282608623648</v>
      </c>
      <c r="H462" s="0" t="n">
        <v>-0.0246735492722924</v>
      </c>
      <c r="I462" s="0" t="n">
        <v>-0.024206907275015</v>
      </c>
      <c r="J462" s="0" t="n">
        <v>-0.0127855933178575</v>
      </c>
      <c r="K462" s="0" t="n">
        <v>0.0123695518469117</v>
      </c>
      <c r="L462" s="0" t="n">
        <v>-0.00305963864351621</v>
      </c>
      <c r="M462" s="0" t="n">
        <v>-0.00256374300434236</v>
      </c>
      <c r="N462" s="0" t="n">
        <v>0.031561868888549</v>
      </c>
      <c r="O462" s="0" t="n">
        <v>0.00327431774467612</v>
      </c>
      <c r="P462" s="0" t="n">
        <v>0.0365576031044394</v>
      </c>
      <c r="Q462" s="0" t="n">
        <v>-0.00315457378277828</v>
      </c>
      <c r="R462" s="0" t="n">
        <v>0.00116808063434525</v>
      </c>
      <c r="S462" s="0" t="n">
        <v>0.0130791934547764</v>
      </c>
      <c r="T462" s="0" t="n">
        <v>0.00322630009765845</v>
      </c>
      <c r="U462" s="0" t="n">
        <v>0.00265063168027968</v>
      </c>
      <c r="V462" s="0" t="n">
        <v>0.0133879500842271</v>
      </c>
      <c r="W462" s="0" t="n">
        <v>0.00517906186759109</v>
      </c>
      <c r="X462" s="0" t="n">
        <v>0.00217626000041359</v>
      </c>
    </row>
    <row r="463">
      <c r="A463" s="5" t="n">
        <v>43039</v>
      </c>
      <c r="B463" s="0" t="n">
        <v>-0.000194740366440626</v>
      </c>
      <c r="C463" s="0" t="n">
        <v>-0.00696864660956153</v>
      </c>
      <c r="D463" s="0" t="n">
        <v>0.0115271183262697</v>
      </c>
      <c r="E463" s="0" t="n">
        <v>0.00649879793185048</v>
      </c>
      <c r="F463" s="0" t="n">
        <v>0.00509838310498489</v>
      </c>
      <c r="G463" s="0" t="n">
        <v>0.00961540359032397</v>
      </c>
      <c r="H463" s="0" t="n">
        <v>-0.0125688887293278</v>
      </c>
      <c r="I463" s="0" t="n">
        <v>0.008387365569999521</v>
      </c>
      <c r="J463" s="0" t="n">
        <v>0</v>
      </c>
      <c r="K463" s="0" t="n">
        <v>0.0126370561149222</v>
      </c>
      <c r="L463" s="0" t="n">
        <v>0.0252156578181894</v>
      </c>
      <c r="M463" s="0" t="n">
        <v>0.00568821070432212</v>
      </c>
      <c r="N463" s="0" t="n">
        <v>-0.0619089831749373</v>
      </c>
      <c r="O463" s="0" t="n">
        <v>-0.00297626075900048</v>
      </c>
      <c r="P463" s="0" t="n">
        <v>0.0360929068889088</v>
      </c>
      <c r="Q463" s="0" t="n">
        <v>-0.00633915945568119</v>
      </c>
      <c r="R463" s="0" t="n">
        <v>0.00683491681220971</v>
      </c>
      <c r="S463" s="0" t="n">
        <v>-0.009793244575945881</v>
      </c>
      <c r="T463" s="0" t="n">
        <v>0.0136688881970497</v>
      </c>
      <c r="U463" s="0" t="n">
        <v>0.00744644666952254</v>
      </c>
      <c r="V463" s="0" t="n">
        <v>0.008076283621293531</v>
      </c>
      <c r="W463" s="0" t="n">
        <v>0.00124610066457808</v>
      </c>
      <c r="X463" s="0" t="n">
        <v>0.000724391821663505</v>
      </c>
    </row>
    <row r="464">
      <c r="A464" s="5" t="n">
        <v>43040</v>
      </c>
      <c r="B464" s="0" t="n">
        <v>-0.00442445034979588</v>
      </c>
      <c r="C464" s="0" t="n">
        <v>-0.00400402465808547</v>
      </c>
      <c r="D464" s="0" t="n">
        <v>0.00289119426335293</v>
      </c>
      <c r="E464" s="0" t="n">
        <v>0.00565198868594007</v>
      </c>
      <c r="F464" s="0" t="n">
        <v>0.0122745275100513</v>
      </c>
      <c r="G464" s="0" t="n">
        <v>0.0133082138633122</v>
      </c>
      <c r="H464" s="0" t="n">
        <v>0.0023686751532046</v>
      </c>
      <c r="I464" s="0" t="n">
        <v>-0.008387365569999521</v>
      </c>
      <c r="J464" s="0" t="n">
        <v>-0.0185533898397034</v>
      </c>
      <c r="K464" s="0" t="n">
        <v>0.00459393429506882</v>
      </c>
      <c r="L464" s="0" t="n">
        <v>0.0216757515867103</v>
      </c>
      <c r="M464" s="0" t="n">
        <v>0.00565614546031945</v>
      </c>
      <c r="N464" s="0" t="n">
        <v>-0.0220910316207474</v>
      </c>
      <c r="O464" s="0" t="n">
        <v>-0.0113910429204908</v>
      </c>
      <c r="P464" s="0" t="n">
        <v>-0.00661705662521106</v>
      </c>
      <c r="Q464" s="0" t="n">
        <v>-0.00159105075856791</v>
      </c>
      <c r="R464" s="0" t="n">
        <v>0.00549209735682509</v>
      </c>
      <c r="S464" s="0" t="n">
        <v>-0.0005469088702749751</v>
      </c>
      <c r="T464" s="0" t="n">
        <v>-0.0119135466679813</v>
      </c>
      <c r="U464" s="0" t="n">
        <v>-0.0124417690763785</v>
      </c>
      <c r="V464" s="0" t="n">
        <v>0.0011254876204978</v>
      </c>
      <c r="W464" s="0" t="n">
        <v>0.00479192435374642</v>
      </c>
      <c r="X464" s="0" t="n">
        <v>0.00433522826958343</v>
      </c>
    </row>
    <row r="465">
      <c r="A465" s="5" t="n">
        <v>43041</v>
      </c>
      <c r="B465" s="0" t="n">
        <v>-0.0116093798977967</v>
      </c>
      <c r="C465" s="0" t="n">
        <v>0.00998016079050678</v>
      </c>
      <c r="D465" s="0" t="n">
        <v>0.00456079624227712</v>
      </c>
      <c r="E465" s="0" t="n">
        <v>-0.00484265839554032</v>
      </c>
      <c r="F465" s="0" t="n">
        <v>-0.00179569608064289</v>
      </c>
      <c r="G465" s="0" t="n">
        <v>0.0149955805516794</v>
      </c>
      <c r="H465" s="0" t="n">
        <v>-0.0023686751532046</v>
      </c>
      <c r="I465" s="0" t="n">
        <v>0.00305810334873157</v>
      </c>
      <c r="J465" s="0" t="n">
        <v>-0.00751882500082889</v>
      </c>
      <c r="K465" s="0" t="n">
        <v>0.0287493851326455</v>
      </c>
      <c r="L465" s="0" t="n">
        <v>-0.0167080125625918</v>
      </c>
      <c r="M465" s="0" t="n">
        <v>0.00253485996075708</v>
      </c>
      <c r="N465" s="0" t="n">
        <v>-0.064462055326163</v>
      </c>
      <c r="O465" s="0" t="n">
        <v>0.00391157631847471</v>
      </c>
      <c r="P465" s="0" t="n">
        <v>0.0229706352233018</v>
      </c>
      <c r="Q465" s="0" t="n">
        <v>-0.0176711636064761</v>
      </c>
      <c r="R465" s="0" t="n">
        <v>-0.00187545688663703</v>
      </c>
      <c r="S465" s="0" t="n">
        <v>0.0125035353620455</v>
      </c>
      <c r="T465" s="0" t="n">
        <v>0.00757144371473428</v>
      </c>
      <c r="U465" s="0" t="n">
        <v>0.000156456011989547</v>
      </c>
      <c r="V465" s="0" t="n">
        <v>-0.000160680136494839</v>
      </c>
      <c r="W465" s="0" t="n">
        <v>-0.00230437167291786</v>
      </c>
      <c r="X465" s="0" t="n">
        <v>-0.0065099798682584</v>
      </c>
    </row>
    <row r="466">
      <c r="A466" s="5" t="n">
        <v>43042</v>
      </c>
      <c r="B466" s="0" t="n">
        <v>-0.00489390235162279</v>
      </c>
      <c r="C466" s="0" t="n">
        <v>-0.000496624887054597</v>
      </c>
      <c r="D466" s="0" t="n">
        <v>-0.00684892649162538</v>
      </c>
      <c r="E466" s="0" t="n">
        <v>-0.00243011326403719</v>
      </c>
      <c r="F466" s="0" t="n">
        <v>-0.00251933533319892</v>
      </c>
      <c r="G466" s="0" t="n">
        <v>-0.007938406227195211</v>
      </c>
      <c r="H466" s="0" t="n">
        <v>0.0203449703267382</v>
      </c>
      <c r="I466" s="0" t="n">
        <v>0.0159034046065116</v>
      </c>
      <c r="J466" s="0" t="n">
        <v>0.009389686536441341</v>
      </c>
      <c r="K466" s="0" t="n">
        <v>0.107382749455505</v>
      </c>
      <c r="L466" s="0" t="n">
        <v>0.0426834512988199</v>
      </c>
      <c r="M466" s="0" t="n">
        <v>-0.0064907676927759</v>
      </c>
      <c r="N466" s="0" t="n">
        <v>0.0181602586898335</v>
      </c>
      <c r="O466" s="0" t="n">
        <v>-0.0133012428918792</v>
      </c>
      <c r="P466" s="0" t="n">
        <v>0.0459668820506093</v>
      </c>
      <c r="Q466" s="0" t="n">
        <v>0.0112812954189507</v>
      </c>
      <c r="R466" s="0" t="n">
        <v>-0.0360200188398511</v>
      </c>
      <c r="S466" s="0" t="n">
        <v>0.08737150322572509</v>
      </c>
      <c r="T466" s="0" t="n">
        <v>-0.00174220056728335</v>
      </c>
      <c r="U466" s="0" t="n">
        <v>-0.00722363508998835</v>
      </c>
      <c r="V466" s="0" t="n">
        <v>-0.00871677688583361</v>
      </c>
      <c r="W466" s="0" t="n">
        <v>-0.0030213862989834</v>
      </c>
      <c r="X466" s="0" t="n">
        <v>0</v>
      </c>
    </row>
    <row r="467">
      <c r="A467" s="5" t="n">
        <v>43045</v>
      </c>
      <c r="B467" s="0" t="n">
        <v>0.00337542768283594</v>
      </c>
      <c r="C467" s="0" t="n">
        <v>0.00396620853249629</v>
      </c>
      <c r="D467" s="0" t="n">
        <v>0.00409092539484756</v>
      </c>
      <c r="E467" s="0" t="n">
        <v>-0.0138834469989106</v>
      </c>
      <c r="F467" s="0" t="n">
        <v>-0.0207544202414924</v>
      </c>
      <c r="G467" s="0" t="n">
        <v>-0.000938107857257897</v>
      </c>
      <c r="H467" s="0" t="n">
        <v>-0.0266891567806046</v>
      </c>
      <c r="I467" s="0" t="n">
        <v>-0.008298848790729171</v>
      </c>
      <c r="J467" s="0" t="n">
        <v>-0.00187086153561244</v>
      </c>
      <c r="K467" s="0" t="n">
        <v>0.0668086891348513</v>
      </c>
      <c r="L467" s="0" t="n">
        <v>-0.0201445703049025</v>
      </c>
      <c r="M467" s="0" t="n">
        <v>0.00113188793506768</v>
      </c>
      <c r="N467" s="0" t="n">
        <v>-0.0273656949854199</v>
      </c>
      <c r="O467" s="0" t="n">
        <v>0.00637038658210142</v>
      </c>
      <c r="P467" s="0" t="n">
        <v>-0.0124709214347595</v>
      </c>
      <c r="Q467" s="0" t="n">
        <v>-0.0194180678768161</v>
      </c>
      <c r="R467" s="0" t="n">
        <v>0.0316784337512663</v>
      </c>
      <c r="S467" s="0" t="n">
        <v>-0.00347144421541978</v>
      </c>
      <c r="T467" s="0" t="n">
        <v>-0.000290606638686963</v>
      </c>
      <c r="U467" s="0" t="n">
        <v>0.013462895999023</v>
      </c>
      <c r="V467" s="0" t="n">
        <v>0.00372198086366726</v>
      </c>
      <c r="W467" s="0" t="n">
        <v>-0.020318977798543</v>
      </c>
      <c r="X467" s="0" t="n">
        <v>-0.027963567718539</v>
      </c>
    </row>
    <row r="468">
      <c r="A468" s="5" t="n">
        <v>43046</v>
      </c>
      <c r="B468" s="0" t="n">
        <v>0.00145253697102898</v>
      </c>
      <c r="C468" s="0" t="n">
        <v>-0.0044631787689644</v>
      </c>
      <c r="D468" s="0" t="n">
        <v>0.0087274551561487</v>
      </c>
      <c r="E468" s="0" t="n">
        <v>-0.00825763789654798</v>
      </c>
      <c r="F468" s="0" t="n">
        <v>-0.0144527022202147</v>
      </c>
      <c r="G468" s="0" t="n">
        <v>0.025024517951004</v>
      </c>
      <c r="H468" s="0" t="n">
        <v>0.0374750755865647</v>
      </c>
      <c r="I468" s="0" t="n">
        <v>0.00528906769753323</v>
      </c>
      <c r="J468" s="0" t="n">
        <v>0.00373831844549954</v>
      </c>
      <c r="K468" s="0" t="n">
        <v>0.0465199714013899</v>
      </c>
      <c r="L468" s="0" t="n">
        <v>0.0067601076725916</v>
      </c>
      <c r="M468" s="0" t="n">
        <v>-0.000565783821255383</v>
      </c>
      <c r="N468" s="0" t="n">
        <v>0.00246311184203396</v>
      </c>
      <c r="O468" s="0" t="n">
        <v>0.0111262293836595</v>
      </c>
      <c r="P468" s="0" t="n">
        <v>-0.0118344273716277</v>
      </c>
      <c r="Q468" s="0" t="n">
        <v>0.00975616586793903</v>
      </c>
      <c r="R468" s="0" t="n">
        <v>0.0005799756148041621</v>
      </c>
      <c r="S468" s="0" t="n">
        <v>0.000993071500173137</v>
      </c>
      <c r="T468" s="0" t="n">
        <v>0.00290271530101771</v>
      </c>
      <c r="U468" s="0" t="n">
        <v>0.00434444116292187</v>
      </c>
      <c r="V468" s="0" t="n">
        <v>0.0107640524336902</v>
      </c>
      <c r="W468" s="0" t="n">
        <v>-0.0144545730126544</v>
      </c>
      <c r="X468" s="0" t="n">
        <v>-0.008242808634173031</v>
      </c>
    </row>
    <row r="469">
      <c r="A469" s="5" t="n">
        <v>43047</v>
      </c>
      <c r="B469" s="0" t="n">
        <v>-0.00841429570254348</v>
      </c>
      <c r="C469" s="0" t="n">
        <v>-0.00648219691650941</v>
      </c>
      <c r="D469" s="0" t="n">
        <v>-0.000238146101851022</v>
      </c>
      <c r="E469" s="0" t="n">
        <v>-0.00165978938080479</v>
      </c>
      <c r="F469" s="0" t="n">
        <v>-0.0112614230870691</v>
      </c>
      <c r="G469" s="0" t="n">
        <v>0.00456623527907362</v>
      </c>
      <c r="H469" s="0" t="n">
        <v>-0.0224727786213811</v>
      </c>
      <c r="I469" s="0" t="n">
        <v>0.0082551804129678</v>
      </c>
      <c r="J469" s="0" t="n">
        <v>-0.009372175514247511</v>
      </c>
      <c r="K469" s="0" t="n">
        <v>0.0350913625194797</v>
      </c>
      <c r="L469" s="0" t="n">
        <v>-0.0253425085968914</v>
      </c>
      <c r="M469" s="0" t="n">
        <v>-0.00396936693079341</v>
      </c>
      <c r="N469" s="0" t="n">
        <v>-0.049159279605754</v>
      </c>
      <c r="O469" s="0" t="n">
        <v>0.0166077774669766</v>
      </c>
      <c r="P469" s="0" t="n">
        <v>0.00711740442676678</v>
      </c>
      <c r="Q469" s="0" t="n">
        <v>-0.00161939341007366</v>
      </c>
      <c r="R469" s="0" t="n">
        <v>0.000434733439075074</v>
      </c>
      <c r="S469" s="0" t="n">
        <v>-0.000993071500173137</v>
      </c>
      <c r="T469" s="0" t="n">
        <v>-0.0131293138482382</v>
      </c>
      <c r="U469" s="0" t="n">
        <v>-0.0012392596877353</v>
      </c>
      <c r="V469" s="0" t="n">
        <v>-0.00947265870991831</v>
      </c>
      <c r="W469" s="0" t="n">
        <v>-0.00480322973273272</v>
      </c>
      <c r="X469" s="0" t="n">
        <v>-0.006037748432834</v>
      </c>
    </row>
    <row r="470">
      <c r="A470" s="5" t="n">
        <v>43048</v>
      </c>
      <c r="B470" s="0" t="n">
        <v>-0.0076137372012015</v>
      </c>
      <c r="C470" s="0" t="n">
        <v>0.0247048591652334</v>
      </c>
      <c r="D470" s="0" t="n">
        <v>-0.00836921376389909</v>
      </c>
      <c r="E470" s="0" t="n">
        <v>-0.00249478156282467</v>
      </c>
      <c r="F470" s="0" t="n">
        <v>0.000754734291059211</v>
      </c>
      <c r="G470" s="0" t="n">
        <v>0.0059050436743111</v>
      </c>
      <c r="H470" s="0" t="n">
        <v>-0.00550104698837872</v>
      </c>
      <c r="I470" s="0" t="n">
        <v>-0.00976351082098414</v>
      </c>
      <c r="J470" s="0" t="n">
        <v>0.00563385706874797</v>
      </c>
      <c r="K470" s="0" t="n">
        <v>0.142076280034313</v>
      </c>
      <c r="L470" s="0" t="n">
        <v>-0.00594065313278946</v>
      </c>
      <c r="M470" s="0" t="n">
        <v>-0.000568356294360139</v>
      </c>
      <c r="N470" s="0" t="n">
        <v>0</v>
      </c>
      <c r="O470" s="0" t="n">
        <v>0.00644977952009817</v>
      </c>
      <c r="P470" s="0" t="n">
        <v>-0.00315706364175483</v>
      </c>
      <c r="Q470" s="0" t="n">
        <v>-0.008136772457865369</v>
      </c>
      <c r="R470" s="0" t="n">
        <v>0.0281427229265602</v>
      </c>
      <c r="S470" s="0" t="n">
        <v>0</v>
      </c>
      <c r="T470" s="0" t="n">
        <v>-0.0017635970998584</v>
      </c>
      <c r="U470" s="0" t="n">
        <v>0.00787457958764292</v>
      </c>
      <c r="V470" s="0" t="n">
        <v>-0.0183969542926352</v>
      </c>
      <c r="W470" s="0" t="n">
        <v>-0.00352469754183504</v>
      </c>
      <c r="X470" s="0" t="n">
        <v>-0.00531308223744098</v>
      </c>
    </row>
    <row r="471">
      <c r="A471" s="5" t="n">
        <v>43049</v>
      </c>
      <c r="B471" s="0" t="n">
        <v>-0.00510829025770309</v>
      </c>
      <c r="C471" s="0" t="n">
        <v>-0.0744459120049563</v>
      </c>
      <c r="D471" s="0" t="n">
        <v>-0.00517606092397926</v>
      </c>
      <c r="E471" s="0" t="n">
        <v>0.0124122088401774</v>
      </c>
      <c r="F471" s="0" t="n">
        <v>-0.00415803323206676</v>
      </c>
      <c r="G471" s="0" t="n">
        <v>0.00271368175911668</v>
      </c>
      <c r="H471" s="0" t="n">
        <v>0</v>
      </c>
      <c r="I471" s="0" t="n">
        <v>0.000754449586558791</v>
      </c>
      <c r="J471" s="0" t="n">
        <v>0.0295224106918108</v>
      </c>
      <c r="K471" s="0" t="n">
        <v>0.241200858481259</v>
      </c>
      <c r="L471" s="0" t="n">
        <v>0.00297478519146254</v>
      </c>
      <c r="M471" s="0" t="n">
        <v>0.00340519434212804</v>
      </c>
      <c r="N471" s="0" t="n">
        <v>-0.00973715068333502</v>
      </c>
      <c r="O471" s="0" t="n">
        <v>-0.00146229159567745</v>
      </c>
      <c r="P471" s="0" t="n">
        <v>-0.0313152358407622</v>
      </c>
      <c r="Q471" s="0" t="n">
        <v>0</v>
      </c>
      <c r="R471" s="0" t="n">
        <v>0.00687874529518062</v>
      </c>
      <c r="S471" s="0" t="n">
        <v>0</v>
      </c>
      <c r="T471" s="0" t="n">
        <v>-0.0011775366120692</v>
      </c>
      <c r="U471" s="0" t="n">
        <v>0.0125326375009562</v>
      </c>
      <c r="V471" s="0" t="n">
        <v>0.00213378933112018</v>
      </c>
      <c r="W471" s="0" t="n">
        <v>-0.00167395464396413</v>
      </c>
      <c r="X471" s="0" t="n">
        <v>0.016604103226161</v>
      </c>
    </row>
    <row r="472">
      <c r="A472" s="5" t="n">
        <v>43052</v>
      </c>
      <c r="B472" s="0" t="n">
        <v>0.00329648456364584</v>
      </c>
      <c r="C472" s="0" t="n">
        <v>-0.0606903608174946</v>
      </c>
      <c r="D472" s="0" t="n">
        <v>-0.00447539603951607</v>
      </c>
      <c r="E472" s="0" t="n">
        <v>-0.0115798967991134</v>
      </c>
      <c r="F472" s="0" t="n">
        <v>-0.0060790403494022</v>
      </c>
      <c r="G472" s="0" t="n">
        <v>-0.00543474762959483</v>
      </c>
      <c r="H472" s="0" t="n">
        <v>-0.0255400705346171</v>
      </c>
      <c r="I472" s="0" t="n">
        <v>-0.0015094687970758</v>
      </c>
      <c r="J472" s="0" t="n">
        <v>-0.0276515491561983</v>
      </c>
      <c r="K472" s="0" t="n">
        <v>0.0741080012646602</v>
      </c>
      <c r="L472" s="0" t="n">
        <v>-0.0332189487077934</v>
      </c>
      <c r="M472" s="0" t="n">
        <v>0.00226377659520649</v>
      </c>
      <c r="N472" s="0" t="n">
        <v>-0.0625835078159475</v>
      </c>
      <c r="O472" s="0" t="n">
        <v>-0.013256843205768</v>
      </c>
      <c r="P472" s="0" t="n">
        <v>-0.0306442095994508</v>
      </c>
      <c r="Q472" s="0" t="n">
        <v>-0.009852287185835079</v>
      </c>
      <c r="R472" s="0" t="n">
        <v>-0.014656418967105</v>
      </c>
      <c r="S472" s="0" t="n">
        <v>-0.000496811018079412</v>
      </c>
      <c r="T472" s="0" t="n">
        <v>0.00264745412365741</v>
      </c>
      <c r="U472" s="0" t="n">
        <v>-0.00167200740042439</v>
      </c>
      <c r="V472" s="0" t="n">
        <v>0.00425390559611127</v>
      </c>
      <c r="W472" s="0" t="n">
        <v>0.00593913565518322</v>
      </c>
      <c r="X472" s="0" t="n">
        <v>0.018539649026914</v>
      </c>
    </row>
    <row r="473">
      <c r="A473" s="5" t="n">
        <v>43053</v>
      </c>
      <c r="B473" s="0" t="n">
        <v>-0.0120951050684343</v>
      </c>
      <c r="C473" s="0" t="n">
        <v>0.0199121290625678</v>
      </c>
      <c r="D473" s="0" t="n">
        <v>-0.00364337811097037</v>
      </c>
      <c r="E473" s="0" t="n">
        <v>-0.0016653174025607</v>
      </c>
      <c r="F473" s="0" t="n">
        <v>0.0207437623774788</v>
      </c>
      <c r="G473" s="0" t="n">
        <v>-0.0187949533203393</v>
      </c>
      <c r="H473" s="0" t="n">
        <v>0.0128515699516804</v>
      </c>
      <c r="I473" s="0" t="n">
        <v>0</v>
      </c>
      <c r="J473" s="0" t="n">
        <v>0.00559185236301207</v>
      </c>
      <c r="K473" s="0" t="n">
        <v>-0.03226083119837</v>
      </c>
      <c r="L473" s="0" t="n">
        <v>0.009169620886091851</v>
      </c>
      <c r="M473" s="0" t="n">
        <v>-0.000565463890925599</v>
      </c>
      <c r="N473" s="0" t="n">
        <v>0.0260467173621523</v>
      </c>
      <c r="O473" s="0" t="n">
        <v>0.00266548800287402</v>
      </c>
      <c r="P473" s="0" t="n">
        <v>-0.0126959446735535</v>
      </c>
      <c r="Q473" s="0" t="n">
        <v>-0.00165148706972972</v>
      </c>
      <c r="R473" s="0" t="n">
        <v>-0.009127264797593959</v>
      </c>
      <c r="S473" s="0" t="n">
        <v>-0.00248823934026232</v>
      </c>
      <c r="T473" s="0" t="n">
        <v>0.0020542837233739</v>
      </c>
      <c r="U473" s="0" t="n">
        <v>-0.00717616944772192</v>
      </c>
      <c r="V473" s="0" t="n">
        <v>-0.00294310718694035</v>
      </c>
      <c r="W473" s="0" t="n">
        <v>-0.00538086302588647</v>
      </c>
      <c r="X473" s="0" t="n">
        <v>-0.00737462252383425</v>
      </c>
    </row>
    <row r="474">
      <c r="A474" s="5" t="n">
        <v>43054</v>
      </c>
      <c r="B474" s="0" t="n">
        <v>0.0136386490934192</v>
      </c>
      <c r="C474" s="0" t="n">
        <v>-0.000547770078274556</v>
      </c>
      <c r="D474" s="0" t="n">
        <v>0.0150941700871118</v>
      </c>
      <c r="E474" s="0" t="n">
        <v>0.00332778692432134</v>
      </c>
      <c r="F474" s="0" t="n">
        <v>-0.00112047391757563</v>
      </c>
      <c r="G474" s="0" t="n">
        <v>0.0305332471152661</v>
      </c>
      <c r="H474" s="0" t="n">
        <v>0.0197557170250597</v>
      </c>
      <c r="I474" s="0" t="n">
        <v>0</v>
      </c>
      <c r="J474" s="0" t="n">
        <v>0.00371057578562505</v>
      </c>
      <c r="K474" s="0" t="n">
        <v>-0.139403450511744</v>
      </c>
      <c r="L474" s="0" t="n">
        <v>0.0110944769621856</v>
      </c>
      <c r="M474" s="0" t="n">
        <v>0.00564019423416928</v>
      </c>
      <c r="N474" s="0" t="n">
        <v>-0.00203181466732482</v>
      </c>
      <c r="O474" s="0" t="n">
        <v>0.0207822221383637</v>
      </c>
      <c r="P474" s="0" t="n">
        <v>-0.00426805531543106</v>
      </c>
      <c r="Q474" s="0" t="n">
        <v>0.0196405467134301</v>
      </c>
      <c r="R474" s="0" t="n">
        <v>0.00656862375254263</v>
      </c>
      <c r="S474" s="0" t="n">
        <v>0.00942236251508799</v>
      </c>
      <c r="T474" s="0" t="n">
        <v>0.050589452635513</v>
      </c>
      <c r="U474" s="0" t="n">
        <v>0.00945553971943713</v>
      </c>
      <c r="V474" s="0" t="n">
        <v>0.0130146500411374</v>
      </c>
      <c r="W474" s="0" t="n">
        <v>0.0156901877965869</v>
      </c>
      <c r="X474" s="0" t="n">
        <v>-0.00817549042479282</v>
      </c>
    </row>
    <row r="475">
      <c r="A475" s="5" t="n">
        <v>43055</v>
      </c>
      <c r="B475" s="0" t="n">
        <v>-0.00100636660730835</v>
      </c>
      <c r="C475" s="0" t="n">
        <v>-0.00219419470506121</v>
      </c>
      <c r="D475" s="0" t="n">
        <v>-0.00661341971189699</v>
      </c>
      <c r="E475" s="0" t="n">
        <v>-0.00249478156282467</v>
      </c>
      <c r="F475" s="0" t="n">
        <v>-0.00524539931977186</v>
      </c>
      <c r="G475" s="0" t="n">
        <v>0.0494738291067533</v>
      </c>
      <c r="H475" s="0" t="n">
        <v>0.0201400874628738</v>
      </c>
      <c r="I475" s="0" t="n">
        <v>0.0127581526932085</v>
      </c>
      <c r="J475" s="0" t="n">
        <v>0.0110498255125746</v>
      </c>
      <c r="K475" s="0" t="n">
        <v>0.0221325904664939</v>
      </c>
      <c r="L475" s="0" t="n">
        <v>0.0139443883166729</v>
      </c>
      <c r="M475" s="0" t="n">
        <v>-0.00535747624563498</v>
      </c>
      <c r="N475" s="0" t="n">
        <v>0.00338411087173096</v>
      </c>
      <c r="O475" s="0" t="n">
        <v>-0.00028979100325488</v>
      </c>
      <c r="P475" s="0" t="n">
        <v>0.0135941601840561</v>
      </c>
      <c r="Q475" s="0" t="n">
        <v>0.0112812954189507</v>
      </c>
      <c r="R475" s="0" t="n">
        <v>0.00595997452687946</v>
      </c>
      <c r="S475" s="0" t="n">
        <v>0.00147968884205429</v>
      </c>
      <c r="T475" s="0" t="n">
        <v>0.000557271038130302</v>
      </c>
      <c r="U475" s="0" t="n">
        <v>0.00816332476202053</v>
      </c>
      <c r="V475" s="0" t="n">
        <v>-0.008929343252193959</v>
      </c>
      <c r="W475" s="0" t="n">
        <v>-0.008275853178617339</v>
      </c>
      <c r="X475" s="0" t="n">
        <v>0.0103935861777997</v>
      </c>
    </row>
    <row r="476">
      <c r="A476" s="5" t="n">
        <v>43056</v>
      </c>
      <c r="B476" s="0" t="n">
        <v>0.0102845390814767</v>
      </c>
      <c r="C476" s="0" t="n">
        <v>-0.0127108310714696</v>
      </c>
      <c r="D476" s="0" t="n">
        <v>0.00349251774358361</v>
      </c>
      <c r="E476" s="0" t="n">
        <v>0.00994207724099727</v>
      </c>
      <c r="F476" s="0" t="n">
        <v>0.00449771862087811</v>
      </c>
      <c r="G476" s="0" t="n">
        <v>-0.00901096342716956</v>
      </c>
      <c r="H476" s="0" t="n">
        <v>0.009919895201493389</v>
      </c>
      <c r="I476" s="0" t="n">
        <v>-0.00974156197422626</v>
      </c>
      <c r="J476" s="0" t="n">
        <v>-0.00550969441110837</v>
      </c>
      <c r="K476" s="0" t="n">
        <v>0.05360624957106</v>
      </c>
      <c r="L476" s="0" t="n">
        <v>0.000988653477278056</v>
      </c>
      <c r="M476" s="0" t="n">
        <v>-0.000565623841360718</v>
      </c>
      <c r="N476" s="0" t="n">
        <v>0</v>
      </c>
      <c r="O476" s="0" t="n">
        <v>0.00375997760158819</v>
      </c>
      <c r="P476" s="0" t="n">
        <v>-0.0187399234019567</v>
      </c>
      <c r="Q476" s="0" t="n">
        <v>0.00479620590125184</v>
      </c>
      <c r="R476" s="0" t="n">
        <v>-0.00425355890080414</v>
      </c>
      <c r="S476" s="0" t="n">
        <v>0.0621020526344229</v>
      </c>
      <c r="T476" s="0" t="n">
        <v>0.0165749225906228</v>
      </c>
      <c r="U476" s="0" t="n">
        <v>-0.008922499086096989</v>
      </c>
      <c r="V476" s="0" t="n">
        <v>-0.008516272603064749</v>
      </c>
      <c r="W476" s="0" t="n">
        <v>-0.00184847165596302</v>
      </c>
      <c r="X476" s="0" t="n">
        <v>0.00221318669099845</v>
      </c>
    </row>
    <row r="477">
      <c r="A477" s="5" t="n">
        <v>43059</v>
      </c>
      <c r="B477" s="0" t="n">
        <v>0.00952200861157503</v>
      </c>
      <c r="C477" s="0" t="n">
        <v>-0.008377657002540669</v>
      </c>
      <c r="D477" s="0" t="n">
        <v>0.00395947276204644</v>
      </c>
      <c r="E477" s="0" t="n">
        <v>-0.000824761191645873</v>
      </c>
      <c r="F477" s="0" t="n">
        <v>-0.000374050088904009</v>
      </c>
      <c r="G477" s="0" t="n">
        <v>-0.0182693233960775</v>
      </c>
      <c r="H477" s="0" t="n">
        <v>0.00530108389472028</v>
      </c>
      <c r="I477" s="0" t="n">
        <v>-0.00377218041426141</v>
      </c>
      <c r="J477" s="0" t="n">
        <v>0.00550969441110837</v>
      </c>
      <c r="K477" s="0" t="n">
        <v>0.0324445736944181</v>
      </c>
      <c r="L477" s="0" t="n">
        <v>0.0330448097327868</v>
      </c>
      <c r="M477" s="0" t="n">
        <v>0.00536049930929216</v>
      </c>
      <c r="N477" s="0" t="n">
        <v>-0.0184117344531253</v>
      </c>
      <c r="O477" s="0" t="n">
        <v>-0.00898940526791802</v>
      </c>
      <c r="P477" s="0" t="n">
        <v>0.000859495427652401</v>
      </c>
      <c r="Q477" s="0" t="n">
        <v>0.0126784462833009</v>
      </c>
      <c r="R477" s="0" t="n">
        <v>0.0157883568315595</v>
      </c>
      <c r="S477" s="0" t="n">
        <v>0.07536440076407649</v>
      </c>
      <c r="T477" s="0" t="n">
        <v>0.0041012093780175</v>
      </c>
      <c r="U477" s="0" t="n">
        <v>-0.0027380653032436</v>
      </c>
      <c r="V477" s="0" t="n">
        <v>0.00721082177372167</v>
      </c>
      <c r="W477" s="0" t="n">
        <v>0.00865808525480549</v>
      </c>
      <c r="X477" s="0" t="n">
        <v>-0.00147488995569</v>
      </c>
    </row>
    <row r="478">
      <c r="A478" s="5" t="n">
        <v>43060</v>
      </c>
      <c r="B478" s="0" t="n">
        <v>-0.00118525415599535</v>
      </c>
      <c r="C478" s="0" t="n">
        <v>0.017788196997484</v>
      </c>
      <c r="D478" s="0" t="n">
        <v>0.00203359321787832</v>
      </c>
      <c r="E478" s="0" t="n">
        <v>-0.00413396137323474</v>
      </c>
      <c r="F478" s="0" t="n">
        <v>-0.00262220399827706</v>
      </c>
      <c r="G478" s="0" t="n">
        <v>0.0156797072275507</v>
      </c>
      <c r="H478" s="0" t="n">
        <v>0.00150943278218429</v>
      </c>
      <c r="I478" s="0" t="n">
        <v>0.009778198884253349</v>
      </c>
      <c r="J478" s="0" t="n">
        <v>-0.00366972535712073</v>
      </c>
      <c r="K478" s="0" t="n">
        <v>0.06941564492505981</v>
      </c>
      <c r="L478" s="0" t="n">
        <v>0.0292060713881716</v>
      </c>
      <c r="M478" s="0" t="n">
        <v>-0.003099920996116</v>
      </c>
      <c r="N478" s="0" t="n">
        <v>-0.0131626133922426</v>
      </c>
      <c r="O478" s="0" t="n">
        <v>0.0156071692497401</v>
      </c>
      <c r="P478" s="0" t="n">
        <v>0.00940576879179477</v>
      </c>
      <c r="Q478" s="0" t="n">
        <v>0.00784320738068022</v>
      </c>
      <c r="R478" s="0" t="n">
        <v>-0.00027971244547853</v>
      </c>
      <c r="S478" s="0" t="n">
        <v>0.0233506355507397</v>
      </c>
      <c r="T478" s="0" t="n">
        <v>-0.00547199058067304</v>
      </c>
      <c r="U478" s="0" t="n">
        <v>-0.00244019738066203</v>
      </c>
      <c r="V478" s="0" t="n">
        <v>-0.00163429171765994</v>
      </c>
      <c r="W478" s="0" t="n">
        <v>-0.00847304897319345</v>
      </c>
      <c r="X478" s="0" t="n">
        <v>-0.000738296735308452</v>
      </c>
    </row>
    <row r="479">
      <c r="A479" s="5" t="n">
        <v>43061</v>
      </c>
      <c r="B479" s="0" t="n">
        <v>0.000461065620558365</v>
      </c>
      <c r="C479" s="0" t="n">
        <v>0.00220144017075574</v>
      </c>
      <c r="D479" s="0" t="n">
        <v>0.00417385944958415</v>
      </c>
      <c r="E479" s="0" t="n">
        <v>0.00248247430350501</v>
      </c>
      <c r="F479" s="0" t="n">
        <v>-0.00262909803361344</v>
      </c>
      <c r="G479" s="0" t="n">
        <v>-0.00693844288853906</v>
      </c>
      <c r="H479" s="0" t="n">
        <v>-0.00226505849235492</v>
      </c>
      <c r="I479" s="0" t="n">
        <v>-0.0150832281083417</v>
      </c>
      <c r="J479" s="0" t="n">
        <v>0</v>
      </c>
      <c r="K479" s="0" t="n">
        <v>0.110083013794748</v>
      </c>
      <c r="L479" s="0" t="n">
        <v>0.0193108607188166</v>
      </c>
      <c r="M479" s="0" t="n">
        <v>0.001692086461615</v>
      </c>
      <c r="N479" s="0" t="n">
        <v>-0.0354898845975317</v>
      </c>
      <c r="O479" s="0" t="n">
        <v>-0.00172208878181168</v>
      </c>
      <c r="P479" s="0" t="n">
        <v>0.00763040175318208</v>
      </c>
      <c r="Q479" s="0" t="n">
        <v>-0.00312988997264085</v>
      </c>
      <c r="R479" s="0" t="n">
        <v>-0.0130960156989949</v>
      </c>
      <c r="S479" s="0" t="n">
        <v>-0.00125973928790967</v>
      </c>
      <c r="T479" s="0" t="n">
        <v>0.00109681706055875</v>
      </c>
      <c r="U479" s="0" t="n">
        <v>-0.000152622841294913</v>
      </c>
      <c r="V479" s="0" t="n">
        <v>0.00473201366386177</v>
      </c>
      <c r="W479" s="0" t="n">
        <v>0.000554762452944945</v>
      </c>
      <c r="X479" s="0" t="n">
        <v>-0.0059259376160945</v>
      </c>
    </row>
    <row r="480">
      <c r="A480" s="5" t="n">
        <v>43063</v>
      </c>
      <c r="B480" s="0" t="n">
        <v>0.000921594386238844</v>
      </c>
      <c r="C480" s="0" t="n">
        <v>-0.00385573392280536</v>
      </c>
      <c r="D480" s="0" t="n">
        <v>0.00923956817370008</v>
      </c>
      <c r="E480" s="0" t="n">
        <v>0.000826045085530413</v>
      </c>
      <c r="F480" s="0" t="n">
        <v>0</v>
      </c>
      <c r="G480" s="0" t="n">
        <v>0.008665598576564459</v>
      </c>
      <c r="H480" s="0" t="n">
        <v>-0.00682590434190721</v>
      </c>
      <c r="I480" s="0" t="n">
        <v>0.00454894032004427</v>
      </c>
      <c r="J480" s="0" t="n">
        <v>0</v>
      </c>
      <c r="K480" s="0" t="n">
        <v>0.135296648051522</v>
      </c>
      <c r="L480" s="0" t="n">
        <v>-0.00639560853178178</v>
      </c>
      <c r="M480" s="0" t="n">
        <v>0</v>
      </c>
      <c r="N480" s="0" t="n">
        <v>-0.0160236688957104</v>
      </c>
      <c r="O480" s="0" t="n">
        <v>-0.00374158056229179</v>
      </c>
      <c r="P480" s="0" t="n">
        <v>-0.0378703204051578</v>
      </c>
      <c r="Q480" s="0" t="n">
        <v>-0.00313971694928505</v>
      </c>
      <c r="R480" s="0" t="n">
        <v>-0.00212843671707485</v>
      </c>
      <c r="S480" s="0" t="n">
        <v>-0.0178046284725819</v>
      </c>
      <c r="T480" s="0" t="n">
        <v>0.0103598868299386</v>
      </c>
      <c r="U480" s="0" t="n">
        <v>-0.00628119495254964</v>
      </c>
      <c r="V480" s="0" t="n">
        <v>0.00292588478947752</v>
      </c>
      <c r="W480" s="0" t="n">
        <v>-0.00259162285858982</v>
      </c>
      <c r="X480" s="0" t="n">
        <v>0.0029673583937031</v>
      </c>
    </row>
    <row r="481">
      <c r="A481" s="5" t="n">
        <v>43066</v>
      </c>
      <c r="B481" s="0" t="n">
        <v>0.00321895826035767</v>
      </c>
      <c r="C481" s="0" t="n">
        <v>0.0158777280487152</v>
      </c>
      <c r="D481" s="0" t="n">
        <v>0.00282592313696117</v>
      </c>
      <c r="E481" s="0" t="n">
        <v>0.00822376203220454</v>
      </c>
      <c r="F481" s="0" t="n">
        <v>0.0387287658238126</v>
      </c>
      <c r="G481" s="0" t="n">
        <v>0.0162604850383214</v>
      </c>
      <c r="H481" s="0" t="n">
        <v>0.0121030103841475</v>
      </c>
      <c r="I481" s="0" t="n">
        <v>-0.0144764839790223</v>
      </c>
      <c r="J481" s="0" t="n">
        <v>-0.00183996905398764</v>
      </c>
      <c r="K481" s="0" t="n">
        <v>-0.0604317577623623</v>
      </c>
      <c r="L481" s="0" t="n">
        <v>0.0377742824471942</v>
      </c>
      <c r="M481" s="0" t="n">
        <v>0.0100925105302769</v>
      </c>
      <c r="N481" s="0" t="n">
        <v>0.00512631633007831</v>
      </c>
      <c r="O481" s="0" t="n">
        <v>0.0211134199470799</v>
      </c>
      <c r="P481" s="0" t="n">
        <v>0.00262818256807007</v>
      </c>
      <c r="Q481" s="0" t="n">
        <v>0.0109461132077182</v>
      </c>
      <c r="R481" s="0" t="n">
        <v>0.0321480577236483</v>
      </c>
      <c r="S481" s="0" t="n">
        <v>-0.00471592316252866</v>
      </c>
      <c r="T481" s="0" t="n">
        <v>0.0230573385673134</v>
      </c>
      <c r="U481" s="0" t="n">
        <v>0.02023347064556</v>
      </c>
      <c r="V481" s="0" t="n">
        <v>0.0146623079419754</v>
      </c>
      <c r="W481" s="0" t="n">
        <v>0.0295857759543478</v>
      </c>
      <c r="X481" s="0" t="n">
        <v>0.0342225069389323</v>
      </c>
    </row>
    <row r="482">
      <c r="A482" s="5" t="n">
        <v>43067</v>
      </c>
      <c r="B482" s="0" t="n">
        <v>0.00705840337151464</v>
      </c>
      <c r="C482" s="0" t="n">
        <v>0.00379500485039629</v>
      </c>
      <c r="D482" s="0" t="n">
        <v>-0.00105880800614865</v>
      </c>
      <c r="E482" s="0" t="n">
        <v>0.0282619032021713</v>
      </c>
      <c r="F482" s="0" t="n">
        <v>0.0228908884913381</v>
      </c>
      <c r="G482" s="0" t="n">
        <v>0.0342127535146925</v>
      </c>
      <c r="H482" s="0" t="n">
        <v>-0.0258963189081176</v>
      </c>
      <c r="I482" s="0" t="n">
        <v>-0.0295971856255494</v>
      </c>
      <c r="J482" s="0" t="n">
        <v>0.00916600210815721</v>
      </c>
      <c r="K482" s="0" t="n">
        <v>-0.150060678941727</v>
      </c>
      <c r="L482" s="0" t="n">
        <v>-0.0286500967829863</v>
      </c>
      <c r="M482" s="0" t="n">
        <v>0.009991774010965401</v>
      </c>
      <c r="N482" s="0" t="n">
        <v>0.0602378608327573</v>
      </c>
      <c r="O482" s="0" t="n">
        <v>0.0294875719986005</v>
      </c>
      <c r="P482" s="0" t="n">
        <v>0.00784319049791193</v>
      </c>
      <c r="Q482" s="0" t="n">
        <v>-0.0204248478797177</v>
      </c>
      <c r="R482" s="0" t="n">
        <v>0.009582613846949251</v>
      </c>
      <c r="S482" s="0" t="n">
        <v>-0.0466224003011053</v>
      </c>
      <c r="T482" s="0" t="n">
        <v>-0.00664807668692502</v>
      </c>
      <c r="U482" s="0" t="n">
        <v>0.0145027762786975</v>
      </c>
      <c r="V482" s="0" t="n">
        <v>0.00605967509004923</v>
      </c>
      <c r="W482" s="0" t="n">
        <v>0.0197779384065741</v>
      </c>
      <c r="X482" s="0" t="n">
        <v>0.0358561629607403</v>
      </c>
    </row>
    <row r="483">
      <c r="A483" s="5" t="n">
        <v>43068</v>
      </c>
      <c r="B483" s="0" t="n">
        <v>0.00273151940850002</v>
      </c>
      <c r="C483" s="0" t="n">
        <v>-0.0103345626119346</v>
      </c>
      <c r="D483" s="0" t="n">
        <v>-0.0037735858188066</v>
      </c>
      <c r="E483" s="0" t="n">
        <v>-0.00318979221447968</v>
      </c>
      <c r="F483" s="0" t="n">
        <v>-0.0038972807120019</v>
      </c>
      <c r="G483" s="0" t="n">
        <v>0.0589343073157619</v>
      </c>
      <c r="H483" s="0" t="n">
        <v>-0.0321470498847675</v>
      </c>
      <c r="I483" s="0" t="n">
        <v>-0.000790769137497981</v>
      </c>
      <c r="J483" s="0" t="n">
        <v>0.00364298779793781</v>
      </c>
      <c r="K483" s="0" t="n">
        <v>0.133531392624522</v>
      </c>
      <c r="L483" s="0" t="n">
        <v>-0.0285602478809572</v>
      </c>
      <c r="M483" s="0" t="n">
        <v>0.00137986054321803</v>
      </c>
      <c r="N483" s="0" t="n">
        <v>0.00343290351129743</v>
      </c>
      <c r="O483" s="0" t="n">
        <v>-0.00274495020785181</v>
      </c>
      <c r="P483" s="0" t="n">
        <v>0.0273989473391758</v>
      </c>
      <c r="Q483" s="0" t="n">
        <v>-0.0176145677323411</v>
      </c>
      <c r="R483" s="0" t="n">
        <v>0.0426731004174447</v>
      </c>
      <c r="S483" s="0" t="n">
        <v>0.00583620378637661</v>
      </c>
      <c r="T483" s="0" t="n">
        <v>-0.00481413896104721</v>
      </c>
      <c r="U483" s="0" t="n">
        <v>0.0068047462115599</v>
      </c>
      <c r="V483" s="0" t="n">
        <v>0.00459985108743588</v>
      </c>
      <c r="W483" s="0" t="n">
        <v>-0.00371187490507995</v>
      </c>
      <c r="X483" s="0" t="n">
        <v>-0.00554017525305505</v>
      </c>
    </row>
    <row r="484">
      <c r="A484" s="5" t="n">
        <v>43069</v>
      </c>
      <c r="B484" s="0" t="n">
        <v>0.00511770816756751</v>
      </c>
      <c r="C484" s="0" t="n">
        <v>-0.0226716416447203</v>
      </c>
      <c r="D484" s="0" t="n">
        <v>0.008001929127471099</v>
      </c>
      <c r="E484" s="0" t="n">
        <v>0.00478084297304759</v>
      </c>
      <c r="F484" s="0" t="n">
        <v>-0.00248799468148641</v>
      </c>
      <c r="G484" s="0" t="n">
        <v>-0.00737439909070536</v>
      </c>
      <c r="H484" s="0" t="n">
        <v>0.00635426464764821</v>
      </c>
      <c r="I484" s="0" t="n">
        <v>0.0063091630244858</v>
      </c>
      <c r="J484" s="0" t="n">
        <v>0.00724640163503198</v>
      </c>
      <c r="K484" s="0" t="n">
        <v>-0.0134230074446499</v>
      </c>
      <c r="L484" s="0" t="n">
        <v>0.0185190305957023</v>
      </c>
      <c r="M484" s="0" t="n">
        <v>0.00247900296517489</v>
      </c>
      <c r="N484" s="0" t="n">
        <v>-0.020076822389119</v>
      </c>
      <c r="O484" s="0" t="n">
        <v>0.00329305813851332</v>
      </c>
      <c r="P484" s="0" t="n">
        <v>0.0225478868712989</v>
      </c>
      <c r="Q484" s="0" t="n">
        <v>0.00483477707932089</v>
      </c>
      <c r="R484" s="0" t="n">
        <v>-0.0195101853638552</v>
      </c>
      <c r="S484" s="0" t="n">
        <v>-0.00718780479003644</v>
      </c>
      <c r="T484" s="0" t="n">
        <v>0.008010703618333</v>
      </c>
      <c r="U484" s="0" t="n">
        <v>0.0109963717815677</v>
      </c>
      <c r="V484" s="0" t="n">
        <v>0.0007909998298547541</v>
      </c>
      <c r="W484" s="0" t="n">
        <v>-0.00479277482650708</v>
      </c>
      <c r="X484" s="0" t="n">
        <v>0.0027739243143503</v>
      </c>
    </row>
    <row r="485">
      <c r="A485" s="5" t="n">
        <v>43070</v>
      </c>
      <c r="B485" s="0" t="n">
        <v>0.0109249348304274</v>
      </c>
      <c r="C485" s="0" t="n">
        <v>0.00390727701677429</v>
      </c>
      <c r="D485" s="0" t="n">
        <v>0.00304274235818358</v>
      </c>
      <c r="E485" s="0" t="n">
        <v>0.00396670021584544</v>
      </c>
      <c r="F485" s="0" t="n">
        <v>0.0335930498492449</v>
      </c>
      <c r="G485" s="0" t="n">
        <v>0.0460594865783132</v>
      </c>
      <c r="H485" s="0" t="n">
        <v>0.0203768611696744</v>
      </c>
      <c r="I485" s="0" t="n">
        <v>-0.0126583844557819</v>
      </c>
      <c r="J485" s="0" t="n">
        <v>0.0125562494605064</v>
      </c>
      <c r="K485" s="0" t="n">
        <v>-0.0118948168417649</v>
      </c>
      <c r="L485" s="0" t="n">
        <v>0.0378082915781705</v>
      </c>
      <c r="M485" s="0" t="n">
        <v>-0.008009906143445541</v>
      </c>
      <c r="N485" s="0" t="n">
        <v>0.0350431060090787</v>
      </c>
      <c r="O485" s="0" t="n">
        <v>0.0208764651850841</v>
      </c>
      <c r="P485" s="0" t="n">
        <v>-0.0174931611534452</v>
      </c>
      <c r="Q485" s="0" t="n">
        <v>0.0096001408692381</v>
      </c>
      <c r="R485" s="0" t="n">
        <v>-0.0467355695427738</v>
      </c>
      <c r="S485" s="0" t="n">
        <v>0.00539564857226793</v>
      </c>
      <c r="T485" s="0" t="n">
        <v>0.00318648031351909</v>
      </c>
      <c r="U485" s="0" t="n">
        <v>0.0216364990218824</v>
      </c>
      <c r="V485" s="0" t="n">
        <v>-0.012250577836383</v>
      </c>
      <c r="W485" s="0" t="n">
        <v>0.0209532910100351</v>
      </c>
      <c r="X485" s="0" t="n">
        <v>0.0178453764041779</v>
      </c>
    </row>
    <row r="486">
      <c r="A486" s="5" t="n">
        <v>43073</v>
      </c>
      <c r="B486" s="0" t="n">
        <v>-0.00711975404015152</v>
      </c>
      <c r="C486" s="0" t="n">
        <v>-0.0106413346847884</v>
      </c>
      <c r="D486" s="0" t="n">
        <v>0.00559306665730474</v>
      </c>
      <c r="E486" s="0" t="n">
        <v>-0.0159620153492676</v>
      </c>
      <c r="F486" s="0" t="n">
        <v>-0.00448351022757087</v>
      </c>
      <c r="G486" s="0" t="n">
        <v>-0.0248600322857672</v>
      </c>
      <c r="H486" s="0" t="n">
        <v>-0.00700658351347804</v>
      </c>
      <c r="I486" s="0" t="n">
        <v>-0.0217312739749848</v>
      </c>
      <c r="J486" s="0" t="n">
        <v>0.0229084271226263</v>
      </c>
      <c r="K486" s="0" t="n">
        <v>-0.00514135370321211</v>
      </c>
      <c r="L486" s="0" t="n">
        <v>-0.0223323266633213</v>
      </c>
      <c r="M486" s="0" t="n">
        <v>-0.0119962462629517</v>
      </c>
      <c r="N486" s="0" t="n">
        <v>-0.0287691118553401</v>
      </c>
      <c r="O486" s="0" t="n">
        <v>-0.0195075604515992</v>
      </c>
      <c r="P486" s="0" t="n">
        <v>0.0125263077040793</v>
      </c>
      <c r="Q486" s="0" t="n">
        <v>0.00317964978378215</v>
      </c>
      <c r="R486" s="0" t="n">
        <v>-0.00953055964230831</v>
      </c>
      <c r="S486" s="0" t="n">
        <v>-0.0149087891108008</v>
      </c>
      <c r="T486" s="0" t="n">
        <v>-0.0109290660868297</v>
      </c>
      <c r="U486" s="0" t="n">
        <v>0.00142590174734191</v>
      </c>
      <c r="V486" s="0" t="n">
        <v>-0.00722953999290165</v>
      </c>
      <c r="W486" s="0" t="n">
        <v>0.0200110155280475</v>
      </c>
      <c r="X486" s="0" t="n">
        <v>-0.0164612614408077</v>
      </c>
    </row>
    <row r="487">
      <c r="A487" s="5" t="n">
        <v>43074</v>
      </c>
      <c r="B487" s="0" t="n">
        <v>-0.00807889319429122</v>
      </c>
      <c r="C487" s="0" t="n">
        <v>-0.00564650772966679</v>
      </c>
      <c r="D487" s="0" t="n">
        <v>-0.00863580901548832</v>
      </c>
      <c r="E487" s="0" t="n">
        <v>-0.00403065357370469</v>
      </c>
      <c r="F487" s="0" t="n">
        <v>-0.0100748087555224</v>
      </c>
      <c r="G487" s="0" t="n">
        <v>0.00722026838368483</v>
      </c>
      <c r="H487" s="0" t="n">
        <v>0.0108781072649595</v>
      </c>
      <c r="I487" s="0" t="n">
        <v>-0.0172347342830954</v>
      </c>
      <c r="J487" s="0" t="n">
        <v>-0.0246925897453851</v>
      </c>
      <c r="K487" s="0" t="n">
        <v>-0.062021713160727</v>
      </c>
      <c r="L487" s="0" t="n">
        <v>-0.00634344635435324</v>
      </c>
      <c r="M487" s="0" t="n">
        <v>-0.00196656033103348</v>
      </c>
      <c r="N487" s="0" t="n">
        <v>-0.0389705835430422</v>
      </c>
      <c r="O487" s="0" t="n">
        <v>-0.0121113131300014</v>
      </c>
      <c r="P487" s="0" t="n">
        <v>-0.0475876038247093</v>
      </c>
      <c r="Q487" s="0" t="n">
        <v>0.00632912884376324</v>
      </c>
      <c r="R487" s="0" t="n">
        <v>0.00519693730618175</v>
      </c>
      <c r="S487" s="0" t="n">
        <v>-0.00685088872387318</v>
      </c>
      <c r="T487" s="0" t="n">
        <v>0.00267662024060388</v>
      </c>
      <c r="U487" s="0" t="n">
        <v>0.0208693884772195</v>
      </c>
      <c r="V487" s="0" t="n">
        <v>-0.017074961112109</v>
      </c>
      <c r="W487" s="0" t="n">
        <v>0.00034153787808222</v>
      </c>
      <c r="X487" s="0" t="n">
        <v>0.00414082155435124</v>
      </c>
    </row>
    <row r="488">
      <c r="A488" s="5" t="n">
        <v>43075</v>
      </c>
      <c r="B488" s="0" t="n">
        <v>-0.0034452451029372</v>
      </c>
      <c r="C488" s="0" t="n">
        <v>0.00282723924073158</v>
      </c>
      <c r="D488" s="0" t="n">
        <v>0.00642566664343124</v>
      </c>
      <c r="E488" s="0" t="n">
        <v>0.0120434710963528</v>
      </c>
      <c r="F488" s="0" t="n">
        <v>0.00487640453636117</v>
      </c>
      <c r="G488" s="0" t="n">
        <v>0.00453347350011368</v>
      </c>
      <c r="H488" s="0" t="n">
        <v>-0.0100972189028096</v>
      </c>
      <c r="I488" s="0" t="n">
        <v>-0.00497921900038367</v>
      </c>
      <c r="J488" s="0" t="n">
        <v>0.00534288176737751</v>
      </c>
      <c r="K488" s="0" t="n">
        <v>-0.0506199891701013</v>
      </c>
      <c r="L488" s="0" t="n">
        <v>-0.0239202050288103</v>
      </c>
      <c r="M488" s="0" t="n">
        <v>-0.00168875278331537</v>
      </c>
      <c r="N488" s="0" t="n">
        <v>0.0186118632240526</v>
      </c>
      <c r="O488" s="0" t="n">
        <v>0.00166014314850171</v>
      </c>
      <c r="P488" s="0" t="n">
        <v>0.0164009315875701</v>
      </c>
      <c r="Q488" s="0" t="n">
        <v>-0.0207178904284079</v>
      </c>
      <c r="R488" s="0" t="n">
        <v>-0.00407105115601602</v>
      </c>
      <c r="S488" s="0" t="n">
        <v>0.008215486939449059</v>
      </c>
      <c r="T488" s="0" t="n">
        <v>-0.000267299061868619</v>
      </c>
      <c r="U488" s="0" t="n">
        <v>-0.00223531328079928</v>
      </c>
      <c r="V488" s="0" t="n">
        <v>0.0141684468055318</v>
      </c>
      <c r="W488" s="0" t="n">
        <v>0.0133979942500817</v>
      </c>
      <c r="X488" s="0" t="n">
        <v>0.0130004962835408</v>
      </c>
    </row>
    <row r="489">
      <c r="A489" s="5" t="n">
        <v>43076</v>
      </c>
      <c r="B489" s="0" t="n">
        <v>0.00804200595140347</v>
      </c>
      <c r="C489" s="0" t="n">
        <v>0</v>
      </c>
      <c r="D489" s="0" t="n">
        <v>0.00673162015871309</v>
      </c>
      <c r="E489" s="0" t="n">
        <v>0.00636437515377963</v>
      </c>
      <c r="F489" s="0" t="n">
        <v>0.009337731717296009</v>
      </c>
      <c r="G489" s="0" t="n">
        <v>0.00563803845429689</v>
      </c>
      <c r="H489" s="0" t="n">
        <v>0.00467290127418262</v>
      </c>
      <c r="I489" s="0" t="n">
        <v>-0.00500421547852925</v>
      </c>
      <c r="J489" s="0" t="n">
        <v>0.00177457935861813</v>
      </c>
      <c r="K489" s="0" t="n">
        <v>0.0593569097010158</v>
      </c>
      <c r="L489" s="0" t="n">
        <v>0.00371747294052893</v>
      </c>
      <c r="M489" s="0" t="n">
        <v>0.00673786021316757</v>
      </c>
      <c r="N489" s="0" t="n">
        <v>0.0396297729168555</v>
      </c>
      <c r="O489" s="0" t="n">
        <v>0.0153638520282077</v>
      </c>
      <c r="P489" s="0" t="n">
        <v>0.009373707785599089</v>
      </c>
      <c r="Q489" s="0" t="n">
        <v>0.0222938957978899</v>
      </c>
      <c r="R489" s="0" t="n">
        <v>0.0277448799605055</v>
      </c>
      <c r="S489" s="0" t="n">
        <v>0.00181657246575017</v>
      </c>
      <c r="T489" s="0" t="n">
        <v>0.00559924349129659</v>
      </c>
      <c r="U489" s="0" t="n">
        <v>0.000559296928329011</v>
      </c>
      <c r="V489" s="0" t="n">
        <v>0.00933530076158017</v>
      </c>
      <c r="W489" s="0" t="n">
        <v>-0.000842660136232353</v>
      </c>
      <c r="X489" s="0" t="n">
        <v>0.00947235373029142</v>
      </c>
    </row>
    <row r="490">
      <c r="A490" s="5" t="n">
        <v>43077</v>
      </c>
      <c r="B490" s="0" t="n">
        <v>0.00386826670966655</v>
      </c>
      <c r="C490" s="0" t="n">
        <v>-0.00339373745992954</v>
      </c>
      <c r="D490" s="0" t="n">
        <v>0.00254160519105539</v>
      </c>
      <c r="E490" s="0" t="n">
        <v>-0.00238187754300556</v>
      </c>
      <c r="F490" s="0" t="n">
        <v>-0.00379371737764566</v>
      </c>
      <c r="G490" s="0" t="n">
        <v>-0.00375518207104796</v>
      </c>
      <c r="H490" s="0" t="n">
        <v>0.00232834300860362</v>
      </c>
      <c r="I490" s="0" t="n">
        <v>-0.0100841093686816</v>
      </c>
      <c r="J490" s="0" t="n">
        <v>0</v>
      </c>
      <c r="K490" s="0" t="n">
        <v>0.0306947595859439</v>
      </c>
      <c r="L490" s="0" t="n">
        <v>0.00555046937778458</v>
      </c>
      <c r="M490" s="0" t="n">
        <v>0.0130647417991855</v>
      </c>
      <c r="N490" s="0" t="n">
        <v>0.0786259299716016</v>
      </c>
      <c r="O490" s="0" t="n">
        <v>0.00461774502957368</v>
      </c>
      <c r="P490" s="0" t="n">
        <v>-0.00254774938052149</v>
      </c>
      <c r="Q490" s="0" t="n">
        <v>-0.00157600536948199</v>
      </c>
      <c r="R490" s="0" t="n">
        <v>-0.000136751822901182</v>
      </c>
      <c r="S490" s="0" t="n">
        <v>0.000453541468359297</v>
      </c>
      <c r="T490" s="0" t="n">
        <v>0.009262960912831179</v>
      </c>
      <c r="U490" s="0" t="n">
        <v>0.00153642894217664</v>
      </c>
      <c r="V490" s="0" t="n">
        <v>0.00956643608470297</v>
      </c>
      <c r="W490" s="0" t="n">
        <v>-0.00744634410855038</v>
      </c>
      <c r="X490" s="0" t="n">
        <v>-0.015609444442969</v>
      </c>
    </row>
    <row r="491">
      <c r="A491" s="5" t="n">
        <v>43080</v>
      </c>
      <c r="B491" s="0" t="n">
        <v>0.008521607179361901</v>
      </c>
      <c r="C491" s="0" t="n">
        <v>0.0146234331953256</v>
      </c>
      <c r="D491" s="0" t="n">
        <v>0.000461424811059707</v>
      </c>
      <c r="E491" s="0" t="n">
        <v>0.00158859902521424</v>
      </c>
      <c r="F491" s="0" t="n">
        <v>0.0130451269527016</v>
      </c>
      <c r="G491" s="0" t="n">
        <v>-0.00945007980413503</v>
      </c>
      <c r="H491" s="0" t="n">
        <v>0.0245034988978201</v>
      </c>
      <c r="I491" s="0" t="n">
        <v>-0.00508048678788997</v>
      </c>
      <c r="J491" s="0" t="n">
        <v>0.008826216357358691</v>
      </c>
      <c r="K491" s="0" t="n">
        <v>-0.010956157577411</v>
      </c>
      <c r="L491" s="0" t="n">
        <v>0.0200920239463413</v>
      </c>
      <c r="M491" s="0" t="n">
        <v>0.0101663945251648</v>
      </c>
      <c r="N491" s="0" t="n">
        <v>-0.0107698271216247</v>
      </c>
      <c r="O491" s="0" t="n">
        <v>0.0320026496851268</v>
      </c>
      <c r="P491" s="0" t="n">
        <v>-0.000850721343053528</v>
      </c>
      <c r="Q491" s="0" t="n">
        <v>0.0202972835683088</v>
      </c>
      <c r="R491" s="0" t="n">
        <v>-0.00315224486956378</v>
      </c>
      <c r="S491" s="0" t="n">
        <v>0.00632919371956752</v>
      </c>
      <c r="T491" s="0" t="n">
        <v>-0.00131802412027459</v>
      </c>
      <c r="U491" s="0" t="n">
        <v>0.000976490186864964</v>
      </c>
      <c r="V491" s="0" t="n">
        <v>0.00411716057598088</v>
      </c>
      <c r="W491" s="0" t="n">
        <v>0.0244979179067748</v>
      </c>
      <c r="X491" s="0" t="n">
        <v>0.0129122101191061</v>
      </c>
    </row>
    <row r="492">
      <c r="A492" s="5" t="n">
        <v>43081</v>
      </c>
      <c r="B492" s="0" t="n">
        <v>-0.0182203768853641</v>
      </c>
      <c r="C492" s="0" t="n">
        <v>-0.0084104272464609</v>
      </c>
      <c r="D492" s="0" t="n">
        <v>0.013516818801488</v>
      </c>
      <c r="E492" s="0" t="n">
        <v>0.00237810119063119</v>
      </c>
      <c r="F492" s="0" t="n">
        <v>-0.0165065489024089</v>
      </c>
      <c r="G492" s="0" t="n">
        <v>0.0135800128154719</v>
      </c>
      <c r="H492" s="0" t="n">
        <v>-0.0504178183638006</v>
      </c>
      <c r="I492" s="0" t="n">
        <v>0.0561203608654015</v>
      </c>
      <c r="J492" s="0" t="n">
        <v>0</v>
      </c>
      <c r="K492" s="0" t="n">
        <v>-0.0286583413629719</v>
      </c>
      <c r="L492" s="0" t="n">
        <v>-0.00725963964351183</v>
      </c>
      <c r="M492" s="0" t="n">
        <v>0.00163883012897469</v>
      </c>
      <c r="N492" s="0" t="n">
        <v>0.06473755806553021</v>
      </c>
      <c r="O492" s="0" t="n">
        <v>-0.00157598033865946</v>
      </c>
      <c r="P492" s="0" t="n">
        <v>-0.00341005972290142</v>
      </c>
      <c r="Q492" s="0" t="n">
        <v>-0.0250404086000306</v>
      </c>
      <c r="R492" s="0" t="n">
        <v>-0.0170281087760661</v>
      </c>
      <c r="S492" s="0" t="n">
        <v>-0.0163565939450531</v>
      </c>
      <c r="T492" s="0" t="n">
        <v>0.00631087222405124</v>
      </c>
      <c r="U492" s="0" t="n">
        <v>0.00833104610679136</v>
      </c>
      <c r="V492" s="0" t="n">
        <v>0.00299806838224281</v>
      </c>
      <c r="W492" s="0" t="n">
        <v>-0.0155352707465237</v>
      </c>
      <c r="X492" s="0" t="n">
        <v>-0.015651935265311</v>
      </c>
    </row>
    <row r="493">
      <c r="A493" s="5" t="n">
        <v>43082</v>
      </c>
      <c r="B493" s="0" t="n">
        <v>0.000584562627930829</v>
      </c>
      <c r="C493" s="0" t="n">
        <v>-0.00677971281880696</v>
      </c>
      <c r="D493" s="0" t="n">
        <v>-0.0159416116942257</v>
      </c>
      <c r="E493" s="0" t="n">
        <v>-0.0135514290025766</v>
      </c>
      <c r="F493" s="0" t="n">
        <v>-0.00382146064969157</v>
      </c>
      <c r="G493" s="0" t="n">
        <v>-0.0300460294491533</v>
      </c>
      <c r="H493" s="0" t="n">
        <v>-0.0192776865970811</v>
      </c>
      <c r="I493" s="0" t="n">
        <v>-0.00321543377269906</v>
      </c>
      <c r="J493" s="0" t="n">
        <v>-0.00528639293845945</v>
      </c>
      <c r="K493" s="0" t="n">
        <v>0.0200930034662931</v>
      </c>
      <c r="L493" s="0" t="n">
        <v>-0.008230425919411029</v>
      </c>
      <c r="M493" s="0" t="n">
        <v>-0.0049247790078053</v>
      </c>
      <c r="N493" s="0" t="n">
        <v>-0.0168577557722078</v>
      </c>
      <c r="O493" s="0" t="n">
        <v>-0.00791767732979886</v>
      </c>
      <c r="P493" s="0" t="n">
        <v>-0.00771543929211748</v>
      </c>
      <c r="Q493" s="0" t="n">
        <v>-0.0143657944650616</v>
      </c>
      <c r="R493" s="0" t="n">
        <v>-0.0115153591160614</v>
      </c>
      <c r="S493" s="0" t="n">
        <v>-0.008279730238290201</v>
      </c>
      <c r="T493" s="0" t="n">
        <v>-0.00657464537825402</v>
      </c>
      <c r="U493" s="0" t="n">
        <v>-0.00735550852287847</v>
      </c>
      <c r="V493" s="0" t="n">
        <v>-0.0213383912839155</v>
      </c>
      <c r="W493" s="0" t="n">
        <v>-0.00303490877032963</v>
      </c>
      <c r="X493" s="0" t="n">
        <v>-0.00964861694237972</v>
      </c>
    </row>
    <row r="494">
      <c r="A494" s="5" t="n">
        <v>43083</v>
      </c>
      <c r="B494" s="0" t="n">
        <v>-0.00978800636616306</v>
      </c>
      <c r="C494" s="0" t="n">
        <v>0.0101523544259278</v>
      </c>
      <c r="D494" s="0" t="n">
        <v>0.000462331438144225</v>
      </c>
      <c r="E494" s="0" t="n">
        <v>0.009584728786731221</v>
      </c>
      <c r="F494" s="0" t="n">
        <v>0.0107323644251193</v>
      </c>
      <c r="G494" s="0" t="n">
        <v>0.0210132331719683</v>
      </c>
      <c r="H494" s="0" t="n">
        <v>0.00243007459111366</v>
      </c>
      <c r="I494" s="0" t="n">
        <v>-0.00403390549525495</v>
      </c>
      <c r="J494" s="0" t="n">
        <v>-0.0525959780464846</v>
      </c>
      <c r="K494" s="0" t="n">
        <v>-0.0182661434544382</v>
      </c>
      <c r="L494" s="0" t="n">
        <v>0.0253866514400717</v>
      </c>
      <c r="M494" s="0" t="n">
        <v>0.0200930376481682</v>
      </c>
      <c r="N494" s="0" t="n">
        <v>0.031084419713411</v>
      </c>
      <c r="O494" s="0" t="n">
        <v>0.0131615476612787</v>
      </c>
      <c r="P494" s="0" t="n">
        <v>-0.0448821688257492</v>
      </c>
      <c r="Q494" s="0" t="n">
        <v>0.00160646284107501</v>
      </c>
      <c r="R494" s="0" t="n">
        <v>0.0316957127616914</v>
      </c>
      <c r="S494" s="0" t="n">
        <v>-0.00138658580013206</v>
      </c>
      <c r="T494" s="0" t="n">
        <v>0.00762251292894733</v>
      </c>
      <c r="U494" s="0" t="n">
        <v>-0.00167297888382922</v>
      </c>
      <c r="V494" s="0" t="n">
        <v>0.00449653523380355</v>
      </c>
      <c r="W494" s="0" t="n">
        <v>0.0109161838102194</v>
      </c>
      <c r="X494" s="0" t="n">
        <v>0.00964861694237972</v>
      </c>
    </row>
    <row r="495">
      <c r="A495" s="5" t="n">
        <v>43084</v>
      </c>
      <c r="B495" s="0" t="n">
        <v>0.00542787734275229</v>
      </c>
      <c r="C495" s="0" t="n">
        <v>-0.00337264160712091</v>
      </c>
      <c r="D495" s="0" t="n">
        <v>-0.00532962769095757</v>
      </c>
      <c r="E495" s="0" t="n">
        <v>0.00633915945568119</v>
      </c>
      <c r="F495" s="0" t="n">
        <v>0.015037830310177</v>
      </c>
      <c r="G495" s="0" t="n">
        <v>0.0205806788554294</v>
      </c>
      <c r="H495" s="0" t="n">
        <v>0.0104629197371712</v>
      </c>
      <c r="I495" s="0" t="n">
        <v>0.000808099347558322</v>
      </c>
      <c r="J495" s="0" t="n">
        <v>0.011111215122715</v>
      </c>
      <c r="K495" s="0" t="n">
        <v>-0.00347382252259254</v>
      </c>
      <c r="L495" s="0" t="n">
        <v>0.0334538335702792</v>
      </c>
      <c r="M495" s="0" t="n">
        <v>-0.00188348483233102</v>
      </c>
      <c r="N495" s="0" t="n">
        <v>0.043760593709146</v>
      </c>
      <c r="O495" s="0" t="n">
        <v>0.00573658427981049</v>
      </c>
      <c r="P495" s="0" t="n">
        <v>0.008960667737610169</v>
      </c>
      <c r="Q495" s="0" t="n">
        <v>0.0127593316239866</v>
      </c>
      <c r="R495" s="0" t="n">
        <v>-0.0194825321078724</v>
      </c>
      <c r="S495" s="0" t="n">
        <v>0.0246700039648302</v>
      </c>
      <c r="T495" s="0" t="n">
        <v>0.0075649486233762</v>
      </c>
      <c r="U495" s="0" t="n">
        <v>0.0135811865620265</v>
      </c>
      <c r="V495" s="0" t="n">
        <v>-0.000160216672455248</v>
      </c>
      <c r="W495" s="0" t="n">
        <v>0.0173859708735664</v>
      </c>
      <c r="X495" s="0" t="n">
        <v>0.00683532262717889</v>
      </c>
    </row>
    <row r="496">
      <c r="A496" s="5" t="n">
        <v>43087</v>
      </c>
      <c r="B496" s="0" t="n">
        <v>-0.000652440682800126</v>
      </c>
      <c r="C496" s="0" t="n">
        <v>-0.00961818732318287</v>
      </c>
      <c r="D496" s="0" t="n">
        <v>0.00729208914555101</v>
      </c>
      <c r="E496" s="0" t="n">
        <v>0.00236684399629982</v>
      </c>
      <c r="F496" s="0" t="n">
        <v>-0.00101811578933697</v>
      </c>
      <c r="G496" s="0" t="n">
        <v>-0.00185354033988183</v>
      </c>
      <c r="H496" s="0" t="n">
        <v>-0.00401129041000691</v>
      </c>
      <c r="I496" s="0" t="n">
        <v>-0.00485834316585398</v>
      </c>
      <c r="J496" s="0" t="n">
        <v>-0.0204657667116017</v>
      </c>
      <c r="K496" s="0" t="n">
        <v>0.010022831752706</v>
      </c>
      <c r="L496" s="0" t="n">
        <v>0.000865446061609986</v>
      </c>
      <c r="M496" s="0" t="n">
        <v>-0.00513035936106076</v>
      </c>
      <c r="N496" s="0" t="n">
        <v>-0.0199153316244888</v>
      </c>
      <c r="O496" s="0" t="n">
        <v>-0.0107176520992466</v>
      </c>
      <c r="P496" s="0" t="n">
        <v>-0.00178575566243521</v>
      </c>
      <c r="Q496" s="0" t="n">
        <v>-0.0175864061975454</v>
      </c>
      <c r="R496" s="0" t="n">
        <v>0.00889017396639246</v>
      </c>
      <c r="S496" s="0" t="n">
        <v>0.0094319580247113</v>
      </c>
      <c r="T496" s="0" t="n">
        <v>-0.00468873763485078</v>
      </c>
      <c r="U496" s="0" t="n">
        <v>0.0170594375826009</v>
      </c>
      <c r="V496" s="0" t="n">
        <v>-0.0135529685497193</v>
      </c>
      <c r="W496" s="0" t="n">
        <v>-0.009234853958749231</v>
      </c>
      <c r="X496" s="0" t="n">
        <v>-0.00477984171146417</v>
      </c>
    </row>
    <row r="497">
      <c r="A497" s="5" t="n">
        <v>43088</v>
      </c>
      <c r="B497" s="0" t="n">
        <v>-0.00182898206315673</v>
      </c>
      <c r="C497" s="0" t="n">
        <v>-0.00799088379855961</v>
      </c>
      <c r="D497" s="0" t="n">
        <v>-0.0112497705759553</v>
      </c>
      <c r="E497" s="0" t="n">
        <v>0.00236133024523299</v>
      </c>
      <c r="F497" s="0" t="n">
        <v>0.00101811578933697</v>
      </c>
      <c r="G497" s="0" t="n">
        <v>0.0136356978677252</v>
      </c>
      <c r="H497" s="0" t="n">
        <v>0.00080359231103344</v>
      </c>
      <c r="I497" s="0" t="n">
        <v>0.0145047109736435</v>
      </c>
      <c r="J497" s="0" t="n">
        <v>-0.0113422653574539</v>
      </c>
      <c r="K497" s="0" t="n">
        <v>-0.008193050418443759</v>
      </c>
      <c r="L497" s="0" t="n">
        <v>0.0264632994371338</v>
      </c>
      <c r="M497" s="0" t="n">
        <v>-0.0130791934547764</v>
      </c>
      <c r="N497" s="0" t="n">
        <v>-0.0144720329281198</v>
      </c>
      <c r="O497" s="0" t="n">
        <v>0.0130550159617079</v>
      </c>
      <c r="P497" s="0" t="n">
        <v>0.07487374126855161</v>
      </c>
      <c r="Q497" s="0" t="n">
        <v>0.00643088441419648</v>
      </c>
      <c r="R497" s="0" t="n">
        <v>0.0171389681229934</v>
      </c>
      <c r="S497" s="0" t="n">
        <v>-0.00268582851165577</v>
      </c>
      <c r="T497" s="0" t="n">
        <v>0.0114228250387924</v>
      </c>
      <c r="U497" s="0" t="n">
        <v>-0.0177479477889086</v>
      </c>
      <c r="V497" s="0" t="n">
        <v>-0.00586512929423843</v>
      </c>
      <c r="W497" s="0" t="n">
        <v>-0.00365147659996534</v>
      </c>
      <c r="X497" s="0" t="n">
        <v>0.00205132972072696</v>
      </c>
    </row>
    <row r="498">
      <c r="A498" s="5" t="n">
        <v>43089</v>
      </c>
      <c r="B498" s="0" t="n">
        <v>-0.009525425694838489</v>
      </c>
      <c r="C498" s="0" t="n">
        <v>0.00114542305180043</v>
      </c>
      <c r="D498" s="0" t="n">
        <v>-0.00151733037077939</v>
      </c>
      <c r="E498" s="0" t="n">
        <v>-0.00710063348136857</v>
      </c>
      <c r="F498" s="0" t="n">
        <v>0.0114672473094672</v>
      </c>
      <c r="G498" s="0" t="n">
        <v>0.00838348437384839</v>
      </c>
      <c r="H498" s="0" t="n">
        <v>0.0370558952756394</v>
      </c>
      <c r="I498" s="0" t="n">
        <v>-0.001601318046756</v>
      </c>
      <c r="J498" s="0" t="n">
        <v>0.00189928867073896</v>
      </c>
      <c r="K498" s="0" t="n">
        <v>0.00546951416072438</v>
      </c>
      <c r="L498" s="0" t="n">
        <v>0.015050476784896</v>
      </c>
      <c r="M498" s="0" t="n">
        <v>-0.00605221664997124</v>
      </c>
      <c r="N498" s="0" t="n">
        <v>0.0184869334728836</v>
      </c>
      <c r="O498" s="0" t="n">
        <v>0.008523926845906081</v>
      </c>
      <c r="P498" s="0" t="n">
        <v>0.0390293060696249</v>
      </c>
      <c r="Q498" s="0" t="n">
        <v>0.00320007597304594</v>
      </c>
      <c r="R498" s="0" t="n">
        <v>0.0145751818150152</v>
      </c>
      <c r="S498" s="0" t="n">
        <v>-0.0117224172139778</v>
      </c>
      <c r="T498" s="0" t="n">
        <v>-0.00543557434912411</v>
      </c>
      <c r="U498" s="0" t="n">
        <v>-0.00913242860895646</v>
      </c>
      <c r="V498" s="0" t="n">
        <v>0.0048899728278613</v>
      </c>
      <c r="W498" s="0" t="n">
        <v>0.0241490375216386</v>
      </c>
      <c r="X498" s="0" t="n">
        <v>0.0135687160372639</v>
      </c>
    </row>
    <row r="499">
      <c r="A499" s="5" t="n">
        <v>43090</v>
      </c>
      <c r="B499" s="0" t="n">
        <v>0.00657897109804306</v>
      </c>
      <c r="C499" s="0" t="n">
        <v>0.00171579169068136</v>
      </c>
      <c r="D499" s="0" t="n">
        <v>-0.00632766248339322</v>
      </c>
      <c r="E499" s="0" t="n">
        <v>-0.00396670021584544</v>
      </c>
      <c r="F499" s="0" t="n">
        <v>0.00201003307515934</v>
      </c>
      <c r="G499" s="0" t="n">
        <v>0.0250909496864291</v>
      </c>
      <c r="H499" s="0" t="n">
        <v>-0.00621119388400348</v>
      </c>
      <c r="I499" s="0" t="n">
        <v>0.00798091894609331</v>
      </c>
      <c r="J499" s="0" t="n">
        <v>0.0187975282756016</v>
      </c>
      <c r="K499" s="0" t="n">
        <v>0.0304410389569576</v>
      </c>
      <c r="L499" s="0" t="n">
        <v>-0.0108470077275808</v>
      </c>
      <c r="M499" s="0" t="n">
        <v>-0.00276325921453635</v>
      </c>
      <c r="N499" s="0" t="n">
        <v>-0.0132528328823613</v>
      </c>
      <c r="O499" s="0" t="n">
        <v>0.00154195761286857</v>
      </c>
      <c r="P499" s="0" t="n">
        <v>0.00477331207005571</v>
      </c>
      <c r="Q499" s="0" t="n">
        <v>0.0015961299282059</v>
      </c>
      <c r="R499" s="0" t="n">
        <v>-0.0166163323534265</v>
      </c>
      <c r="S499" s="0" t="n">
        <v>-0.00181566135506239</v>
      </c>
      <c r="T499" s="0" t="n">
        <v>0.000518953262253596</v>
      </c>
      <c r="U499" s="0" t="n">
        <v>0.00277619481056046</v>
      </c>
      <c r="V499" s="0" t="n">
        <v>-0.008819278452574681</v>
      </c>
      <c r="W499" s="0" t="n">
        <v>-0.000974364698155483</v>
      </c>
      <c r="X499" s="0" t="n">
        <v>-0.00405135056828331</v>
      </c>
    </row>
    <row r="500">
      <c r="A500" s="5" t="n">
        <v>43091</v>
      </c>
      <c r="B500" s="0" t="n">
        <v>0.00216160847326829</v>
      </c>
      <c r="C500" s="0" t="n">
        <v>-0.00400806509913076</v>
      </c>
      <c r="D500" s="0" t="n">
        <v>-0.000940866024989439</v>
      </c>
      <c r="E500" s="0" t="n">
        <v>0.00158859902521424</v>
      </c>
      <c r="F500" s="0" t="n">
        <v>-0.00335228186468938</v>
      </c>
      <c r="G500" s="0" t="n">
        <v>-0.0160574643397244</v>
      </c>
      <c r="H500" s="0" t="n">
        <v>0.00466200844211428</v>
      </c>
      <c r="I500" s="0" t="n">
        <v>0.011067333697214</v>
      </c>
      <c r="J500" s="0" t="n">
        <v>0.00926794231831329</v>
      </c>
      <c r="K500" s="0" t="n">
        <v>0.0828876215792837</v>
      </c>
      <c r="L500" s="0" t="n">
        <v>0.0133335181532423</v>
      </c>
      <c r="M500" s="0" t="n">
        <v>0.00193503021817331</v>
      </c>
      <c r="N500" s="0" t="n">
        <v>0.00693649243136551</v>
      </c>
      <c r="O500" s="0" t="n">
        <v>0.00307699592982624</v>
      </c>
      <c r="P500" s="0" t="n">
        <v>0.0396784273549477</v>
      </c>
      <c r="Q500" s="0" t="n">
        <v>0.0126784462833009</v>
      </c>
      <c r="R500" s="0" t="n">
        <v>0.00367118008056888</v>
      </c>
      <c r="S500" s="0" t="n">
        <v>-0.00775374807403395</v>
      </c>
      <c r="T500" s="0" t="n">
        <v>-0.00181746631707113</v>
      </c>
      <c r="U500" s="0" t="n">
        <v>-0.000832028311567256</v>
      </c>
      <c r="V500" s="0" t="n">
        <v>0.00490917764566489</v>
      </c>
      <c r="W500" s="0" t="n">
        <v>-0.00684707872153822</v>
      </c>
      <c r="X500" s="0" t="n">
        <v>-0.0102006745987752</v>
      </c>
    </row>
    <row r="501">
      <c r="A501" s="5" t="n">
        <v>43095</v>
      </c>
      <c r="B501" s="0" t="n">
        <v>0.00196106119309469</v>
      </c>
      <c r="C501" s="0" t="n">
        <v>-0.00287272221121792</v>
      </c>
      <c r="D501" s="0" t="n">
        <v>0.00176337585575314</v>
      </c>
      <c r="E501" s="0" t="n">
        <v>-0.00796819992455155</v>
      </c>
      <c r="F501" s="0" t="n">
        <v>-0.00168042870049189</v>
      </c>
      <c r="G501" s="0" t="n">
        <v>-0.00324266741744017</v>
      </c>
      <c r="H501" s="0" t="n">
        <v>-0.00622085364713864</v>
      </c>
      <c r="I501" s="0" t="n">
        <v>-0.00314960582823653</v>
      </c>
      <c r="J501" s="0" t="n">
        <v>-0.00555046937778436</v>
      </c>
      <c r="K501" s="0" t="n">
        <v>0.0335226988437979</v>
      </c>
      <c r="L501" s="0" t="n">
        <v>-0.00747823624091603</v>
      </c>
      <c r="M501" s="0" t="n">
        <v>0.00330859814001049</v>
      </c>
      <c r="N501" s="0" t="n">
        <v>-0.0168462254622565</v>
      </c>
      <c r="O501" s="0" t="n">
        <v>-0.00436182813368279</v>
      </c>
      <c r="P501" s="0" t="n">
        <v>0.00152442544293762</v>
      </c>
      <c r="Q501" s="0" t="n">
        <v>0.00314465373235761</v>
      </c>
      <c r="R501" s="0" t="n">
        <v>-0.0125650130790813</v>
      </c>
      <c r="S501" s="0" t="n">
        <v>0.009569409429096339</v>
      </c>
      <c r="T501" s="0" t="n">
        <v>0.00207689145537726</v>
      </c>
      <c r="U501" s="0" t="n">
        <v>0.00484394371745278</v>
      </c>
      <c r="V501" s="0" t="n">
        <v>0.00683266019723838</v>
      </c>
      <c r="W501" s="0" t="n">
        <v>-0.00294889306873713</v>
      </c>
      <c r="X501" s="0" t="n">
        <v>-0.00273784986129577</v>
      </c>
    </row>
    <row r="502">
      <c r="A502" s="5" t="n">
        <v>43096</v>
      </c>
      <c r="B502" s="0" t="n">
        <v>0.00592499964765824</v>
      </c>
      <c r="C502" s="0" t="n">
        <v>-0.00115135787740694</v>
      </c>
      <c r="D502" s="0" t="n">
        <v>-0.00105759850741105</v>
      </c>
      <c r="E502" s="0" t="n">
        <v>0.00637960089933731</v>
      </c>
      <c r="F502" s="0" t="n">
        <v>0.00235174629672263</v>
      </c>
      <c r="G502" s="0" t="n">
        <v>-0.00216761166331513</v>
      </c>
      <c r="H502" s="0" t="n">
        <v>0.008543677430125291</v>
      </c>
      <c r="I502" s="0" t="n">
        <v>0.00236311512612763</v>
      </c>
      <c r="J502" s="0" t="n">
        <v>-0.00185696470490515</v>
      </c>
      <c r="K502" s="0" t="n">
        <v>0.118306213633782</v>
      </c>
      <c r="L502" s="0" t="n">
        <v>0.0157223373872046</v>
      </c>
      <c r="M502" s="0" t="n">
        <v>0.00110033299713396</v>
      </c>
      <c r="N502" s="0" t="n">
        <v>0.0029249008057901</v>
      </c>
      <c r="O502" s="0" t="n">
        <v>0.0074292878321156</v>
      </c>
      <c r="P502" s="0" t="n">
        <v>0.0143669451704555</v>
      </c>
      <c r="Q502" s="0" t="n">
        <v>0.00781867796719715</v>
      </c>
      <c r="R502" s="0" t="n">
        <v>0.00397779696311761</v>
      </c>
      <c r="S502" s="0" t="n">
        <v>-0.00728268364032036</v>
      </c>
      <c r="T502" s="0" t="n">
        <v>0.000777674146867912</v>
      </c>
      <c r="U502" s="0" t="n">
        <v>-0.0161451480084817</v>
      </c>
      <c r="V502" s="0" t="n">
        <v>0.00145808291578308</v>
      </c>
      <c r="W502" s="0" t="n">
        <v>0.00572596205142605</v>
      </c>
      <c r="X502" s="0" t="n">
        <v>0.0102284982401679</v>
      </c>
    </row>
    <row r="503">
      <c r="A503" s="5" t="n">
        <v>43097</v>
      </c>
      <c r="B503" s="0" t="n">
        <v>-0.00403301876525308</v>
      </c>
      <c r="C503" s="0" t="n">
        <v>0.00517093044527383</v>
      </c>
      <c r="D503" s="0" t="n">
        <v>-0.00696131605777328</v>
      </c>
      <c r="E503" s="0" t="n">
        <v>-0.0071799393953138</v>
      </c>
      <c r="F503" s="0" t="n">
        <v>-0.009440352670192271</v>
      </c>
      <c r="G503" s="0" t="n">
        <v>-0.00725951842264382</v>
      </c>
      <c r="H503" s="0" t="n">
        <v>0.00539921463376025</v>
      </c>
      <c r="I503" s="0" t="n">
        <v>0.00470961768855193</v>
      </c>
      <c r="J503" s="0" t="n">
        <v>-0.00372439545312497</v>
      </c>
      <c r="K503" s="0" t="n">
        <v>0.0621821950429286</v>
      </c>
      <c r="L503" s="0" t="n">
        <v>0.00409662493227447</v>
      </c>
      <c r="M503" s="0" t="n">
        <v>-0.00413274347314018</v>
      </c>
      <c r="N503" s="0" t="n">
        <v>-0.0260370045077267</v>
      </c>
      <c r="O503" s="0" t="n">
        <v>-0.00768641324112762</v>
      </c>
      <c r="P503" s="0" t="n">
        <v>0.000750486265992389</v>
      </c>
      <c r="Q503" s="0" t="n">
        <v>0.00621119411395287</v>
      </c>
      <c r="R503" s="0" t="n">
        <v>-0.00755761811236688</v>
      </c>
      <c r="S503" s="0" t="n">
        <v>-0.0193733037430421</v>
      </c>
      <c r="T503" s="0" t="n">
        <v>-0.00754330323709595</v>
      </c>
      <c r="U503" s="0" t="n">
        <v>0.00196253243173938</v>
      </c>
      <c r="V503" s="0" t="n">
        <v>-0.00796431160633837</v>
      </c>
      <c r="W503" s="0" t="n">
        <v>-0.0103305187225268</v>
      </c>
      <c r="X503" s="0" t="n">
        <v>-0.0122867996448827</v>
      </c>
    </row>
    <row r="504">
      <c r="C504" s="1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3"/>
  <sheetViews>
    <sheetView tabSelected="1" workbookViewId="0">
      <selection activeCell="H19" sqref="H19"/>
    </sheetView>
  </sheetViews>
  <sheetFormatPr baseColWidth="8" defaultRowHeight="13.8"/>
  <cols>
    <col width="29.33203125" customWidth="1" style="12" min="1" max="1"/>
    <col width="13.44140625" bestFit="1" customWidth="1" style="12" min="2" max="2"/>
    <col width="12.21875" bestFit="1" customWidth="1" style="12" min="3" max="3"/>
    <col width="10.5546875" bestFit="1" customWidth="1" style="12" min="4" max="4"/>
    <col width="11.21875" bestFit="1" customWidth="1" style="12" min="5" max="11"/>
    <col width="10.5546875" bestFit="1" customWidth="1" style="12" min="12" max="12"/>
    <col width="11.21875" bestFit="1" customWidth="1" style="12" min="13" max="13"/>
    <col width="10.5546875" bestFit="1" customWidth="1" style="12" min="14" max="14"/>
    <col width="11.21875" bestFit="1" customWidth="1" style="12" min="15" max="16"/>
    <col width="10.5546875" bestFit="1" customWidth="1" style="12" min="17" max="17"/>
    <col width="11.21875" bestFit="1" customWidth="1" style="12" min="18" max="18"/>
    <col width="10.5546875" bestFit="1" customWidth="1" style="12" min="19" max="20"/>
    <col width="11.21875" bestFit="1" customWidth="1" style="12" min="21" max="24"/>
  </cols>
  <sheetData>
    <row r="1">
      <c r="A1" s="3" t="inlineStr">
        <is>
          <t>Optimal Portfolio Calculation--Cells in Yellow Are Not Optimal nor Correct, So You Need to Compute By Yourself</t>
        </is>
      </c>
    </row>
    <row r="2"/>
    <row r="3">
      <c r="A3" s="11" t="inlineStr">
        <is>
          <t>COVARIANCE MATRIX</t>
        </is>
      </c>
      <c r="B3" s="4" t="inlineStr">
        <is>
          <t>IBM</t>
        </is>
      </c>
      <c r="C3" s="4" t="inlineStr">
        <is>
          <t>GE</t>
        </is>
      </c>
      <c r="D3" s="4" t="inlineStr">
        <is>
          <t>LLY</t>
        </is>
      </c>
      <c r="E3" s="4" t="inlineStr">
        <is>
          <t>F</t>
        </is>
      </c>
      <c r="F3" s="4" t="inlineStr">
        <is>
          <t>BAC</t>
        </is>
      </c>
      <c r="G3" s="4" t="inlineStr">
        <is>
          <t>KR</t>
        </is>
      </c>
      <c r="H3" s="4" t="inlineStr">
        <is>
          <t>ITUB</t>
        </is>
      </c>
      <c r="I3" s="4" t="inlineStr">
        <is>
          <t>GG</t>
        </is>
      </c>
      <c r="J3" s="4" t="inlineStr">
        <is>
          <t>SIRI</t>
        </is>
      </c>
      <c r="K3" s="4" t="inlineStr">
        <is>
          <t>ACB</t>
        </is>
      </c>
      <c r="L3" s="4" t="inlineStr">
        <is>
          <t>VALE</t>
        </is>
      </c>
      <c r="M3" s="4" t="inlineStr">
        <is>
          <t>PFE</t>
        </is>
      </c>
      <c r="N3" s="4" t="inlineStr">
        <is>
          <t>CTL</t>
        </is>
      </c>
      <c r="O3" s="4" t="inlineStr">
        <is>
          <t>T</t>
        </is>
      </c>
      <c r="P3" s="4" t="inlineStr">
        <is>
          <t>ECA</t>
        </is>
      </c>
      <c r="Q3" s="4" t="inlineStr">
        <is>
          <t>ABEV</t>
        </is>
      </c>
      <c r="R3" s="4" t="inlineStr">
        <is>
          <t>CVS</t>
        </is>
      </c>
      <c r="S3" s="4" t="inlineStr">
        <is>
          <t>MRVL</t>
        </is>
      </c>
      <c r="T3" s="4" t="inlineStr">
        <is>
          <t>CSCO</t>
        </is>
      </c>
      <c r="U3" s="4" t="inlineStr">
        <is>
          <t>MO</t>
        </is>
      </c>
      <c r="V3" s="4" t="inlineStr">
        <is>
          <t>BMY</t>
        </is>
      </c>
      <c r="W3" s="4" t="inlineStr">
        <is>
          <t>WFC</t>
        </is>
      </c>
      <c r="X3" s="4" t="inlineStr">
        <is>
          <t>HBAN</t>
        </is>
      </c>
    </row>
    <row r="4">
      <c r="A4" s="4" t="inlineStr">
        <is>
          <t>IBM</t>
        </is>
      </c>
      <c r="B4" s="0" t="n">
        <v>0.000127</v>
      </c>
      <c r="C4" s="9">
        <f>_xlfn.COVARIANCE.S(Daily_Returns_Q1_Q2!B2:B503,Daily_Returns_Q1_Q2!C2:C503)</f>
        <v/>
      </c>
      <c r="D4" s="0" t="n">
        <v>1.9e-05</v>
      </c>
      <c r="E4" s="0" t="n">
        <v>5.5e-05</v>
      </c>
      <c r="F4" s="0" t="n">
        <v>6.999999999999999e-05</v>
      </c>
      <c r="G4" s="0" t="n">
        <v>5e-06</v>
      </c>
      <c r="H4" s="0" t="n">
        <v>7.3e-05</v>
      </c>
      <c r="I4" s="0" t="n">
        <v>1.1e-05</v>
      </c>
      <c r="J4" s="0" t="n">
        <v>3.2e-05</v>
      </c>
      <c r="K4" s="0" t="n">
        <v>3.1e-05</v>
      </c>
      <c r="L4" s="0" t="n">
        <v>0.000104</v>
      </c>
      <c r="M4" s="0" t="n">
        <v>2.2e-05</v>
      </c>
      <c r="N4" s="0" t="n">
        <v>3.5e-05</v>
      </c>
      <c r="O4" s="0" t="n">
        <v>2.4e-05</v>
      </c>
      <c r="P4" s="0" t="n">
        <v>8.4e-05</v>
      </c>
      <c r="Q4" s="0" t="n">
        <v>4.6e-05</v>
      </c>
      <c r="R4" s="0" t="n">
        <v>2e-05</v>
      </c>
      <c r="S4" s="0" t="n">
        <v>5.8e-05</v>
      </c>
      <c r="T4" s="0" t="n">
        <v>4.7e-05</v>
      </c>
      <c r="U4" s="0" t="n">
        <v>1.6e-05</v>
      </c>
      <c r="V4" s="0" t="n">
        <v>1.4e-05</v>
      </c>
      <c r="W4" s="0" t="n">
        <v>5e-05</v>
      </c>
      <c r="X4" s="0" t="n">
        <v>6.9e-05</v>
      </c>
    </row>
    <row r="5">
      <c r="A5" s="4" t="inlineStr">
        <is>
          <t>GE</t>
        </is>
      </c>
      <c r="B5" s="9">
        <f>C4</f>
        <v/>
      </c>
      <c r="C5" s="0" t="n">
        <v>0.000139</v>
      </c>
      <c r="D5" s="0" t="n">
        <v>2.2e-05</v>
      </c>
      <c r="E5" s="0" t="n">
        <v>6.999999999999999e-05</v>
      </c>
      <c r="F5" s="0" t="n">
        <v>8.7e-05</v>
      </c>
      <c r="G5" s="0" t="n">
        <v>1.5e-05</v>
      </c>
      <c r="H5" s="0" t="n">
        <v>8.4e-05</v>
      </c>
      <c r="I5" s="0" t="n">
        <v>-2.6e-05</v>
      </c>
      <c r="J5" s="0" t="n">
        <v>3.9e-05</v>
      </c>
      <c r="K5" s="0" t="n">
        <v>-1.4e-05</v>
      </c>
      <c r="L5" s="0" t="n">
        <v>0.000137</v>
      </c>
      <c r="M5" s="0" t="n">
        <v>2.9e-05</v>
      </c>
      <c r="N5" s="0" t="n">
        <v>5.1e-05</v>
      </c>
      <c r="O5" s="0" t="n">
        <v>3.9e-05</v>
      </c>
      <c r="P5" s="0" t="n">
        <v>8.500000000000001e-05</v>
      </c>
      <c r="Q5" s="0" t="n">
        <v>4.8e-05</v>
      </c>
      <c r="R5" s="0" t="n">
        <v>3.9e-05</v>
      </c>
      <c r="S5" s="0" t="n">
        <v>5.1e-05</v>
      </c>
      <c r="T5" s="0" t="n">
        <v>4.1e-05</v>
      </c>
      <c r="U5" s="0" t="n">
        <v>2e-05</v>
      </c>
      <c r="V5" s="0" t="n">
        <v>3.2e-05</v>
      </c>
      <c r="W5" s="0" t="n">
        <v>6.2e-05</v>
      </c>
      <c r="X5" s="0" t="n">
        <v>7.6e-05</v>
      </c>
    </row>
    <row r="6">
      <c r="A6" s="4" t="inlineStr">
        <is>
          <t>LLY</t>
        </is>
      </c>
      <c r="B6" s="0" t="n">
        <v>1.9e-05</v>
      </c>
      <c r="C6" s="0" t="n">
        <v>2.2e-05</v>
      </c>
      <c r="D6" s="0" t="n">
        <v>0.000163</v>
      </c>
      <c r="E6" s="0" t="n">
        <v>3e-05</v>
      </c>
      <c r="F6" s="0" t="n">
        <v>4.1e-05</v>
      </c>
      <c r="G6" s="0" t="n">
        <v>2e-05</v>
      </c>
      <c r="H6" s="0" t="n">
        <v>3e-05</v>
      </c>
      <c r="I6" s="0" t="n">
        <v>1.1e-05</v>
      </c>
      <c r="J6" s="0" t="n">
        <v>2.6e-05</v>
      </c>
      <c r="K6" s="0" t="n">
        <v>1.1e-05</v>
      </c>
      <c r="L6" s="0" t="n">
        <v>5.1e-05</v>
      </c>
      <c r="M6" s="0" t="n">
        <v>5.3e-05</v>
      </c>
      <c r="N6" s="0" t="n">
        <v>3.3e-05</v>
      </c>
      <c r="O6" s="0" t="n">
        <v>2e-05</v>
      </c>
      <c r="P6" s="0" t="n">
        <v>1.9e-05</v>
      </c>
      <c r="Q6" s="0" t="n">
        <v>2.7e-05</v>
      </c>
      <c r="R6" s="0" t="n">
        <v>2.9e-05</v>
      </c>
      <c r="S6" s="0" t="n">
        <v>2.5e-05</v>
      </c>
      <c r="T6" s="0" t="n">
        <v>3.4e-05</v>
      </c>
      <c r="U6" s="0" t="n">
        <v>1.4e-05</v>
      </c>
      <c r="V6" s="0" t="n">
        <v>7.1e-05</v>
      </c>
      <c r="W6" s="0" t="n">
        <v>3.1e-05</v>
      </c>
      <c r="X6" s="0" t="n">
        <v>3e-05</v>
      </c>
    </row>
    <row r="7">
      <c r="A7" s="4" t="inlineStr">
        <is>
          <t>F</t>
        </is>
      </c>
      <c r="B7" s="0" t="n">
        <v>5.5e-05</v>
      </c>
      <c r="C7" s="0" t="n">
        <v>6.999999999999999e-05</v>
      </c>
      <c r="D7" s="0" t="n">
        <v>3e-05</v>
      </c>
      <c r="E7" s="0" t="n">
        <v>0.000204</v>
      </c>
      <c r="F7" s="0" t="n">
        <v>0.000127</v>
      </c>
      <c r="G7" s="0" t="n">
        <v>3.5e-05</v>
      </c>
      <c r="H7" s="0" t="n">
        <v>9.2e-05</v>
      </c>
      <c r="I7" s="0" t="n">
        <v>-4e-06</v>
      </c>
      <c r="J7" s="0" t="n">
        <v>7.1e-05</v>
      </c>
      <c r="K7" s="0" t="n">
        <v>2.6e-05</v>
      </c>
      <c r="L7" s="0" t="n">
        <v>0.000193</v>
      </c>
      <c r="M7" s="0" t="n">
        <v>3.5e-05</v>
      </c>
      <c r="N7" s="0" t="n">
        <v>7.499999999999999e-05</v>
      </c>
      <c r="O7" s="0" t="n">
        <v>3.2e-05</v>
      </c>
      <c r="P7" s="0" t="n">
        <v>0.000152</v>
      </c>
      <c r="Q7" s="0" t="n">
        <v>5.1e-05</v>
      </c>
      <c r="R7" s="0" t="n">
        <v>3.3e-05</v>
      </c>
      <c r="S7" s="0" t="n">
        <v>8.899999999999999e-05</v>
      </c>
      <c r="T7" s="0" t="n">
        <v>6.499999999999999e-05</v>
      </c>
      <c r="U7" s="0" t="n">
        <v>1.1e-05</v>
      </c>
      <c r="V7" s="0" t="n">
        <v>5.5e-05</v>
      </c>
      <c r="W7" s="0" t="n">
        <v>9.399999999999999e-05</v>
      </c>
      <c r="X7" s="0" t="n">
        <v>0.000115</v>
      </c>
    </row>
    <row r="8">
      <c r="A8" s="4" t="inlineStr">
        <is>
          <t>BAC</t>
        </is>
      </c>
      <c r="B8" s="0" t="n">
        <v>6.999999999999999e-05</v>
      </c>
      <c r="C8" s="0" t="n">
        <v>8.7e-05</v>
      </c>
      <c r="D8" s="0" t="n">
        <v>4.1e-05</v>
      </c>
      <c r="E8" s="0" t="n">
        <v>0.000127</v>
      </c>
      <c r="F8" s="0" t="n">
        <v>0.000296</v>
      </c>
      <c r="G8" s="0" t="n">
        <v>5.8e-05</v>
      </c>
      <c r="H8" s="0" t="n">
        <v>0.000129</v>
      </c>
      <c r="I8" s="0" t="n">
        <v>-0.000121</v>
      </c>
      <c r="J8" s="0" t="n">
        <v>8.500000000000001e-05</v>
      </c>
      <c r="K8" s="0" t="n">
        <v>4.4e-05</v>
      </c>
      <c r="L8" s="0" t="n">
        <v>0.000257</v>
      </c>
      <c r="M8" s="0" t="n">
        <v>5.3e-05</v>
      </c>
      <c r="N8" s="0" t="n">
        <v>7.4e-05</v>
      </c>
      <c r="O8" s="0" t="n">
        <v>1.9e-05</v>
      </c>
      <c r="P8" s="0" t="n">
        <v>0.000214</v>
      </c>
      <c r="Q8" s="0" t="n">
        <v>7.2e-05</v>
      </c>
      <c r="R8" s="0" t="n">
        <v>4.5e-05</v>
      </c>
      <c r="S8" s="0" t="n">
        <v>0.000103</v>
      </c>
      <c r="T8" s="0" t="n">
        <v>6.9e-05</v>
      </c>
      <c r="U8" s="0" t="n">
        <v>-9e-06</v>
      </c>
      <c r="V8" s="0" t="n">
        <v>4e-05</v>
      </c>
      <c r="W8" s="0" t="n">
        <v>0.000175</v>
      </c>
      <c r="X8" s="0" t="n">
        <v>0.000233</v>
      </c>
    </row>
    <row r="9">
      <c r="A9" s="4" t="inlineStr">
        <is>
          <t>KR</t>
        </is>
      </c>
      <c r="B9" s="0" t="n">
        <v>5e-06</v>
      </c>
      <c r="C9" s="0" t="n">
        <v>1.5e-05</v>
      </c>
      <c r="D9" s="0" t="n">
        <v>2e-05</v>
      </c>
      <c r="E9" s="0" t="n">
        <v>3.5e-05</v>
      </c>
      <c r="F9" s="0" t="n">
        <v>5.8e-05</v>
      </c>
      <c r="G9" s="0" t="n">
        <v>0.000366</v>
      </c>
      <c r="H9" s="0" t="n">
        <v>-1.6e-05</v>
      </c>
      <c r="I9" s="0" t="n">
        <v>-2.4e-05</v>
      </c>
      <c r="J9" s="0" t="n">
        <v>3e-05</v>
      </c>
      <c r="K9" s="0" t="n">
        <v>4.2e-05</v>
      </c>
      <c r="L9" s="0" t="n">
        <v>1.9e-05</v>
      </c>
      <c r="M9" s="0" t="n">
        <v>2.1e-05</v>
      </c>
      <c r="N9" s="0" t="n">
        <v>6.499999999999999e-05</v>
      </c>
      <c r="O9" s="0" t="n">
        <v>1.5e-05</v>
      </c>
      <c r="P9" s="0" t="n">
        <v>4.9e-05</v>
      </c>
      <c r="Q9" s="0" t="n">
        <v>1.6e-05</v>
      </c>
      <c r="R9" s="0" t="n">
        <v>6.3e-05</v>
      </c>
      <c r="S9" s="0" t="n">
        <v>3.8e-05</v>
      </c>
      <c r="T9" s="0" t="n">
        <v>2.6e-05</v>
      </c>
      <c r="U9" s="0" t="n">
        <v>9e-06</v>
      </c>
      <c r="V9" s="0" t="n">
        <v>2.8e-05</v>
      </c>
      <c r="W9" s="0" t="n">
        <v>4.2e-05</v>
      </c>
      <c r="X9" s="0" t="n">
        <v>4.3e-05</v>
      </c>
    </row>
    <row r="10">
      <c r="A10" s="4" t="inlineStr">
        <is>
          <t>ITUB</t>
        </is>
      </c>
      <c r="B10" s="0" t="n">
        <v>7.3e-05</v>
      </c>
      <c r="C10" s="0" t="n">
        <v>8.4e-05</v>
      </c>
      <c r="D10" s="0" t="n">
        <v>3e-05</v>
      </c>
      <c r="E10" s="0" t="n">
        <v>9.2e-05</v>
      </c>
      <c r="F10" s="0" t="n">
        <v>0.000129</v>
      </c>
      <c r="G10" s="0" t="n">
        <v>-1.6e-05</v>
      </c>
      <c r="H10" s="0" t="n">
        <v>0.000701</v>
      </c>
      <c r="I10" s="0" t="n">
        <v>0.00013</v>
      </c>
      <c r="J10" s="0" t="n">
        <v>6.999999999999999e-05</v>
      </c>
      <c r="K10" s="0" t="n">
        <v>9.899999999999999e-05</v>
      </c>
      <c r="L10" s="0" t="n">
        <v>0.000529</v>
      </c>
      <c r="M10" s="0" t="n">
        <v>1.2e-05</v>
      </c>
      <c r="N10" s="0" t="n">
        <v>0.000106</v>
      </c>
      <c r="O10" s="0" t="n">
        <v>5.2e-05</v>
      </c>
      <c r="P10" s="0" t="n">
        <v>0.000294</v>
      </c>
      <c r="Q10" s="0" t="n">
        <v>0.00034</v>
      </c>
      <c r="R10" s="0" t="n">
        <v>3.8e-05</v>
      </c>
      <c r="S10" s="0" t="n">
        <v>0.000127</v>
      </c>
      <c r="T10" s="0" t="n">
        <v>0.000113</v>
      </c>
      <c r="U10" s="0" t="n">
        <v>5e-05</v>
      </c>
      <c r="V10" s="0" t="n">
        <v>6.3e-05</v>
      </c>
      <c r="W10" s="0" t="n">
        <v>6.8e-05</v>
      </c>
      <c r="X10" s="0" t="n">
        <v>0.000106</v>
      </c>
    </row>
    <row r="11">
      <c r="A11" s="4" t="inlineStr">
        <is>
          <t>GG</t>
        </is>
      </c>
      <c r="B11" s="0" t="n">
        <v>1.1e-05</v>
      </c>
      <c r="C11" s="0" t="n">
        <v>-2.6e-05</v>
      </c>
      <c r="D11" s="0" t="n">
        <v>1.1e-05</v>
      </c>
      <c r="E11" s="0" t="n">
        <v>-4e-06</v>
      </c>
      <c r="F11" s="0" t="n">
        <v>-0.000121</v>
      </c>
      <c r="G11" s="0" t="n">
        <v>-2.4e-05</v>
      </c>
      <c r="H11" s="0" t="n">
        <v>0.00013</v>
      </c>
      <c r="I11" s="0" t="n">
        <v>0.000642</v>
      </c>
      <c r="J11" s="0" t="n">
        <v>-3e-06</v>
      </c>
      <c r="K11" s="0" t="n">
        <v>-5.8e-05</v>
      </c>
      <c r="L11" s="0" t="n">
        <v>0.000235</v>
      </c>
      <c r="M11" s="0" t="n">
        <v>-1.7e-05</v>
      </c>
      <c r="N11" s="0" t="n">
        <v>5.4e-05</v>
      </c>
      <c r="O11" s="0" t="n">
        <v>3e-05</v>
      </c>
      <c r="P11" s="0" t="n">
        <v>0.000148</v>
      </c>
      <c r="Q11" s="0" t="n">
        <v>9.000000000000001e-05</v>
      </c>
      <c r="R11" s="0" t="n">
        <v>-1.5e-05</v>
      </c>
      <c r="S11" s="0" t="n">
        <v>9e-06</v>
      </c>
      <c r="T11" s="0" t="n">
        <v>1.4e-05</v>
      </c>
      <c r="U11" s="0" t="n">
        <v>1.2e-05</v>
      </c>
      <c r="V11" s="0" t="n">
        <v>1.6e-05</v>
      </c>
      <c r="W11" s="0" t="n">
        <v>-7.9e-05</v>
      </c>
      <c r="X11" s="0" t="n">
        <v>-0.00011</v>
      </c>
    </row>
    <row r="12">
      <c r="A12" s="4" t="inlineStr">
        <is>
          <t>SIRI</t>
        </is>
      </c>
      <c r="B12" s="0" t="n">
        <v>3.2e-05</v>
      </c>
      <c r="C12" s="0" t="n">
        <v>3.9e-05</v>
      </c>
      <c r="D12" s="0" t="n">
        <v>2.6e-05</v>
      </c>
      <c r="E12" s="0" t="n">
        <v>7.1e-05</v>
      </c>
      <c r="F12" s="0" t="n">
        <v>8.500000000000001e-05</v>
      </c>
      <c r="G12" s="0" t="n">
        <v>3e-05</v>
      </c>
      <c r="H12" s="0" t="n">
        <v>6.999999999999999e-05</v>
      </c>
      <c r="I12" s="0" t="n">
        <v>-3e-06</v>
      </c>
      <c r="J12" s="0" t="n">
        <v>0.000169</v>
      </c>
      <c r="K12" s="0" t="n">
        <v>5.2e-05</v>
      </c>
      <c r="L12" s="0" t="n">
        <v>0.000121</v>
      </c>
      <c r="M12" s="0" t="n">
        <v>2.1e-05</v>
      </c>
      <c r="N12" s="0" t="n">
        <v>6.1e-05</v>
      </c>
      <c r="O12" s="0" t="n">
        <v>2.9e-05</v>
      </c>
      <c r="P12" s="0" t="n">
        <v>9.399999999999999e-05</v>
      </c>
      <c r="Q12" s="0" t="n">
        <v>4.8e-05</v>
      </c>
      <c r="R12" s="0" t="n">
        <v>2e-05</v>
      </c>
      <c r="S12" s="0" t="n">
        <v>7.6e-05</v>
      </c>
      <c r="T12" s="0" t="n">
        <v>4.7e-05</v>
      </c>
      <c r="U12" s="0" t="n">
        <v>1.9e-05</v>
      </c>
      <c r="V12" s="0" t="n">
        <v>1.8e-05</v>
      </c>
      <c r="W12" s="0" t="n">
        <v>5.7e-05</v>
      </c>
      <c r="X12" s="0" t="n">
        <v>6.3e-05</v>
      </c>
    </row>
    <row r="13">
      <c r="A13" s="4" t="inlineStr">
        <is>
          <t>ACB</t>
        </is>
      </c>
      <c r="B13" s="0" t="n">
        <v>3.1e-05</v>
      </c>
      <c r="C13" s="0" t="n">
        <v>-1.4e-05</v>
      </c>
      <c r="D13" s="0" t="n">
        <v>1.1e-05</v>
      </c>
      <c r="E13" s="0" t="n">
        <v>2.6e-05</v>
      </c>
      <c r="F13" s="0" t="n">
        <v>4.4e-05</v>
      </c>
      <c r="G13" s="0" t="n">
        <v>4.2e-05</v>
      </c>
      <c r="H13" s="0" t="n">
        <v>9.899999999999999e-05</v>
      </c>
      <c r="I13" s="0" t="n">
        <v>-5.8e-05</v>
      </c>
      <c r="J13" s="0" t="n">
        <v>5.2e-05</v>
      </c>
      <c r="K13" s="0" t="n">
        <v>0.002376</v>
      </c>
      <c r="L13" s="0" t="n">
        <v>0.000164</v>
      </c>
      <c r="M13" s="0" t="n">
        <v>2e-05</v>
      </c>
      <c r="N13" s="0" t="n">
        <v>2.3e-05</v>
      </c>
      <c r="O13" s="0" t="n">
        <v>-6e-06</v>
      </c>
      <c r="P13" s="0" t="n">
        <v>0.000149</v>
      </c>
      <c r="Q13" s="0" t="n">
        <v>0.000103</v>
      </c>
      <c r="R13" s="0" t="n">
        <v>3.6e-05</v>
      </c>
      <c r="S13" s="0" t="n">
        <v>6.600000000000001e-05</v>
      </c>
      <c r="T13" s="0" t="n">
        <v>4.5e-05</v>
      </c>
      <c r="U13" s="0" t="n">
        <v>1.9e-05</v>
      </c>
      <c r="V13" s="0" t="n">
        <v>-1.8e-05</v>
      </c>
      <c r="W13" s="0" t="n">
        <v>2.5e-05</v>
      </c>
      <c r="X13" s="0" t="n">
        <v>5.7e-05</v>
      </c>
    </row>
    <row r="14">
      <c r="A14" s="4" t="inlineStr">
        <is>
          <t>VALE</t>
        </is>
      </c>
      <c r="B14" s="0" t="n">
        <v>0.000104</v>
      </c>
      <c r="C14" s="0" t="n">
        <v>0.000137</v>
      </c>
      <c r="D14" s="0" t="n">
        <v>5.1e-05</v>
      </c>
      <c r="E14" s="0" t="n">
        <v>0.000193</v>
      </c>
      <c r="F14" s="0" t="n">
        <v>0.000257</v>
      </c>
      <c r="G14" s="0" t="n">
        <v>1.9e-05</v>
      </c>
      <c r="H14" s="0" t="n">
        <v>0.000529</v>
      </c>
      <c r="I14" s="0" t="n">
        <v>0.000235</v>
      </c>
      <c r="J14" s="0" t="n">
        <v>0.000121</v>
      </c>
      <c r="K14" s="0" t="n">
        <v>0.000164</v>
      </c>
      <c r="L14" s="0" t="n">
        <v>0.001406</v>
      </c>
      <c r="M14" s="0" t="n">
        <v>3.9e-05</v>
      </c>
      <c r="N14" s="0" t="n">
        <v>0.000184</v>
      </c>
      <c r="O14" s="0" t="n">
        <v>5.8e-05</v>
      </c>
      <c r="P14" s="0" t="n">
        <v>0.000536</v>
      </c>
      <c r="Q14" s="0" t="n">
        <v>0.000326</v>
      </c>
      <c r="R14" s="0" t="n">
        <v>4.6e-05</v>
      </c>
      <c r="S14" s="0" t="n">
        <v>0.000174</v>
      </c>
      <c r="T14" s="0" t="n">
        <v>0.000129</v>
      </c>
      <c r="U14" s="0" t="n">
        <v>1.8e-05</v>
      </c>
      <c r="V14" s="0" t="n">
        <v>8.500000000000001e-05</v>
      </c>
      <c r="W14" s="0" t="n">
        <v>0.000159</v>
      </c>
      <c r="X14" s="0" t="n">
        <v>0.000218</v>
      </c>
    </row>
    <row r="15">
      <c r="A15" s="4" t="inlineStr">
        <is>
          <t>PFE</t>
        </is>
      </c>
      <c r="B15" s="0" t="n">
        <v>2.2e-05</v>
      </c>
      <c r="C15" s="0" t="n">
        <v>2.9e-05</v>
      </c>
      <c r="D15" s="0" t="n">
        <v>5.3e-05</v>
      </c>
      <c r="E15" s="0" t="n">
        <v>3.5e-05</v>
      </c>
      <c r="F15" s="0" t="n">
        <v>5.3e-05</v>
      </c>
      <c r="G15" s="0" t="n">
        <v>2.1e-05</v>
      </c>
      <c r="H15" s="0" t="n">
        <v>1.2e-05</v>
      </c>
      <c r="I15" s="0" t="n">
        <v>-1.7e-05</v>
      </c>
      <c r="J15" s="0" t="n">
        <v>2.1e-05</v>
      </c>
      <c r="K15" s="0" t="n">
        <v>2e-05</v>
      </c>
      <c r="L15" s="0" t="n">
        <v>3.9e-05</v>
      </c>
      <c r="M15" s="0" t="n">
        <v>9.500000000000001e-05</v>
      </c>
      <c r="N15" s="0" t="n">
        <v>2.4e-05</v>
      </c>
      <c r="O15" s="0" t="n">
        <v>1.4e-05</v>
      </c>
      <c r="P15" s="0" t="n">
        <v>1e-05</v>
      </c>
      <c r="Q15" s="0" t="n">
        <v>2.1e-05</v>
      </c>
      <c r="R15" s="0" t="n">
        <v>3.9e-05</v>
      </c>
      <c r="S15" s="0" t="n">
        <v>2.8e-05</v>
      </c>
      <c r="T15" s="0" t="n">
        <v>2.8e-05</v>
      </c>
      <c r="U15" s="0" t="n">
        <v>4e-06</v>
      </c>
      <c r="V15" s="0" t="n">
        <v>5.6e-05</v>
      </c>
      <c r="W15" s="0" t="n">
        <v>4.6e-05</v>
      </c>
      <c r="X15" s="0" t="n">
        <v>5.2e-05</v>
      </c>
    </row>
    <row r="16">
      <c r="A16" s="4" t="inlineStr">
        <is>
          <t>CTL</t>
        </is>
      </c>
      <c r="B16" s="0" t="n">
        <v>3.5e-05</v>
      </c>
      <c r="C16" s="0" t="n">
        <v>5.1e-05</v>
      </c>
      <c r="D16" s="0" t="n">
        <v>3.3e-05</v>
      </c>
      <c r="E16" s="0" t="n">
        <v>7.499999999999999e-05</v>
      </c>
      <c r="F16" s="0" t="n">
        <v>7.4e-05</v>
      </c>
      <c r="G16" s="0" t="n">
        <v>6.499999999999999e-05</v>
      </c>
      <c r="H16" s="0" t="n">
        <v>0.000106</v>
      </c>
      <c r="I16" s="0" t="n">
        <v>5.4e-05</v>
      </c>
      <c r="J16" s="0" t="n">
        <v>6.1e-05</v>
      </c>
      <c r="K16" s="0" t="n">
        <v>2.3e-05</v>
      </c>
      <c r="L16" s="0" t="n">
        <v>0.000184</v>
      </c>
      <c r="M16" s="0" t="n">
        <v>2.4e-05</v>
      </c>
      <c r="N16" s="0" t="n">
        <v>0.000455</v>
      </c>
      <c r="O16" s="0" t="n">
        <v>5.9e-05</v>
      </c>
      <c r="P16" s="0" t="n">
        <v>0.000162</v>
      </c>
      <c r="Q16" s="0" t="n">
        <v>8.2e-05</v>
      </c>
      <c r="R16" s="0" t="n">
        <v>3e-05</v>
      </c>
      <c r="S16" s="0" t="n">
        <v>5.8e-05</v>
      </c>
      <c r="T16" s="0" t="n">
        <v>8.2e-05</v>
      </c>
      <c r="U16" s="0" t="n">
        <v>3.4e-05</v>
      </c>
      <c r="V16" s="0" t="n">
        <v>4e-05</v>
      </c>
      <c r="W16" s="0" t="n">
        <v>5.5e-05</v>
      </c>
      <c r="X16" s="0" t="n">
        <v>5.1e-05</v>
      </c>
    </row>
    <row r="17">
      <c r="A17" s="4" t="inlineStr">
        <is>
          <t>T</t>
        </is>
      </c>
      <c r="B17" s="0" t="n">
        <v>2.4e-05</v>
      </c>
      <c r="C17" s="0" t="n">
        <v>3.9e-05</v>
      </c>
      <c r="D17" s="0" t="n">
        <v>2e-05</v>
      </c>
      <c r="E17" s="0" t="n">
        <v>3.2e-05</v>
      </c>
      <c r="F17" s="0" t="n">
        <v>1.9e-05</v>
      </c>
      <c r="G17" s="0" t="n">
        <v>1.5e-05</v>
      </c>
      <c r="H17" s="0" t="n">
        <v>5.2e-05</v>
      </c>
      <c r="I17" s="0" t="n">
        <v>3e-05</v>
      </c>
      <c r="J17" s="0" t="n">
        <v>2.9e-05</v>
      </c>
      <c r="K17" s="0" t="n">
        <v>-6e-06</v>
      </c>
      <c r="L17" s="0" t="n">
        <v>5.8e-05</v>
      </c>
      <c r="M17" s="0" t="n">
        <v>1.4e-05</v>
      </c>
      <c r="N17" s="0" t="n">
        <v>5.9e-05</v>
      </c>
      <c r="O17" s="0" t="n">
        <v>0.000105</v>
      </c>
      <c r="P17" s="0" t="n">
        <v>4.5e-05</v>
      </c>
      <c r="Q17" s="0" t="n">
        <v>3.7e-05</v>
      </c>
      <c r="R17" s="0" t="n">
        <v>1.9e-05</v>
      </c>
      <c r="S17" s="0" t="n">
        <v>1.3e-05</v>
      </c>
      <c r="T17" s="0" t="n">
        <v>2.4e-05</v>
      </c>
      <c r="U17" s="0" t="n">
        <v>3.4e-05</v>
      </c>
      <c r="V17" s="0" t="n">
        <v>1.1e-05</v>
      </c>
      <c r="W17" s="0" t="n">
        <v>2e-05</v>
      </c>
      <c r="X17" s="0" t="n">
        <v>2e-05</v>
      </c>
    </row>
    <row r="18">
      <c r="A18" s="4" t="inlineStr">
        <is>
          <t>ECA</t>
        </is>
      </c>
      <c r="B18" s="0" t="n">
        <v>8.4e-05</v>
      </c>
      <c r="C18" s="0" t="n">
        <v>8.500000000000001e-05</v>
      </c>
      <c r="D18" s="0" t="n">
        <v>1.9e-05</v>
      </c>
      <c r="E18" s="0" t="n">
        <v>0.000152</v>
      </c>
      <c r="F18" s="0" t="n">
        <v>0.000214</v>
      </c>
      <c r="G18" s="0" t="n">
        <v>4.9e-05</v>
      </c>
      <c r="H18" s="0" t="n">
        <v>0.000294</v>
      </c>
      <c r="I18" s="0" t="n">
        <v>0.000148</v>
      </c>
      <c r="J18" s="0" t="n">
        <v>9.399999999999999e-05</v>
      </c>
      <c r="K18" s="0" t="n">
        <v>0.000149</v>
      </c>
      <c r="L18" s="0" t="n">
        <v>0.000536</v>
      </c>
      <c r="M18" s="0" t="n">
        <v>1e-05</v>
      </c>
      <c r="N18" s="0" t="n">
        <v>0.000162</v>
      </c>
      <c r="O18" s="0" t="n">
        <v>4.5e-05</v>
      </c>
      <c r="P18" s="0" t="n">
        <v>0.001407</v>
      </c>
      <c r="Q18" s="0" t="n">
        <v>0.000163</v>
      </c>
      <c r="R18" s="0" t="n">
        <v>1.5e-05</v>
      </c>
      <c r="S18" s="0" t="n">
        <v>0.000199</v>
      </c>
      <c r="T18" s="0" t="n">
        <v>8.000000000000001e-05</v>
      </c>
      <c r="U18" s="0" t="n">
        <v>-1.6e-05</v>
      </c>
      <c r="V18" s="0" t="n">
        <v>3.1e-05</v>
      </c>
      <c r="W18" s="0" t="n">
        <v>0.000119</v>
      </c>
      <c r="X18" s="0" t="n">
        <v>0.000163</v>
      </c>
    </row>
    <row r="19">
      <c r="A19" s="4" t="inlineStr">
        <is>
          <t>ABEV</t>
        </is>
      </c>
      <c r="B19" s="0" t="n">
        <v>4.6e-05</v>
      </c>
      <c r="C19" s="0" t="n">
        <v>4.8e-05</v>
      </c>
      <c r="D19" s="0" t="n">
        <v>2.7e-05</v>
      </c>
      <c r="E19" s="0" t="n">
        <v>5.1e-05</v>
      </c>
      <c r="F19" s="0" t="n">
        <v>7.2e-05</v>
      </c>
      <c r="G19" s="0" t="n">
        <v>1.6e-05</v>
      </c>
      <c r="H19" s="0" t="n">
        <v>0.00034</v>
      </c>
      <c r="I19" s="0" t="n">
        <v>9.000000000000001e-05</v>
      </c>
      <c r="J19" s="0" t="n">
        <v>4.8e-05</v>
      </c>
      <c r="K19" s="0" t="n">
        <v>0.000103</v>
      </c>
      <c r="L19" s="0" t="n">
        <v>0.000326</v>
      </c>
      <c r="M19" s="0" t="n">
        <v>2.1e-05</v>
      </c>
      <c r="N19" s="0" t="n">
        <v>8.2e-05</v>
      </c>
      <c r="O19" s="0" t="n">
        <v>3.7e-05</v>
      </c>
      <c r="P19" s="0" t="n">
        <v>0.000163</v>
      </c>
      <c r="Q19" s="0" t="n">
        <v>0.000313</v>
      </c>
      <c r="R19" s="0" t="n">
        <v>3.4e-05</v>
      </c>
      <c r="S19" s="0" t="n">
        <v>7.3e-05</v>
      </c>
      <c r="T19" s="0" t="n">
        <v>7.499999999999999e-05</v>
      </c>
      <c r="U19" s="0" t="n">
        <v>3.5e-05</v>
      </c>
      <c r="V19" s="0" t="n">
        <v>2.9e-05</v>
      </c>
      <c r="W19" s="0" t="n">
        <v>4.6e-05</v>
      </c>
      <c r="X19" s="0" t="n">
        <v>5.4e-05</v>
      </c>
    </row>
    <row r="20">
      <c r="A20" s="4" t="inlineStr">
        <is>
          <t>CVS</t>
        </is>
      </c>
      <c r="B20" s="0" t="n">
        <v>2e-05</v>
      </c>
      <c r="C20" s="0" t="n">
        <v>3.9e-05</v>
      </c>
      <c r="D20" s="0" t="n">
        <v>2.9e-05</v>
      </c>
      <c r="E20" s="0" t="n">
        <v>3.3e-05</v>
      </c>
      <c r="F20" s="0" t="n">
        <v>4.5e-05</v>
      </c>
      <c r="G20" s="0" t="n">
        <v>6.3e-05</v>
      </c>
      <c r="H20" s="0" t="n">
        <v>3.8e-05</v>
      </c>
      <c r="I20" s="0" t="n">
        <v>-1.5e-05</v>
      </c>
      <c r="J20" s="0" t="n">
        <v>2e-05</v>
      </c>
      <c r="K20" s="0" t="n">
        <v>3.6e-05</v>
      </c>
      <c r="L20" s="0" t="n">
        <v>4.6e-05</v>
      </c>
      <c r="M20" s="0" t="n">
        <v>3.9e-05</v>
      </c>
      <c r="N20" s="0" t="n">
        <v>3e-05</v>
      </c>
      <c r="O20" s="0" t="n">
        <v>1.9e-05</v>
      </c>
      <c r="P20" s="0" t="n">
        <v>1.5e-05</v>
      </c>
      <c r="Q20" s="0" t="n">
        <v>3.4e-05</v>
      </c>
      <c r="R20" s="0" t="n">
        <v>0.000193</v>
      </c>
      <c r="S20" s="0" t="n">
        <v>1.3e-05</v>
      </c>
      <c r="T20" s="0" t="n">
        <v>2.9e-05</v>
      </c>
      <c r="U20" s="0" t="n">
        <v>1.3e-05</v>
      </c>
      <c r="V20" s="0" t="n">
        <v>3.5e-05</v>
      </c>
      <c r="W20" s="0" t="n">
        <v>4e-05</v>
      </c>
      <c r="X20" s="0" t="n">
        <v>4.7e-05</v>
      </c>
    </row>
    <row r="21">
      <c r="A21" s="4" t="inlineStr">
        <is>
          <t>MRVL</t>
        </is>
      </c>
      <c r="B21" s="0" t="n">
        <v>5.8e-05</v>
      </c>
      <c r="C21" s="0" t="n">
        <v>5.1e-05</v>
      </c>
      <c r="D21" s="0" t="n">
        <v>2.5e-05</v>
      </c>
      <c r="E21" s="0" t="n">
        <v>8.899999999999999e-05</v>
      </c>
      <c r="F21" s="0" t="n">
        <v>0.000103</v>
      </c>
      <c r="G21" s="0" t="n">
        <v>3.8e-05</v>
      </c>
      <c r="H21" s="0" t="n">
        <v>0.000127</v>
      </c>
      <c r="I21" s="0" t="n">
        <v>9e-06</v>
      </c>
      <c r="J21" s="0" t="n">
        <v>7.6e-05</v>
      </c>
      <c r="K21" s="0" t="n">
        <v>6.600000000000001e-05</v>
      </c>
      <c r="L21" s="0" t="n">
        <v>0.000174</v>
      </c>
      <c r="M21" s="0" t="n">
        <v>2.8e-05</v>
      </c>
      <c r="N21" s="0" t="n">
        <v>5.8e-05</v>
      </c>
      <c r="O21" s="0" t="n">
        <v>1.3e-05</v>
      </c>
      <c r="P21" s="0" t="n">
        <v>0.000199</v>
      </c>
      <c r="Q21" s="0" t="n">
        <v>7.3e-05</v>
      </c>
      <c r="R21" s="0" t="n">
        <v>1.3e-05</v>
      </c>
      <c r="S21" s="0" t="n">
        <v>0.000411</v>
      </c>
      <c r="T21" s="0" t="n">
        <v>7.1e-05</v>
      </c>
      <c r="U21" s="0" t="n">
        <v>7e-06</v>
      </c>
      <c r="V21" s="0" t="n">
        <v>3.7e-05</v>
      </c>
      <c r="W21" s="0" t="n">
        <v>6.1e-05</v>
      </c>
      <c r="X21" s="0" t="n">
        <v>9.500000000000001e-05</v>
      </c>
    </row>
    <row r="22">
      <c r="A22" s="4" t="inlineStr">
        <is>
          <t>CSCO</t>
        </is>
      </c>
      <c r="B22" s="0" t="n">
        <v>4.7e-05</v>
      </c>
      <c r="C22" s="0" t="n">
        <v>4.1e-05</v>
      </c>
      <c r="D22" s="0" t="n">
        <v>3.4e-05</v>
      </c>
      <c r="E22" s="0" t="n">
        <v>6.499999999999999e-05</v>
      </c>
      <c r="F22" s="0" t="n">
        <v>6.9e-05</v>
      </c>
      <c r="G22" s="0" t="n">
        <v>2.6e-05</v>
      </c>
      <c r="H22" s="0" t="n">
        <v>0.000113</v>
      </c>
      <c r="I22" s="0" t="n">
        <v>1.4e-05</v>
      </c>
      <c r="J22" s="0" t="n">
        <v>4.7e-05</v>
      </c>
      <c r="K22" s="0" t="n">
        <v>4.5e-05</v>
      </c>
      <c r="L22" s="0" t="n">
        <v>0.000129</v>
      </c>
      <c r="M22" s="0" t="n">
        <v>2.8e-05</v>
      </c>
      <c r="N22" s="0" t="n">
        <v>8.2e-05</v>
      </c>
      <c r="O22" s="0" t="n">
        <v>2.4e-05</v>
      </c>
      <c r="P22" s="0" t="n">
        <v>8.000000000000001e-05</v>
      </c>
      <c r="Q22" s="0" t="n">
        <v>7.499999999999999e-05</v>
      </c>
      <c r="R22" s="0" t="n">
        <v>2.9e-05</v>
      </c>
      <c r="S22" s="0" t="n">
        <v>7.1e-05</v>
      </c>
      <c r="T22" s="0" t="n">
        <v>0.000142</v>
      </c>
      <c r="U22" s="0" t="n">
        <v>2.4e-05</v>
      </c>
      <c r="V22" s="0" t="n">
        <v>3.7e-05</v>
      </c>
      <c r="W22" s="0" t="n">
        <v>5.3e-05</v>
      </c>
      <c r="X22" s="0" t="n">
        <v>5.4e-05</v>
      </c>
    </row>
    <row r="23">
      <c r="A23" s="4" t="inlineStr">
        <is>
          <t>MO</t>
        </is>
      </c>
      <c r="B23" s="0" t="n">
        <v>1.6e-05</v>
      </c>
      <c r="C23" s="0" t="n">
        <v>2e-05</v>
      </c>
      <c r="D23" s="0" t="n">
        <v>1.4e-05</v>
      </c>
      <c r="E23" s="0" t="n">
        <v>1.1e-05</v>
      </c>
      <c r="F23" s="0" t="n">
        <v>-9e-06</v>
      </c>
      <c r="G23" s="0" t="n">
        <v>9e-06</v>
      </c>
      <c r="H23" s="0" t="n">
        <v>5e-05</v>
      </c>
      <c r="I23" s="0" t="n">
        <v>1.2e-05</v>
      </c>
      <c r="J23" s="0" t="n">
        <v>1.9e-05</v>
      </c>
      <c r="K23" s="0" t="n">
        <v>1.9e-05</v>
      </c>
      <c r="L23" s="0" t="n">
        <v>1.8e-05</v>
      </c>
      <c r="M23" s="0" t="n">
        <v>4e-06</v>
      </c>
      <c r="N23" s="0" t="n">
        <v>3.4e-05</v>
      </c>
      <c r="O23" s="0" t="n">
        <v>3.4e-05</v>
      </c>
      <c r="P23" s="0" t="n">
        <v>-1.6e-05</v>
      </c>
      <c r="Q23" s="0" t="n">
        <v>3.5e-05</v>
      </c>
      <c r="R23" s="0" t="n">
        <v>1.3e-05</v>
      </c>
      <c r="S23" s="0" t="n">
        <v>7e-06</v>
      </c>
      <c r="T23" s="0" t="n">
        <v>2.4e-05</v>
      </c>
      <c r="U23" s="0" t="n">
        <v>0.000105</v>
      </c>
      <c r="V23" s="0" t="n">
        <v>-5e-06</v>
      </c>
      <c r="W23" s="0" t="n">
        <v>4e-06</v>
      </c>
      <c r="X23" s="0" t="n">
        <v>-1e-05</v>
      </c>
    </row>
    <row r="24">
      <c r="A24" s="4" t="inlineStr">
        <is>
          <t>BMY</t>
        </is>
      </c>
      <c r="B24" s="0" t="n">
        <v>1.4e-05</v>
      </c>
      <c r="C24" s="0" t="n">
        <v>3.2e-05</v>
      </c>
      <c r="D24" s="0" t="n">
        <v>7.1e-05</v>
      </c>
      <c r="E24" s="0" t="n">
        <v>5.5e-05</v>
      </c>
      <c r="F24" s="0" t="n">
        <v>4e-05</v>
      </c>
      <c r="G24" s="0" t="n">
        <v>2.8e-05</v>
      </c>
      <c r="H24" s="0" t="n">
        <v>6.3e-05</v>
      </c>
      <c r="I24" s="0" t="n">
        <v>1.6e-05</v>
      </c>
      <c r="J24" s="0" t="n">
        <v>1.8e-05</v>
      </c>
      <c r="K24" s="0" t="n">
        <v>-1.8e-05</v>
      </c>
      <c r="L24" s="0" t="n">
        <v>8.500000000000001e-05</v>
      </c>
      <c r="M24" s="0" t="n">
        <v>5.6e-05</v>
      </c>
      <c r="N24" s="0" t="n">
        <v>4e-05</v>
      </c>
      <c r="O24" s="0" t="n">
        <v>1.1e-05</v>
      </c>
      <c r="P24" s="0" t="n">
        <v>3.1e-05</v>
      </c>
      <c r="Q24" s="0" t="n">
        <v>2.9e-05</v>
      </c>
      <c r="R24" s="0" t="n">
        <v>3.5e-05</v>
      </c>
      <c r="S24" s="0" t="n">
        <v>3.7e-05</v>
      </c>
      <c r="T24" s="0" t="n">
        <v>3.7e-05</v>
      </c>
      <c r="U24" s="0" t="n">
        <v>-5e-06</v>
      </c>
      <c r="V24" s="0" t="n">
        <v>0.000284</v>
      </c>
      <c r="W24" s="0" t="n">
        <v>3.2e-05</v>
      </c>
      <c r="X24" s="0" t="n">
        <v>3.6e-05</v>
      </c>
    </row>
    <row r="25">
      <c r="A25" s="4" t="inlineStr">
        <is>
          <t>WFC</t>
        </is>
      </c>
      <c r="B25" s="0" t="n">
        <v>5e-05</v>
      </c>
      <c r="C25" s="0" t="n">
        <v>6.2e-05</v>
      </c>
      <c r="D25" s="0" t="n">
        <v>3.1e-05</v>
      </c>
      <c r="E25" s="0" t="n">
        <v>9.399999999999999e-05</v>
      </c>
      <c r="F25" s="0" t="n">
        <v>0.000175</v>
      </c>
      <c r="G25" s="0" t="n">
        <v>4.2e-05</v>
      </c>
      <c r="H25" s="0" t="n">
        <v>6.8e-05</v>
      </c>
      <c r="I25" s="0" t="n">
        <v>-7.9e-05</v>
      </c>
      <c r="J25" s="0" t="n">
        <v>5.7e-05</v>
      </c>
      <c r="K25" s="0" t="n">
        <v>2.5e-05</v>
      </c>
      <c r="L25" s="0" t="n">
        <v>0.000159</v>
      </c>
      <c r="M25" s="0" t="n">
        <v>4.6e-05</v>
      </c>
      <c r="N25" s="0" t="n">
        <v>5.5e-05</v>
      </c>
      <c r="O25" s="0" t="n">
        <v>2e-05</v>
      </c>
      <c r="P25" s="0" t="n">
        <v>0.000119</v>
      </c>
      <c r="Q25" s="0" t="n">
        <v>4.6e-05</v>
      </c>
      <c r="R25" s="0" t="n">
        <v>4e-05</v>
      </c>
      <c r="S25" s="0" t="n">
        <v>6.1e-05</v>
      </c>
      <c r="T25" s="0" t="n">
        <v>5.3e-05</v>
      </c>
      <c r="U25" s="0" t="n">
        <v>4e-06</v>
      </c>
      <c r="V25" s="0" t="n">
        <v>3.2e-05</v>
      </c>
      <c r="W25" s="0" t="n">
        <v>0.000174</v>
      </c>
      <c r="X25" s="0" t="n">
        <v>0.000165</v>
      </c>
    </row>
    <row r="26">
      <c r="A26" s="4" t="inlineStr">
        <is>
          <t>HBAN</t>
        </is>
      </c>
      <c r="B26" s="0" t="n">
        <v>6.9e-05</v>
      </c>
      <c r="C26" s="0" t="n">
        <v>7.6e-05</v>
      </c>
      <c r="D26" s="0" t="n">
        <v>3e-05</v>
      </c>
      <c r="E26" s="0" t="n">
        <v>0.000115</v>
      </c>
      <c r="F26" s="0" t="n">
        <v>0.000233</v>
      </c>
      <c r="G26" s="0" t="n">
        <v>4.3e-05</v>
      </c>
      <c r="H26" s="0" t="n">
        <v>0.000106</v>
      </c>
      <c r="I26" s="0" t="n">
        <v>-0.00011</v>
      </c>
      <c r="J26" s="0" t="n">
        <v>6.3e-05</v>
      </c>
      <c r="K26" s="0" t="n">
        <v>5.7e-05</v>
      </c>
      <c r="L26" s="0" t="n">
        <v>0.000218</v>
      </c>
      <c r="M26" s="0" t="n">
        <v>5.2e-05</v>
      </c>
      <c r="N26" s="0" t="n">
        <v>5.1e-05</v>
      </c>
      <c r="O26" s="0" t="n">
        <v>2e-05</v>
      </c>
      <c r="P26" s="0" t="n">
        <v>0.000163</v>
      </c>
      <c r="Q26" s="0" t="n">
        <v>5.4e-05</v>
      </c>
      <c r="R26" s="0" t="n">
        <v>4.7e-05</v>
      </c>
      <c r="S26" s="0" t="n">
        <v>9.500000000000001e-05</v>
      </c>
      <c r="T26" s="0" t="n">
        <v>5.4e-05</v>
      </c>
      <c r="U26" s="0" t="n">
        <v>-1e-05</v>
      </c>
      <c r="V26" s="0" t="n">
        <v>3.6e-05</v>
      </c>
      <c r="W26" s="0" t="n">
        <v>0.000165</v>
      </c>
      <c r="X26" s="0" t="n">
        <v>0.000295</v>
      </c>
    </row>
    <row r="30">
      <c r="B30" s="4" t="inlineStr">
        <is>
          <t>IBM</t>
        </is>
      </c>
      <c r="C30" s="4" t="inlineStr">
        <is>
          <t>GE</t>
        </is>
      </c>
      <c r="D30" s="4" t="inlineStr">
        <is>
          <t>LLY</t>
        </is>
      </c>
      <c r="E30" s="4" t="inlineStr">
        <is>
          <t>F</t>
        </is>
      </c>
      <c r="F30" s="4" t="inlineStr">
        <is>
          <t>BAC</t>
        </is>
      </c>
      <c r="G30" s="4" t="inlineStr">
        <is>
          <t>KR</t>
        </is>
      </c>
      <c r="H30" s="4" t="inlineStr">
        <is>
          <t>ITUB</t>
        </is>
      </c>
      <c r="I30" s="4" t="inlineStr">
        <is>
          <t>GG</t>
        </is>
      </c>
      <c r="J30" s="4" t="inlineStr">
        <is>
          <t>SIRI</t>
        </is>
      </c>
      <c r="K30" s="4" t="inlineStr">
        <is>
          <t>ACB</t>
        </is>
      </c>
      <c r="L30" s="4" t="inlineStr">
        <is>
          <t>VALE</t>
        </is>
      </c>
      <c r="M30" s="4" t="inlineStr">
        <is>
          <t>PFE</t>
        </is>
      </c>
      <c r="N30" s="4" t="inlineStr">
        <is>
          <t>CTL</t>
        </is>
      </c>
      <c r="O30" s="4" t="inlineStr">
        <is>
          <t>T</t>
        </is>
      </c>
      <c r="P30" s="4" t="inlineStr">
        <is>
          <t>ECA</t>
        </is>
      </c>
      <c r="Q30" s="4" t="inlineStr">
        <is>
          <t>ABEV</t>
        </is>
      </c>
      <c r="R30" s="4" t="inlineStr">
        <is>
          <t>CVS</t>
        </is>
      </c>
      <c r="S30" s="4" t="inlineStr">
        <is>
          <t>MRVL</t>
        </is>
      </c>
      <c r="T30" s="4" t="inlineStr">
        <is>
          <t>CSCO</t>
        </is>
      </c>
      <c r="U30" s="4" t="inlineStr">
        <is>
          <t>MO</t>
        </is>
      </c>
      <c r="V30" s="4" t="inlineStr">
        <is>
          <t>BMY</t>
        </is>
      </c>
      <c r="W30" s="4" t="inlineStr">
        <is>
          <t>WFC</t>
        </is>
      </c>
      <c r="X30" s="4" t="inlineStr">
        <is>
          <t>HBAN</t>
        </is>
      </c>
    </row>
    <row r="31">
      <c r="A31" s="0" t="inlineStr">
        <is>
          <t>Average_Daily_Returns</t>
        </is>
      </c>
      <c r="B31" s="0" t="n">
        <v>0.000241</v>
      </c>
      <c r="C31" s="9">
        <f>AVERAGE(Daily_Returns_Q1_Q2!C2:C503)</f>
        <v/>
      </c>
      <c r="D31" s="0" t="n">
        <v>3.8e-05</v>
      </c>
      <c r="E31" s="0" t="n">
        <v>-0.000223</v>
      </c>
      <c r="F31" s="0" t="n">
        <v>0.001167</v>
      </c>
      <c r="G31" s="0" t="n">
        <v>-0.000807</v>
      </c>
      <c r="H31" s="0" t="n">
        <v>0.001658</v>
      </c>
      <c r="I31" s="0" t="n">
        <v>0.000147</v>
      </c>
      <c r="J31" s="0" t="n">
        <v>0.000608</v>
      </c>
      <c r="K31" s="0" t="n">
        <v>0.005781</v>
      </c>
      <c r="L31" s="0" t="n">
        <v>0.002696</v>
      </c>
      <c r="M31" s="0" t="n">
        <v>0.00025</v>
      </c>
      <c r="N31" s="0" t="n">
        <v>-0.000815</v>
      </c>
      <c r="O31" s="0" t="n">
        <v>0.000247</v>
      </c>
      <c r="P31" s="0" t="n">
        <v>0.001902</v>
      </c>
      <c r="Q31" s="0" t="n">
        <v>0.000825</v>
      </c>
      <c r="R31" s="0" t="n">
        <v>-0.000569</v>
      </c>
      <c r="S31" s="0" t="n">
        <v>0.001777</v>
      </c>
      <c r="T31" s="0" t="n">
        <v>0.00074</v>
      </c>
      <c r="U31" s="0" t="n">
        <v>0.000435</v>
      </c>
      <c r="V31" s="0" t="n">
        <v>-0.000179</v>
      </c>
      <c r="W31" s="0" t="n">
        <v>0.000273</v>
      </c>
      <c r="X31" s="0" t="n">
        <v>0.000614</v>
      </c>
    </row>
    <row r="33">
      <c r="B33" s="4" t="inlineStr">
        <is>
          <t>IBM</t>
        </is>
      </c>
      <c r="C33" s="4" t="inlineStr">
        <is>
          <t>GE</t>
        </is>
      </c>
      <c r="D33" s="4" t="inlineStr">
        <is>
          <t>LLY</t>
        </is>
      </c>
      <c r="E33" s="4" t="inlineStr">
        <is>
          <t>F</t>
        </is>
      </c>
      <c r="F33" s="4" t="inlineStr">
        <is>
          <t>BAC</t>
        </is>
      </c>
      <c r="G33" s="4" t="inlineStr">
        <is>
          <t>KR</t>
        </is>
      </c>
      <c r="H33" s="4" t="inlineStr">
        <is>
          <t>ITUB</t>
        </is>
      </c>
      <c r="I33" s="4" t="inlineStr">
        <is>
          <t>GG</t>
        </is>
      </c>
      <c r="J33" s="4" t="inlineStr">
        <is>
          <t>SIRI</t>
        </is>
      </c>
      <c r="K33" s="4" t="inlineStr">
        <is>
          <t>ACB</t>
        </is>
      </c>
      <c r="L33" s="4" t="inlineStr">
        <is>
          <t>VALE</t>
        </is>
      </c>
      <c r="M33" s="4" t="inlineStr">
        <is>
          <t>PFE</t>
        </is>
      </c>
      <c r="N33" s="4" t="inlineStr">
        <is>
          <t>CTL</t>
        </is>
      </c>
      <c r="O33" s="4" t="inlineStr">
        <is>
          <t>T</t>
        </is>
      </c>
      <c r="P33" s="4" t="inlineStr">
        <is>
          <t>ECA</t>
        </is>
      </c>
      <c r="Q33" s="4" t="inlineStr">
        <is>
          <t>ABEV</t>
        </is>
      </c>
      <c r="R33" s="4" t="inlineStr">
        <is>
          <t>CVS</t>
        </is>
      </c>
      <c r="S33" s="4" t="inlineStr">
        <is>
          <t>MRVL</t>
        </is>
      </c>
      <c r="T33" s="4" t="inlineStr">
        <is>
          <t>CSCO</t>
        </is>
      </c>
      <c r="U33" s="4" t="inlineStr">
        <is>
          <t>MO</t>
        </is>
      </c>
      <c r="V33" s="4" t="inlineStr">
        <is>
          <t>BMY</t>
        </is>
      </c>
      <c r="W33" s="4" t="inlineStr">
        <is>
          <t>WFC</t>
        </is>
      </c>
      <c r="X33" s="4" t="inlineStr">
        <is>
          <t>HBAN</t>
        </is>
      </c>
    </row>
    <row r="34">
      <c r="A34" s="0" t="inlineStr">
        <is>
          <t>Percentage_Portfolio_Allocation_1</t>
        </is>
      </c>
      <c r="B34" s="9" t="n">
        <v>0.08902355674444173</v>
      </c>
      <c r="C34" s="9" t="n">
        <v>-0.02072523802347439</v>
      </c>
      <c r="D34" s="9" t="n">
        <v>0.02362747979610699</v>
      </c>
      <c r="E34" s="9" t="n">
        <v>-0.04343366890565967</v>
      </c>
      <c r="F34" s="9" t="n">
        <v>0.05847895383595705</v>
      </c>
      <c r="G34" s="9" t="n">
        <v>0.02239613695481942</v>
      </c>
      <c r="H34" s="9" t="n">
        <v>-0.02499967914144156</v>
      </c>
      <c r="I34" s="9" t="n">
        <v>0.0704822631770035</v>
      </c>
      <c r="J34" s="9" t="n">
        <v>0.06518042472067867</v>
      </c>
      <c r="K34" s="9" t="n">
        <v>0.01991418502584519</v>
      </c>
      <c r="L34" s="9" t="n">
        <v>-0.02437886982304379</v>
      </c>
      <c r="M34" s="9" t="n">
        <v>0.1728632942498863</v>
      </c>
      <c r="N34" s="9" t="n">
        <v>-0.03532799732970179</v>
      </c>
      <c r="O34" s="9" t="n">
        <v>0.1467936749091622</v>
      </c>
      <c r="P34" s="9" t="n">
        <v>0.004373075215459109</v>
      </c>
      <c r="Q34" s="9" t="n">
        <v>0.02232285141532167</v>
      </c>
      <c r="R34" s="9" t="n">
        <v>0.03227273879663343</v>
      </c>
      <c r="S34" s="9" t="n">
        <v>0.0350193599185155</v>
      </c>
      <c r="T34" s="9" t="n">
        <v>0.06174381715221873</v>
      </c>
      <c r="U34" s="9" t="n">
        <v>0.2327338174150251</v>
      </c>
      <c r="V34" s="9" t="n">
        <v>0.04456107873050651</v>
      </c>
      <c r="W34" s="9" t="n">
        <v>0.03012467806608899</v>
      </c>
      <c r="X34" s="9" t="n">
        <v>0.0169540670996512</v>
      </c>
    </row>
    <row r="38">
      <c r="A38" s="0" t="inlineStr">
        <is>
          <t>Portfolio_Expected_Returns</t>
        </is>
      </c>
      <c r="B38" s="14">
        <f>SUMPRODUCT(B31:X31,B34:X34)</f>
        <v/>
      </c>
    </row>
    <row r="39">
      <c r="A39" s="0" t="inlineStr">
        <is>
          <t>Total_Wealth</t>
        </is>
      </c>
      <c r="B39" s="14">
        <f>SUM(B34:X34)</f>
        <v/>
      </c>
    </row>
    <row r="40">
      <c r="A40" s="0" t="inlineStr">
        <is>
          <t>Portfolio_Variance</t>
        </is>
      </c>
      <c r="B40" s="14">
        <f>SUMPRODUCT(B34:X34,MMULT(B34:X34,B4:X26))</f>
        <v/>
      </c>
    </row>
    <row r="42">
      <c r="A42" s="15" t="inlineStr">
        <is>
          <t>Q4: Expected return of x1 (= B38 above) — equal to 0.05%, the constraint binds</t>
        </is>
      </c>
    </row>
    <row r="44">
      <c r="A44" s="15" t="inlineStr">
        <is>
          <t>Q5: Percentage_Portfolio_Allocation_2 (x2, target mean &gt;= 0.0008)</t>
        </is>
      </c>
    </row>
    <row r="45">
      <c r="B45" s="0" t="n">
        <v>0.08492824378173354</v>
      </c>
      <c r="C45" s="0" t="n">
        <v>-0.08960470264521893</v>
      </c>
      <c r="D45" s="0" t="n">
        <v>0.01297461746492311</v>
      </c>
      <c r="E45" s="0" t="n">
        <v>-0.06553585052130133</v>
      </c>
      <c r="F45" s="0" t="n">
        <v>0.1054691358554307</v>
      </c>
      <c r="G45" s="0" t="n">
        <v>0.009466913053368218</v>
      </c>
      <c r="H45" s="0" t="n">
        <v>-0.02114152424888928</v>
      </c>
      <c r="I45" s="0" t="n">
        <v>0.06952578273663911</v>
      </c>
      <c r="J45" s="0" t="n">
        <v>0.06759035452017392</v>
      </c>
      <c r="K45" s="0" t="n">
        <v>0.02872425505883015</v>
      </c>
      <c r="L45" s="0" t="n">
        <v>-0.01578853045783582</v>
      </c>
      <c r="M45" s="0" t="n">
        <v>0.1920272725057327</v>
      </c>
      <c r="N45" s="0" t="n">
        <v>-0.05050355414602874</v>
      </c>
      <c r="O45" s="0" t="n">
        <v>0.1739989165124751</v>
      </c>
      <c r="P45" s="0" t="n">
        <v>0.006206528048562168</v>
      </c>
      <c r="Q45" s="0" t="n">
        <v>0.01368308319064984</v>
      </c>
      <c r="R45" s="0" t="n">
        <v>0.02168479877863313</v>
      </c>
      <c r="S45" s="0" t="n">
        <v>0.05155177947539087</v>
      </c>
      <c r="T45" s="0" t="n">
        <v>0.08327694606100323</v>
      </c>
      <c r="U45" s="0" t="n">
        <v>0.2565100915199668</v>
      </c>
      <c r="V45" s="0" t="n">
        <v>0.04423663763462134</v>
      </c>
      <c r="W45" s="0" t="n">
        <v>0.01252061655055823</v>
      </c>
      <c r="X45" s="0" t="n">
        <v>0.008198189270581833</v>
      </c>
    </row>
    <row r="47">
      <c r="A47" s="0" t="inlineStr">
        <is>
          <t>Portfolio_Expected_Returns_2</t>
        </is>
      </c>
      <c r="B47" s="0">
        <f>SUMPRODUCT(B31:X31,B45:X45)</f>
        <v/>
      </c>
    </row>
    <row r="48">
      <c r="A48" s="0" t="inlineStr">
        <is>
          <t>Total_Wealth_2</t>
        </is>
      </c>
      <c r="B48" s="0">
        <f>SUM(B45:X45)</f>
        <v/>
      </c>
    </row>
    <row r="49">
      <c r="A49" s="0" t="inlineStr">
        <is>
          <t>Portfolio_Variance_2  [Q5 answer]</t>
        </is>
      </c>
      <c r="B49" s="0">
        <f>SUMPRODUCT(B45:X45,MMULT(B45:X45,B4:X26))</f>
        <v/>
      </c>
    </row>
    <row r="52">
      <c r="A52" s="15" t="inlineStr">
        <is>
          <t>Q6: Percentage_Portfolio_Allocation_3 (x3, target mean &gt;= 0.001)</t>
        </is>
      </c>
    </row>
    <row r="53">
      <c r="B53" s="0" t="n">
        <v>0.08219803513992806</v>
      </c>
      <c r="C53" s="0" t="n">
        <v>-0.1355243457263821</v>
      </c>
      <c r="D53" s="0" t="n">
        <v>0.005872709244133861</v>
      </c>
      <c r="E53" s="0" t="n">
        <v>-0.08027063826506242</v>
      </c>
      <c r="F53" s="0" t="n">
        <v>0.1367959238684128</v>
      </c>
      <c r="G53" s="0" t="n">
        <v>0.0008474304524007365</v>
      </c>
      <c r="H53" s="0" t="n">
        <v>-0.01856942098718769</v>
      </c>
      <c r="I53" s="0" t="n">
        <v>0.06888812910972944</v>
      </c>
      <c r="J53" s="0" t="n">
        <v>0.06919697438650409</v>
      </c>
      <c r="K53" s="0" t="n">
        <v>0.03459763508082014</v>
      </c>
      <c r="L53" s="0" t="n">
        <v>-0.01006163754769716</v>
      </c>
      <c r="M53" s="0" t="n">
        <v>0.2048032580096303</v>
      </c>
      <c r="N53" s="0" t="n">
        <v>-0.06062059202358012</v>
      </c>
      <c r="O53" s="0" t="n">
        <v>0.1921357442480171</v>
      </c>
      <c r="P53" s="0" t="n">
        <v>0.00742882993729756</v>
      </c>
      <c r="Q53" s="0" t="n">
        <v>0.00792323770753524</v>
      </c>
      <c r="R53" s="0" t="n">
        <v>0.01462617209996622</v>
      </c>
      <c r="S53" s="0" t="n">
        <v>0.06257339251330782</v>
      </c>
      <c r="T53" s="0" t="n">
        <v>0.09763236533352627</v>
      </c>
      <c r="U53" s="0" t="n">
        <v>0.2723609409232613</v>
      </c>
      <c r="V53" s="0" t="n">
        <v>0.04402034357069784</v>
      </c>
      <c r="W53" s="0" t="n">
        <v>0.0007845755402047316</v>
      </c>
      <c r="X53" s="0" t="n">
        <v>0.002360937384535512</v>
      </c>
    </row>
    <row r="55">
      <c r="A55" s="0" t="inlineStr">
        <is>
          <t>Portfolio_Expected_Returns_3</t>
        </is>
      </c>
      <c r="B55" s="0">
        <f>SUMPRODUCT(B31:X31,B53:X53)</f>
        <v/>
      </c>
    </row>
    <row r="56">
      <c r="A56" s="0" t="inlineStr">
        <is>
          <t>Total_Wealth_3</t>
        </is>
      </c>
      <c r="B56" s="0">
        <f>SUM(B53:X53)</f>
        <v/>
      </c>
    </row>
    <row r="57">
      <c r="A57" s="0" t="inlineStr">
        <is>
          <t>Portfolio_Variance_3</t>
        </is>
      </c>
      <c r="B57" s="0">
        <f>SUMPRODUCT(B53:X53,MMULT(B53:X53,B4:X26))</f>
        <v/>
      </c>
    </row>
    <row r="59">
      <c r="A59" s="16" t="inlineStr">
        <is>
          <t>Two-fund theorem check: phi = (0.08%-0.1%)/(0.08%-0.05%);  z = phi*x1 + (1-phi)*x2</t>
        </is>
      </c>
    </row>
    <row r="60">
      <c r="A60" s="0" t="inlineStr">
        <is>
          <t>phi</t>
        </is>
      </c>
      <c r="B60" s="0">
        <f>(0.0008-0.001)/(0.0008-0.0005)</f>
        <v/>
      </c>
    </row>
    <row r="61">
      <c r="A61" s="0" t="inlineStr">
        <is>
          <t>z (=phi*x1+(1-phi)*x2)</t>
        </is>
      </c>
      <c r="B61" s="0">
        <f t="array" ref="B61:X61">$B$60*B34:X34+(1-$B$60)*B45:X45</f>
        <v/>
      </c>
    </row>
    <row r="62">
      <c r="A62" s="0" t="inlineStr">
        <is>
          <t>x3</t>
        </is>
      </c>
      <c r="B62" s="0">
        <f>B53</f>
        <v/>
      </c>
      <c r="C62" s="0">
        <f>C53</f>
        <v/>
      </c>
      <c r="D62" s="0">
        <f>D53</f>
        <v/>
      </c>
      <c r="E62" s="0">
        <f>E53</f>
        <v/>
      </c>
      <c r="F62" s="0">
        <f>F53</f>
        <v/>
      </c>
      <c r="G62" s="0">
        <f>G53</f>
        <v/>
      </c>
      <c r="H62" s="0">
        <f>H53</f>
        <v/>
      </c>
      <c r="I62" s="0">
        <f>I53</f>
        <v/>
      </c>
      <c r="J62" s="0">
        <f>J53</f>
        <v/>
      </c>
      <c r="K62" s="0">
        <f>K53</f>
        <v/>
      </c>
      <c r="L62" s="0">
        <f>L53</f>
        <v/>
      </c>
      <c r="M62" s="0">
        <f>M53</f>
        <v/>
      </c>
      <c r="N62" s="0">
        <f>N53</f>
        <v/>
      </c>
      <c r="O62" s="0">
        <f>O53</f>
        <v/>
      </c>
      <c r="P62" s="0">
        <f>P53</f>
        <v/>
      </c>
      <c r="Q62" s="0">
        <f>Q53</f>
        <v/>
      </c>
      <c r="R62" s="0">
        <f>R53</f>
        <v/>
      </c>
      <c r="S62" s="0">
        <f>S53</f>
        <v/>
      </c>
      <c r="T62" s="0">
        <f>T53</f>
        <v/>
      </c>
      <c r="U62" s="0">
        <f>U53</f>
        <v/>
      </c>
      <c r="V62" s="0">
        <f>V53</f>
        <v/>
      </c>
      <c r="W62" s="0">
        <f>W53</f>
        <v/>
      </c>
      <c r="X62" s="0">
        <f>X53</f>
        <v/>
      </c>
    </row>
    <row r="63">
      <c r="A63" s="0" t="inlineStr">
        <is>
          <t>Max |z - x3|  (should be ~0 -&gt; two-fund theorem holds, z = x3)</t>
        </is>
      </c>
      <c r="B63" s="0">
        <f t="array" ref="B63">MAX(ABS(B61:X61-B62:X62))</f>
        <v/>
      </c>
    </row>
  </sheetData>
  <mergeCells count="1">
    <mergeCell ref="A1:X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1"/>
  <sheetViews>
    <sheetView topLeftCell="A10" workbookViewId="0">
      <selection activeCell="J28" sqref="J28"/>
    </sheetView>
  </sheetViews>
  <sheetFormatPr baseColWidth="8" defaultRowHeight="13.8"/>
  <cols>
    <col width="23.33203125" customWidth="1" style="12" min="1" max="1"/>
    <col width="10" customWidth="1" style="12" min="2" max="2"/>
    <col width="15" customWidth="1" style="12" min="3" max="3"/>
    <col width="10.5546875" bestFit="1" customWidth="1" style="12" min="4" max="4"/>
    <col width="9" bestFit="1" customWidth="1" style="12" min="5" max="8"/>
    <col width="9.5546875" bestFit="1" customWidth="1" style="12" min="9" max="9"/>
    <col width="9" bestFit="1" customWidth="1" style="12" min="10" max="24"/>
  </cols>
  <sheetData>
    <row r="1">
      <c r="A1" s="3" t="inlineStr">
        <is>
          <t>Sharpe Portfolio Calculation--Cells in Yellow Are Not Optimal nor Correct, So You Need to Compute By Yourself</t>
        </is>
      </c>
    </row>
    <row r="2"/>
    <row r="3">
      <c r="A3" s="11" t="inlineStr">
        <is>
          <t>COVARIANCE MATRIX</t>
        </is>
      </c>
      <c r="B3" s="4" t="inlineStr">
        <is>
          <t>IBM</t>
        </is>
      </c>
      <c r="C3" s="4" t="inlineStr">
        <is>
          <t>GE</t>
        </is>
      </c>
      <c r="D3" s="4" t="inlineStr">
        <is>
          <t>LLY</t>
        </is>
      </c>
      <c r="E3" s="4" t="inlineStr">
        <is>
          <t>F</t>
        </is>
      </c>
      <c r="F3" s="4" t="inlineStr">
        <is>
          <t>BAC</t>
        </is>
      </c>
      <c r="G3" s="4" t="inlineStr">
        <is>
          <t>KR</t>
        </is>
      </c>
      <c r="H3" s="4" t="inlineStr">
        <is>
          <t>ITUB</t>
        </is>
      </c>
      <c r="I3" s="4" t="inlineStr">
        <is>
          <t>GG</t>
        </is>
      </c>
      <c r="J3" s="4" t="inlineStr">
        <is>
          <t>SIRI</t>
        </is>
      </c>
      <c r="K3" s="4" t="inlineStr">
        <is>
          <t>ACB</t>
        </is>
      </c>
      <c r="L3" s="4" t="inlineStr">
        <is>
          <t>VALE</t>
        </is>
      </c>
      <c r="M3" s="4" t="inlineStr">
        <is>
          <t>PFE</t>
        </is>
      </c>
      <c r="N3" s="4" t="inlineStr">
        <is>
          <t>CTL</t>
        </is>
      </c>
      <c r="O3" s="4" t="inlineStr">
        <is>
          <t>T</t>
        </is>
      </c>
      <c r="P3" s="4" t="inlineStr">
        <is>
          <t>ECA</t>
        </is>
      </c>
      <c r="Q3" s="4" t="inlineStr">
        <is>
          <t>ABEV</t>
        </is>
      </c>
      <c r="R3" s="4" t="inlineStr">
        <is>
          <t>CVS</t>
        </is>
      </c>
      <c r="S3" s="4" t="inlineStr">
        <is>
          <t>MRVL</t>
        </is>
      </c>
      <c r="T3" s="4" t="inlineStr">
        <is>
          <t>CSCO</t>
        </is>
      </c>
      <c r="U3" s="4" t="inlineStr">
        <is>
          <t>MO</t>
        </is>
      </c>
      <c r="V3" s="4" t="inlineStr">
        <is>
          <t>BMY</t>
        </is>
      </c>
      <c r="W3" s="4" t="inlineStr">
        <is>
          <t>WFC</t>
        </is>
      </c>
      <c r="X3" s="4" t="inlineStr">
        <is>
          <t>HBAN</t>
        </is>
      </c>
    </row>
    <row r="4">
      <c r="A4" s="4" t="inlineStr">
        <is>
          <t>IBM</t>
        </is>
      </c>
      <c r="B4" s="0" t="n">
        <v>0.000127</v>
      </c>
      <c r="C4" s="9">
        <f>_xlfn.COVARIANCE.S(Daily_Returns_Q1_Q2!B2:B503,Daily_Returns_Q1_Q2!C2:C503)</f>
        <v/>
      </c>
      <c r="D4" s="0" t="n">
        <v>1.9e-05</v>
      </c>
      <c r="E4" s="0" t="n">
        <v>5.5e-05</v>
      </c>
      <c r="F4" s="0" t="n">
        <v>6.999999999999999e-05</v>
      </c>
      <c r="G4" s="0" t="n">
        <v>5e-06</v>
      </c>
      <c r="H4" s="0" t="n">
        <v>7.3e-05</v>
      </c>
      <c r="I4" s="0" t="n">
        <v>1.1e-05</v>
      </c>
      <c r="J4" s="0" t="n">
        <v>3.2e-05</v>
      </c>
      <c r="K4" s="0" t="n">
        <v>3.1e-05</v>
      </c>
      <c r="L4" s="0" t="n">
        <v>0.000104</v>
      </c>
      <c r="M4" s="0" t="n">
        <v>2.2e-05</v>
      </c>
      <c r="N4" s="0" t="n">
        <v>3.5e-05</v>
      </c>
      <c r="O4" s="0" t="n">
        <v>2.4e-05</v>
      </c>
      <c r="P4" s="0" t="n">
        <v>8.4e-05</v>
      </c>
      <c r="Q4" s="0" t="n">
        <v>4.6e-05</v>
      </c>
      <c r="R4" s="0" t="n">
        <v>2e-05</v>
      </c>
      <c r="S4" s="0" t="n">
        <v>5.8e-05</v>
      </c>
      <c r="T4" s="0" t="n">
        <v>4.7e-05</v>
      </c>
      <c r="U4" s="0" t="n">
        <v>1.6e-05</v>
      </c>
      <c r="V4" s="0" t="n">
        <v>1.4e-05</v>
      </c>
      <c r="W4" s="0" t="n">
        <v>5e-05</v>
      </c>
      <c r="X4" s="0" t="n">
        <v>6.9e-05</v>
      </c>
    </row>
    <row r="5">
      <c r="A5" s="4" t="inlineStr">
        <is>
          <t>GE</t>
        </is>
      </c>
      <c r="B5" s="9">
        <f>C4</f>
        <v/>
      </c>
      <c r="C5" s="0" t="n">
        <v>0.000139</v>
      </c>
      <c r="D5" s="0" t="n">
        <v>2.2e-05</v>
      </c>
      <c r="E5" s="0" t="n">
        <v>6.999999999999999e-05</v>
      </c>
      <c r="F5" s="0" t="n">
        <v>8.7e-05</v>
      </c>
      <c r="G5" s="0" t="n">
        <v>1.5e-05</v>
      </c>
      <c r="H5" s="0" t="n">
        <v>8.4e-05</v>
      </c>
      <c r="I5" s="0" t="n">
        <v>-2.6e-05</v>
      </c>
      <c r="J5" s="0" t="n">
        <v>3.9e-05</v>
      </c>
      <c r="K5" s="0" t="n">
        <v>-1.4e-05</v>
      </c>
      <c r="L5" s="0" t="n">
        <v>0.000137</v>
      </c>
      <c r="M5" s="0" t="n">
        <v>2.9e-05</v>
      </c>
      <c r="N5" s="0" t="n">
        <v>5.1e-05</v>
      </c>
      <c r="O5" s="0" t="n">
        <v>3.9e-05</v>
      </c>
      <c r="P5" s="0" t="n">
        <v>8.500000000000001e-05</v>
      </c>
      <c r="Q5" s="0" t="n">
        <v>4.8e-05</v>
      </c>
      <c r="R5" s="0" t="n">
        <v>3.9e-05</v>
      </c>
      <c r="S5" s="0" t="n">
        <v>5.1e-05</v>
      </c>
      <c r="T5" s="0" t="n">
        <v>4.1e-05</v>
      </c>
      <c r="U5" s="0" t="n">
        <v>2e-05</v>
      </c>
      <c r="V5" s="0" t="n">
        <v>3.2e-05</v>
      </c>
      <c r="W5" s="0" t="n">
        <v>6.2e-05</v>
      </c>
      <c r="X5" s="0" t="n">
        <v>7.6e-05</v>
      </c>
    </row>
    <row r="6">
      <c r="A6" s="4" t="inlineStr">
        <is>
          <t>LLY</t>
        </is>
      </c>
      <c r="B6" s="0" t="n">
        <v>1.9e-05</v>
      </c>
      <c r="C6" s="0" t="n">
        <v>2.2e-05</v>
      </c>
      <c r="D6" s="0" t="n">
        <v>0.000163</v>
      </c>
      <c r="E6" s="0" t="n">
        <v>3e-05</v>
      </c>
      <c r="F6" s="0" t="n">
        <v>4.1e-05</v>
      </c>
      <c r="G6" s="0" t="n">
        <v>2e-05</v>
      </c>
      <c r="H6" s="0" t="n">
        <v>3e-05</v>
      </c>
      <c r="I6" s="0" t="n">
        <v>1.1e-05</v>
      </c>
      <c r="J6" s="0" t="n">
        <v>2.6e-05</v>
      </c>
      <c r="K6" s="0" t="n">
        <v>1.1e-05</v>
      </c>
      <c r="L6" s="0" t="n">
        <v>5.1e-05</v>
      </c>
      <c r="M6" s="0" t="n">
        <v>5.3e-05</v>
      </c>
      <c r="N6" s="0" t="n">
        <v>3.3e-05</v>
      </c>
      <c r="O6" s="0" t="n">
        <v>2e-05</v>
      </c>
      <c r="P6" s="0" t="n">
        <v>1.9e-05</v>
      </c>
      <c r="Q6" s="0" t="n">
        <v>2.7e-05</v>
      </c>
      <c r="R6" s="0" t="n">
        <v>2.9e-05</v>
      </c>
      <c r="S6" s="0" t="n">
        <v>2.5e-05</v>
      </c>
      <c r="T6" s="0" t="n">
        <v>3.4e-05</v>
      </c>
      <c r="U6" s="0" t="n">
        <v>1.4e-05</v>
      </c>
      <c r="V6" s="0" t="n">
        <v>7.1e-05</v>
      </c>
      <c r="W6" s="0" t="n">
        <v>3.1e-05</v>
      </c>
      <c r="X6" s="0" t="n">
        <v>3e-05</v>
      </c>
    </row>
    <row r="7">
      <c r="A7" s="4" t="inlineStr">
        <is>
          <t>F</t>
        </is>
      </c>
      <c r="B7" s="0" t="n">
        <v>5.5e-05</v>
      </c>
      <c r="C7" s="0" t="n">
        <v>6.999999999999999e-05</v>
      </c>
      <c r="D7" s="0" t="n">
        <v>3e-05</v>
      </c>
      <c r="E7" s="0" t="n">
        <v>0.000204</v>
      </c>
      <c r="F7" s="0" t="n">
        <v>0.000127</v>
      </c>
      <c r="G7" s="0" t="n">
        <v>3.5e-05</v>
      </c>
      <c r="H7" s="0" t="n">
        <v>9.2e-05</v>
      </c>
      <c r="I7" s="0" t="n">
        <v>-4e-06</v>
      </c>
      <c r="J7" s="0" t="n">
        <v>7.1e-05</v>
      </c>
      <c r="K7" s="0" t="n">
        <v>2.6e-05</v>
      </c>
      <c r="L7" s="0" t="n">
        <v>0.000193</v>
      </c>
      <c r="M7" s="0" t="n">
        <v>3.5e-05</v>
      </c>
      <c r="N7" s="0" t="n">
        <v>7.499999999999999e-05</v>
      </c>
      <c r="O7" s="0" t="n">
        <v>3.2e-05</v>
      </c>
      <c r="P7" s="0" t="n">
        <v>0.000152</v>
      </c>
      <c r="Q7" s="0" t="n">
        <v>5.1e-05</v>
      </c>
      <c r="R7" s="0" t="n">
        <v>3.3e-05</v>
      </c>
      <c r="S7" s="0" t="n">
        <v>8.899999999999999e-05</v>
      </c>
      <c r="T7" s="0" t="n">
        <v>6.499999999999999e-05</v>
      </c>
      <c r="U7" s="0" t="n">
        <v>1.1e-05</v>
      </c>
      <c r="V7" s="0" t="n">
        <v>5.5e-05</v>
      </c>
      <c r="W7" s="0" t="n">
        <v>9.399999999999999e-05</v>
      </c>
      <c r="X7" s="0" t="n">
        <v>0.000115</v>
      </c>
    </row>
    <row r="8">
      <c r="A8" s="4" t="inlineStr">
        <is>
          <t>BAC</t>
        </is>
      </c>
      <c r="B8" s="0" t="n">
        <v>6.999999999999999e-05</v>
      </c>
      <c r="C8" s="0" t="n">
        <v>8.7e-05</v>
      </c>
      <c r="D8" s="0" t="n">
        <v>4.1e-05</v>
      </c>
      <c r="E8" s="0" t="n">
        <v>0.000127</v>
      </c>
      <c r="F8" s="0" t="n">
        <v>0.000296</v>
      </c>
      <c r="G8" s="0" t="n">
        <v>5.8e-05</v>
      </c>
      <c r="H8" s="0" t="n">
        <v>0.000129</v>
      </c>
      <c r="I8" s="0" t="n">
        <v>-0.000121</v>
      </c>
      <c r="J8" s="0" t="n">
        <v>8.500000000000001e-05</v>
      </c>
      <c r="K8" s="0" t="n">
        <v>4.4e-05</v>
      </c>
      <c r="L8" s="0" t="n">
        <v>0.000257</v>
      </c>
      <c r="M8" s="0" t="n">
        <v>5.3e-05</v>
      </c>
      <c r="N8" s="0" t="n">
        <v>7.4e-05</v>
      </c>
      <c r="O8" s="0" t="n">
        <v>1.9e-05</v>
      </c>
      <c r="P8" s="0" t="n">
        <v>0.000214</v>
      </c>
      <c r="Q8" s="0" t="n">
        <v>7.2e-05</v>
      </c>
      <c r="R8" s="0" t="n">
        <v>4.5e-05</v>
      </c>
      <c r="S8" s="0" t="n">
        <v>0.000103</v>
      </c>
      <c r="T8" s="0" t="n">
        <v>6.9e-05</v>
      </c>
      <c r="U8" s="0" t="n">
        <v>-9e-06</v>
      </c>
      <c r="V8" s="0" t="n">
        <v>4e-05</v>
      </c>
      <c r="W8" s="0" t="n">
        <v>0.000175</v>
      </c>
      <c r="X8" s="0" t="n">
        <v>0.000233</v>
      </c>
    </row>
    <row r="9">
      <c r="A9" s="4" t="inlineStr">
        <is>
          <t>KR</t>
        </is>
      </c>
      <c r="B9" s="0" t="n">
        <v>5e-06</v>
      </c>
      <c r="C9" s="0" t="n">
        <v>1.5e-05</v>
      </c>
      <c r="D9" s="0" t="n">
        <v>2e-05</v>
      </c>
      <c r="E9" s="0" t="n">
        <v>3.5e-05</v>
      </c>
      <c r="F9" s="0" t="n">
        <v>5.8e-05</v>
      </c>
      <c r="G9" s="0" t="n">
        <v>0.000366</v>
      </c>
      <c r="H9" s="0" t="n">
        <v>-1.6e-05</v>
      </c>
      <c r="I9" s="0" t="n">
        <v>-2.4e-05</v>
      </c>
      <c r="J9" s="0" t="n">
        <v>3e-05</v>
      </c>
      <c r="K9" s="0" t="n">
        <v>4.2e-05</v>
      </c>
      <c r="L9" s="0" t="n">
        <v>1.9e-05</v>
      </c>
      <c r="M9" s="0" t="n">
        <v>2.1e-05</v>
      </c>
      <c r="N9" s="0" t="n">
        <v>6.499999999999999e-05</v>
      </c>
      <c r="O9" s="0" t="n">
        <v>1.5e-05</v>
      </c>
      <c r="P9" s="0" t="n">
        <v>4.9e-05</v>
      </c>
      <c r="Q9" s="0" t="n">
        <v>1.6e-05</v>
      </c>
      <c r="R9" s="0" t="n">
        <v>6.3e-05</v>
      </c>
      <c r="S9" s="0" t="n">
        <v>3.8e-05</v>
      </c>
      <c r="T9" s="0" t="n">
        <v>2.6e-05</v>
      </c>
      <c r="U9" s="0" t="n">
        <v>9e-06</v>
      </c>
      <c r="V9" s="0" t="n">
        <v>2.8e-05</v>
      </c>
      <c r="W9" s="0" t="n">
        <v>4.2e-05</v>
      </c>
      <c r="X9" s="0" t="n">
        <v>4.3e-05</v>
      </c>
    </row>
    <row r="10">
      <c r="A10" s="4" t="inlineStr">
        <is>
          <t>ITUB</t>
        </is>
      </c>
      <c r="B10" s="0" t="n">
        <v>7.3e-05</v>
      </c>
      <c r="C10" s="0" t="n">
        <v>8.4e-05</v>
      </c>
      <c r="D10" s="0" t="n">
        <v>3e-05</v>
      </c>
      <c r="E10" s="0" t="n">
        <v>9.2e-05</v>
      </c>
      <c r="F10" s="0" t="n">
        <v>0.000129</v>
      </c>
      <c r="G10" s="0" t="n">
        <v>-1.6e-05</v>
      </c>
      <c r="H10" s="0" t="n">
        <v>0.000701</v>
      </c>
      <c r="I10" s="0" t="n">
        <v>0.00013</v>
      </c>
      <c r="J10" s="0" t="n">
        <v>6.999999999999999e-05</v>
      </c>
      <c r="K10" s="0" t="n">
        <v>9.899999999999999e-05</v>
      </c>
      <c r="L10" s="0" t="n">
        <v>0.000529</v>
      </c>
      <c r="M10" s="0" t="n">
        <v>1.2e-05</v>
      </c>
      <c r="N10" s="0" t="n">
        <v>0.000106</v>
      </c>
      <c r="O10" s="0" t="n">
        <v>5.2e-05</v>
      </c>
      <c r="P10" s="0" t="n">
        <v>0.000294</v>
      </c>
      <c r="Q10" s="0" t="n">
        <v>0.00034</v>
      </c>
      <c r="R10" s="0" t="n">
        <v>3.8e-05</v>
      </c>
      <c r="S10" s="0" t="n">
        <v>0.000127</v>
      </c>
      <c r="T10" s="0" t="n">
        <v>0.000113</v>
      </c>
      <c r="U10" s="0" t="n">
        <v>5e-05</v>
      </c>
      <c r="V10" s="0" t="n">
        <v>6.3e-05</v>
      </c>
      <c r="W10" s="0" t="n">
        <v>6.8e-05</v>
      </c>
      <c r="X10" s="0" t="n">
        <v>0.000106</v>
      </c>
    </row>
    <row r="11">
      <c r="A11" s="4" t="inlineStr">
        <is>
          <t>GG</t>
        </is>
      </c>
      <c r="B11" s="0" t="n">
        <v>1.1e-05</v>
      </c>
      <c r="C11" s="0" t="n">
        <v>-2.6e-05</v>
      </c>
      <c r="D11" s="0" t="n">
        <v>1.1e-05</v>
      </c>
      <c r="E11" s="0" t="n">
        <v>-4e-06</v>
      </c>
      <c r="F11" s="0" t="n">
        <v>-0.000121</v>
      </c>
      <c r="G11" s="0" t="n">
        <v>-2.4e-05</v>
      </c>
      <c r="H11" s="0" t="n">
        <v>0.00013</v>
      </c>
      <c r="I11" s="0" t="n">
        <v>0.000642</v>
      </c>
      <c r="J11" s="0" t="n">
        <v>-3e-06</v>
      </c>
      <c r="K11" s="0" t="n">
        <v>-5.8e-05</v>
      </c>
      <c r="L11" s="0" t="n">
        <v>0.000235</v>
      </c>
      <c r="M11" s="0" t="n">
        <v>-1.7e-05</v>
      </c>
      <c r="N11" s="0" t="n">
        <v>5.4e-05</v>
      </c>
      <c r="O11" s="0" t="n">
        <v>3e-05</v>
      </c>
      <c r="P11" s="0" t="n">
        <v>0.000148</v>
      </c>
      <c r="Q11" s="0" t="n">
        <v>9.000000000000001e-05</v>
      </c>
      <c r="R11" s="0" t="n">
        <v>-1.5e-05</v>
      </c>
      <c r="S11" s="0" t="n">
        <v>9e-06</v>
      </c>
      <c r="T11" s="0" t="n">
        <v>1.4e-05</v>
      </c>
      <c r="U11" s="0" t="n">
        <v>1.2e-05</v>
      </c>
      <c r="V11" s="0" t="n">
        <v>1.6e-05</v>
      </c>
      <c r="W11" s="0" t="n">
        <v>-7.9e-05</v>
      </c>
      <c r="X11" s="0" t="n">
        <v>-0.00011</v>
      </c>
    </row>
    <row r="12">
      <c r="A12" s="4" t="inlineStr">
        <is>
          <t>SIRI</t>
        </is>
      </c>
      <c r="B12" s="0" t="n">
        <v>3.2e-05</v>
      </c>
      <c r="C12" s="0" t="n">
        <v>3.9e-05</v>
      </c>
      <c r="D12" s="0" t="n">
        <v>2.6e-05</v>
      </c>
      <c r="E12" s="0" t="n">
        <v>7.1e-05</v>
      </c>
      <c r="F12" s="0" t="n">
        <v>8.500000000000001e-05</v>
      </c>
      <c r="G12" s="0" t="n">
        <v>3e-05</v>
      </c>
      <c r="H12" s="0" t="n">
        <v>6.999999999999999e-05</v>
      </c>
      <c r="I12" s="0" t="n">
        <v>-3e-06</v>
      </c>
      <c r="J12" s="0" t="n">
        <v>0.000169</v>
      </c>
      <c r="K12" s="0" t="n">
        <v>5.2e-05</v>
      </c>
      <c r="L12" s="0" t="n">
        <v>0.000121</v>
      </c>
      <c r="M12" s="0" t="n">
        <v>2.1e-05</v>
      </c>
      <c r="N12" s="0" t="n">
        <v>6.1e-05</v>
      </c>
      <c r="O12" s="0" t="n">
        <v>2.9e-05</v>
      </c>
      <c r="P12" s="0" t="n">
        <v>9.399999999999999e-05</v>
      </c>
      <c r="Q12" s="0" t="n">
        <v>4.8e-05</v>
      </c>
      <c r="R12" s="0" t="n">
        <v>2e-05</v>
      </c>
      <c r="S12" s="0" t="n">
        <v>7.6e-05</v>
      </c>
      <c r="T12" s="0" t="n">
        <v>4.7e-05</v>
      </c>
      <c r="U12" s="0" t="n">
        <v>1.9e-05</v>
      </c>
      <c r="V12" s="0" t="n">
        <v>1.8e-05</v>
      </c>
      <c r="W12" s="0" t="n">
        <v>5.7e-05</v>
      </c>
      <c r="X12" s="0" t="n">
        <v>6.3e-05</v>
      </c>
    </row>
    <row r="13">
      <c r="A13" s="4" t="inlineStr">
        <is>
          <t>ACB</t>
        </is>
      </c>
      <c r="B13" s="0" t="n">
        <v>3.1e-05</v>
      </c>
      <c r="C13" s="0" t="n">
        <v>-1.4e-05</v>
      </c>
      <c r="D13" s="0" t="n">
        <v>1.1e-05</v>
      </c>
      <c r="E13" s="0" t="n">
        <v>2.6e-05</v>
      </c>
      <c r="F13" s="0" t="n">
        <v>4.4e-05</v>
      </c>
      <c r="G13" s="0" t="n">
        <v>4.2e-05</v>
      </c>
      <c r="H13" s="0" t="n">
        <v>9.899999999999999e-05</v>
      </c>
      <c r="I13" s="0" t="n">
        <v>-5.8e-05</v>
      </c>
      <c r="J13" s="0" t="n">
        <v>5.2e-05</v>
      </c>
      <c r="K13" s="0" t="n">
        <v>0.002376</v>
      </c>
      <c r="L13" s="0" t="n">
        <v>0.000164</v>
      </c>
      <c r="M13" s="0" t="n">
        <v>2e-05</v>
      </c>
      <c r="N13" s="0" t="n">
        <v>2.3e-05</v>
      </c>
      <c r="O13" s="0" t="n">
        <v>-6e-06</v>
      </c>
      <c r="P13" s="0" t="n">
        <v>0.000149</v>
      </c>
      <c r="Q13" s="0" t="n">
        <v>0.000103</v>
      </c>
      <c r="R13" s="0" t="n">
        <v>3.6e-05</v>
      </c>
      <c r="S13" s="0" t="n">
        <v>6.600000000000001e-05</v>
      </c>
      <c r="T13" s="0" t="n">
        <v>4.5e-05</v>
      </c>
      <c r="U13" s="0" t="n">
        <v>1.9e-05</v>
      </c>
      <c r="V13" s="0" t="n">
        <v>-1.8e-05</v>
      </c>
      <c r="W13" s="0" t="n">
        <v>2.5e-05</v>
      </c>
      <c r="X13" s="0" t="n">
        <v>5.7e-05</v>
      </c>
    </row>
    <row r="14">
      <c r="A14" s="4" t="inlineStr">
        <is>
          <t>VALE</t>
        </is>
      </c>
      <c r="B14" s="0" t="n">
        <v>0.000104</v>
      </c>
      <c r="C14" s="0" t="n">
        <v>0.000137</v>
      </c>
      <c r="D14" s="0" t="n">
        <v>5.1e-05</v>
      </c>
      <c r="E14" s="0" t="n">
        <v>0.000193</v>
      </c>
      <c r="F14" s="0" t="n">
        <v>0.000257</v>
      </c>
      <c r="G14" s="0" t="n">
        <v>1.9e-05</v>
      </c>
      <c r="H14" s="0" t="n">
        <v>0.000529</v>
      </c>
      <c r="I14" s="0" t="n">
        <v>0.000235</v>
      </c>
      <c r="J14" s="0" t="n">
        <v>0.000121</v>
      </c>
      <c r="K14" s="0" t="n">
        <v>0.000164</v>
      </c>
      <c r="L14" s="0" t="n">
        <v>0.001406</v>
      </c>
      <c r="M14" s="0" t="n">
        <v>3.9e-05</v>
      </c>
      <c r="N14" s="0" t="n">
        <v>0.000184</v>
      </c>
      <c r="O14" s="0" t="n">
        <v>5.8e-05</v>
      </c>
      <c r="P14" s="0" t="n">
        <v>0.000536</v>
      </c>
      <c r="Q14" s="0" t="n">
        <v>0.000326</v>
      </c>
      <c r="R14" s="0" t="n">
        <v>4.6e-05</v>
      </c>
      <c r="S14" s="0" t="n">
        <v>0.000174</v>
      </c>
      <c r="T14" s="0" t="n">
        <v>0.000129</v>
      </c>
      <c r="U14" s="0" t="n">
        <v>1.8e-05</v>
      </c>
      <c r="V14" s="0" t="n">
        <v>8.500000000000001e-05</v>
      </c>
      <c r="W14" s="0" t="n">
        <v>0.000159</v>
      </c>
      <c r="X14" s="0" t="n">
        <v>0.000218</v>
      </c>
    </row>
    <row r="15">
      <c r="A15" s="4" t="inlineStr">
        <is>
          <t>PFE</t>
        </is>
      </c>
      <c r="B15" s="0" t="n">
        <v>2.2e-05</v>
      </c>
      <c r="C15" s="0" t="n">
        <v>2.9e-05</v>
      </c>
      <c r="D15" s="0" t="n">
        <v>5.3e-05</v>
      </c>
      <c r="E15" s="0" t="n">
        <v>3.5e-05</v>
      </c>
      <c r="F15" s="0" t="n">
        <v>5.3e-05</v>
      </c>
      <c r="G15" s="0" t="n">
        <v>2.1e-05</v>
      </c>
      <c r="H15" s="0" t="n">
        <v>1.2e-05</v>
      </c>
      <c r="I15" s="0" t="n">
        <v>-1.7e-05</v>
      </c>
      <c r="J15" s="0" t="n">
        <v>2.1e-05</v>
      </c>
      <c r="K15" s="0" t="n">
        <v>2e-05</v>
      </c>
      <c r="L15" s="0" t="n">
        <v>3.9e-05</v>
      </c>
      <c r="M15" s="0" t="n">
        <v>9.500000000000001e-05</v>
      </c>
      <c r="N15" s="0" t="n">
        <v>2.4e-05</v>
      </c>
      <c r="O15" s="0" t="n">
        <v>1.4e-05</v>
      </c>
      <c r="P15" s="0" t="n">
        <v>1e-05</v>
      </c>
      <c r="Q15" s="0" t="n">
        <v>2.1e-05</v>
      </c>
      <c r="R15" s="0" t="n">
        <v>3.9e-05</v>
      </c>
      <c r="S15" s="0" t="n">
        <v>2.8e-05</v>
      </c>
      <c r="T15" s="0" t="n">
        <v>2.8e-05</v>
      </c>
      <c r="U15" s="0" t="n">
        <v>4e-06</v>
      </c>
      <c r="V15" s="0" t="n">
        <v>5.6e-05</v>
      </c>
      <c r="W15" s="0" t="n">
        <v>4.6e-05</v>
      </c>
      <c r="X15" s="0" t="n">
        <v>5.2e-05</v>
      </c>
    </row>
    <row r="16">
      <c r="A16" s="4" t="inlineStr">
        <is>
          <t>CTL</t>
        </is>
      </c>
      <c r="B16" s="0" t="n">
        <v>3.5e-05</v>
      </c>
      <c r="C16" s="0" t="n">
        <v>5.1e-05</v>
      </c>
      <c r="D16" s="0" t="n">
        <v>3.3e-05</v>
      </c>
      <c r="E16" s="0" t="n">
        <v>7.499999999999999e-05</v>
      </c>
      <c r="F16" s="0" t="n">
        <v>7.4e-05</v>
      </c>
      <c r="G16" s="0" t="n">
        <v>6.499999999999999e-05</v>
      </c>
      <c r="H16" s="0" t="n">
        <v>0.000106</v>
      </c>
      <c r="I16" s="0" t="n">
        <v>5.4e-05</v>
      </c>
      <c r="J16" s="0" t="n">
        <v>6.1e-05</v>
      </c>
      <c r="K16" s="0" t="n">
        <v>2.3e-05</v>
      </c>
      <c r="L16" s="0" t="n">
        <v>0.000184</v>
      </c>
      <c r="M16" s="0" t="n">
        <v>2.4e-05</v>
      </c>
      <c r="N16" s="0" t="n">
        <v>0.000455</v>
      </c>
      <c r="O16" s="0" t="n">
        <v>5.9e-05</v>
      </c>
      <c r="P16" s="0" t="n">
        <v>0.000162</v>
      </c>
      <c r="Q16" s="0" t="n">
        <v>8.2e-05</v>
      </c>
      <c r="R16" s="0" t="n">
        <v>3e-05</v>
      </c>
      <c r="S16" s="0" t="n">
        <v>5.8e-05</v>
      </c>
      <c r="T16" s="0" t="n">
        <v>8.2e-05</v>
      </c>
      <c r="U16" s="0" t="n">
        <v>3.4e-05</v>
      </c>
      <c r="V16" s="0" t="n">
        <v>4e-05</v>
      </c>
      <c r="W16" s="0" t="n">
        <v>5.5e-05</v>
      </c>
      <c r="X16" s="0" t="n">
        <v>5.1e-05</v>
      </c>
    </row>
    <row r="17">
      <c r="A17" s="4" t="inlineStr">
        <is>
          <t>T</t>
        </is>
      </c>
      <c r="B17" s="0" t="n">
        <v>2.4e-05</v>
      </c>
      <c r="C17" s="0" t="n">
        <v>3.9e-05</v>
      </c>
      <c r="D17" s="0" t="n">
        <v>2e-05</v>
      </c>
      <c r="E17" s="0" t="n">
        <v>3.2e-05</v>
      </c>
      <c r="F17" s="0" t="n">
        <v>1.9e-05</v>
      </c>
      <c r="G17" s="0" t="n">
        <v>1.5e-05</v>
      </c>
      <c r="H17" s="0" t="n">
        <v>5.2e-05</v>
      </c>
      <c r="I17" s="0" t="n">
        <v>3e-05</v>
      </c>
      <c r="J17" s="0" t="n">
        <v>2.9e-05</v>
      </c>
      <c r="K17" s="0" t="n">
        <v>-6e-06</v>
      </c>
      <c r="L17" s="0" t="n">
        <v>5.8e-05</v>
      </c>
      <c r="M17" s="0" t="n">
        <v>1.4e-05</v>
      </c>
      <c r="N17" s="0" t="n">
        <v>5.9e-05</v>
      </c>
      <c r="O17" s="0" t="n">
        <v>0.000105</v>
      </c>
      <c r="P17" s="0" t="n">
        <v>4.5e-05</v>
      </c>
      <c r="Q17" s="0" t="n">
        <v>3.7e-05</v>
      </c>
      <c r="R17" s="0" t="n">
        <v>1.9e-05</v>
      </c>
      <c r="S17" s="0" t="n">
        <v>1.3e-05</v>
      </c>
      <c r="T17" s="0" t="n">
        <v>2.4e-05</v>
      </c>
      <c r="U17" s="0" t="n">
        <v>3.4e-05</v>
      </c>
      <c r="V17" s="0" t="n">
        <v>1.1e-05</v>
      </c>
      <c r="W17" s="0" t="n">
        <v>2e-05</v>
      </c>
      <c r="X17" s="0" t="n">
        <v>2e-05</v>
      </c>
    </row>
    <row r="18">
      <c r="A18" s="4" t="inlineStr">
        <is>
          <t>ECA</t>
        </is>
      </c>
      <c r="B18" s="0" t="n">
        <v>8.4e-05</v>
      </c>
      <c r="C18" s="0" t="n">
        <v>8.500000000000001e-05</v>
      </c>
      <c r="D18" s="0" t="n">
        <v>1.9e-05</v>
      </c>
      <c r="E18" s="0" t="n">
        <v>0.000152</v>
      </c>
      <c r="F18" s="0" t="n">
        <v>0.000214</v>
      </c>
      <c r="G18" s="0" t="n">
        <v>4.9e-05</v>
      </c>
      <c r="H18" s="0" t="n">
        <v>0.000294</v>
      </c>
      <c r="I18" s="0" t="n">
        <v>0.000148</v>
      </c>
      <c r="J18" s="0" t="n">
        <v>9.399999999999999e-05</v>
      </c>
      <c r="K18" s="0" t="n">
        <v>0.000149</v>
      </c>
      <c r="L18" s="0" t="n">
        <v>0.000536</v>
      </c>
      <c r="M18" s="0" t="n">
        <v>1e-05</v>
      </c>
      <c r="N18" s="0" t="n">
        <v>0.000162</v>
      </c>
      <c r="O18" s="0" t="n">
        <v>4.5e-05</v>
      </c>
      <c r="P18" s="0" t="n">
        <v>0.001407</v>
      </c>
      <c r="Q18" s="0" t="n">
        <v>0.000163</v>
      </c>
      <c r="R18" s="0" t="n">
        <v>1.5e-05</v>
      </c>
      <c r="S18" s="0" t="n">
        <v>0.000199</v>
      </c>
      <c r="T18" s="0" t="n">
        <v>8.000000000000001e-05</v>
      </c>
      <c r="U18" s="0" t="n">
        <v>-1.6e-05</v>
      </c>
      <c r="V18" s="0" t="n">
        <v>3.1e-05</v>
      </c>
      <c r="W18" s="0" t="n">
        <v>0.000119</v>
      </c>
      <c r="X18" s="0" t="n">
        <v>0.000163</v>
      </c>
    </row>
    <row r="19">
      <c r="A19" s="4" t="inlineStr">
        <is>
          <t>ABEV</t>
        </is>
      </c>
      <c r="B19" s="0" t="n">
        <v>4.6e-05</v>
      </c>
      <c r="C19" s="0" t="n">
        <v>4.8e-05</v>
      </c>
      <c r="D19" s="0" t="n">
        <v>2.7e-05</v>
      </c>
      <c r="E19" s="0" t="n">
        <v>5.1e-05</v>
      </c>
      <c r="F19" s="0" t="n">
        <v>7.2e-05</v>
      </c>
      <c r="G19" s="0" t="n">
        <v>1.6e-05</v>
      </c>
      <c r="H19" s="0" t="n">
        <v>0.00034</v>
      </c>
      <c r="I19" s="0" t="n">
        <v>9.000000000000001e-05</v>
      </c>
      <c r="J19" s="0" t="n">
        <v>4.8e-05</v>
      </c>
      <c r="K19" s="0" t="n">
        <v>0.000103</v>
      </c>
      <c r="L19" s="0" t="n">
        <v>0.000326</v>
      </c>
      <c r="M19" s="0" t="n">
        <v>2.1e-05</v>
      </c>
      <c r="N19" s="0" t="n">
        <v>8.2e-05</v>
      </c>
      <c r="O19" s="0" t="n">
        <v>3.7e-05</v>
      </c>
      <c r="P19" s="0" t="n">
        <v>0.000163</v>
      </c>
      <c r="Q19" s="0" t="n">
        <v>0.000313</v>
      </c>
      <c r="R19" s="0" t="n">
        <v>3.4e-05</v>
      </c>
      <c r="S19" s="0" t="n">
        <v>7.3e-05</v>
      </c>
      <c r="T19" s="0" t="n">
        <v>7.499999999999999e-05</v>
      </c>
      <c r="U19" s="0" t="n">
        <v>3.5e-05</v>
      </c>
      <c r="V19" s="0" t="n">
        <v>2.9e-05</v>
      </c>
      <c r="W19" s="0" t="n">
        <v>4.6e-05</v>
      </c>
      <c r="X19" s="0" t="n">
        <v>5.4e-05</v>
      </c>
    </row>
    <row r="20">
      <c r="A20" s="4" t="inlineStr">
        <is>
          <t>CVS</t>
        </is>
      </c>
      <c r="B20" s="0" t="n">
        <v>2e-05</v>
      </c>
      <c r="C20" s="0" t="n">
        <v>3.9e-05</v>
      </c>
      <c r="D20" s="0" t="n">
        <v>2.9e-05</v>
      </c>
      <c r="E20" s="0" t="n">
        <v>3.3e-05</v>
      </c>
      <c r="F20" s="0" t="n">
        <v>4.5e-05</v>
      </c>
      <c r="G20" s="0" t="n">
        <v>6.3e-05</v>
      </c>
      <c r="H20" s="0" t="n">
        <v>3.8e-05</v>
      </c>
      <c r="I20" s="0" t="n">
        <v>-1.5e-05</v>
      </c>
      <c r="J20" s="0" t="n">
        <v>2e-05</v>
      </c>
      <c r="K20" s="0" t="n">
        <v>3.6e-05</v>
      </c>
      <c r="L20" s="0" t="n">
        <v>4.6e-05</v>
      </c>
      <c r="M20" s="0" t="n">
        <v>3.9e-05</v>
      </c>
      <c r="N20" s="0" t="n">
        <v>3e-05</v>
      </c>
      <c r="O20" s="0" t="n">
        <v>1.9e-05</v>
      </c>
      <c r="P20" s="0" t="n">
        <v>1.5e-05</v>
      </c>
      <c r="Q20" s="0" t="n">
        <v>3.4e-05</v>
      </c>
      <c r="R20" s="0" t="n">
        <v>0.000193</v>
      </c>
      <c r="S20" s="0" t="n">
        <v>1.3e-05</v>
      </c>
      <c r="T20" s="0" t="n">
        <v>2.9e-05</v>
      </c>
      <c r="U20" s="0" t="n">
        <v>1.3e-05</v>
      </c>
      <c r="V20" s="0" t="n">
        <v>3.5e-05</v>
      </c>
      <c r="W20" s="0" t="n">
        <v>4e-05</v>
      </c>
      <c r="X20" s="0" t="n">
        <v>4.7e-05</v>
      </c>
    </row>
    <row r="21">
      <c r="A21" s="4" t="inlineStr">
        <is>
          <t>MRVL</t>
        </is>
      </c>
      <c r="B21" s="0" t="n">
        <v>5.8e-05</v>
      </c>
      <c r="C21" s="0" t="n">
        <v>5.1e-05</v>
      </c>
      <c r="D21" s="0" t="n">
        <v>2.5e-05</v>
      </c>
      <c r="E21" s="0" t="n">
        <v>8.899999999999999e-05</v>
      </c>
      <c r="F21" s="0" t="n">
        <v>0.000103</v>
      </c>
      <c r="G21" s="0" t="n">
        <v>3.8e-05</v>
      </c>
      <c r="H21" s="0" t="n">
        <v>0.000127</v>
      </c>
      <c r="I21" s="0" t="n">
        <v>9e-06</v>
      </c>
      <c r="J21" s="0" t="n">
        <v>7.6e-05</v>
      </c>
      <c r="K21" s="0" t="n">
        <v>6.600000000000001e-05</v>
      </c>
      <c r="L21" s="0" t="n">
        <v>0.000174</v>
      </c>
      <c r="M21" s="0" t="n">
        <v>2.8e-05</v>
      </c>
      <c r="N21" s="0" t="n">
        <v>5.8e-05</v>
      </c>
      <c r="O21" s="0" t="n">
        <v>1.3e-05</v>
      </c>
      <c r="P21" s="0" t="n">
        <v>0.000199</v>
      </c>
      <c r="Q21" s="0" t="n">
        <v>7.3e-05</v>
      </c>
      <c r="R21" s="0" t="n">
        <v>1.3e-05</v>
      </c>
      <c r="S21" s="0" t="n">
        <v>0.000411</v>
      </c>
      <c r="T21" s="0" t="n">
        <v>7.1e-05</v>
      </c>
      <c r="U21" s="0" t="n">
        <v>7e-06</v>
      </c>
      <c r="V21" s="0" t="n">
        <v>3.7e-05</v>
      </c>
      <c r="W21" s="0" t="n">
        <v>6.1e-05</v>
      </c>
      <c r="X21" s="0" t="n">
        <v>9.500000000000001e-05</v>
      </c>
    </row>
    <row r="22">
      <c r="A22" s="4" t="inlineStr">
        <is>
          <t>CSCO</t>
        </is>
      </c>
      <c r="B22" s="0" t="n">
        <v>4.7e-05</v>
      </c>
      <c r="C22" s="0" t="n">
        <v>4.1e-05</v>
      </c>
      <c r="D22" s="0" t="n">
        <v>3.4e-05</v>
      </c>
      <c r="E22" s="0" t="n">
        <v>6.499999999999999e-05</v>
      </c>
      <c r="F22" s="0" t="n">
        <v>6.9e-05</v>
      </c>
      <c r="G22" s="0" t="n">
        <v>2.6e-05</v>
      </c>
      <c r="H22" s="0" t="n">
        <v>0.000113</v>
      </c>
      <c r="I22" s="0" t="n">
        <v>1.4e-05</v>
      </c>
      <c r="J22" s="0" t="n">
        <v>4.7e-05</v>
      </c>
      <c r="K22" s="0" t="n">
        <v>4.5e-05</v>
      </c>
      <c r="L22" s="0" t="n">
        <v>0.000129</v>
      </c>
      <c r="M22" s="0" t="n">
        <v>2.8e-05</v>
      </c>
      <c r="N22" s="0" t="n">
        <v>8.2e-05</v>
      </c>
      <c r="O22" s="0" t="n">
        <v>2.4e-05</v>
      </c>
      <c r="P22" s="0" t="n">
        <v>8.000000000000001e-05</v>
      </c>
      <c r="Q22" s="0" t="n">
        <v>7.499999999999999e-05</v>
      </c>
      <c r="R22" s="0" t="n">
        <v>2.9e-05</v>
      </c>
      <c r="S22" s="0" t="n">
        <v>7.1e-05</v>
      </c>
      <c r="T22" s="0" t="n">
        <v>0.000142</v>
      </c>
      <c r="U22" s="0" t="n">
        <v>2.4e-05</v>
      </c>
      <c r="V22" s="0" t="n">
        <v>3.7e-05</v>
      </c>
      <c r="W22" s="0" t="n">
        <v>5.3e-05</v>
      </c>
      <c r="X22" s="0" t="n">
        <v>5.4e-05</v>
      </c>
    </row>
    <row r="23">
      <c r="A23" s="4" t="inlineStr">
        <is>
          <t>MO</t>
        </is>
      </c>
      <c r="B23" s="0" t="n">
        <v>1.6e-05</v>
      </c>
      <c r="C23" s="0" t="n">
        <v>2e-05</v>
      </c>
      <c r="D23" s="0" t="n">
        <v>1.4e-05</v>
      </c>
      <c r="E23" s="0" t="n">
        <v>1.1e-05</v>
      </c>
      <c r="F23" s="0" t="n">
        <v>-9e-06</v>
      </c>
      <c r="G23" s="0" t="n">
        <v>9e-06</v>
      </c>
      <c r="H23" s="0" t="n">
        <v>5e-05</v>
      </c>
      <c r="I23" s="0" t="n">
        <v>1.2e-05</v>
      </c>
      <c r="J23" s="0" t="n">
        <v>1.9e-05</v>
      </c>
      <c r="K23" s="0" t="n">
        <v>1.9e-05</v>
      </c>
      <c r="L23" s="0" t="n">
        <v>1.8e-05</v>
      </c>
      <c r="M23" s="0" t="n">
        <v>4e-06</v>
      </c>
      <c r="N23" s="0" t="n">
        <v>3.4e-05</v>
      </c>
      <c r="O23" s="0" t="n">
        <v>3.4e-05</v>
      </c>
      <c r="P23" s="0" t="n">
        <v>-1.6e-05</v>
      </c>
      <c r="Q23" s="0" t="n">
        <v>3.5e-05</v>
      </c>
      <c r="R23" s="0" t="n">
        <v>1.3e-05</v>
      </c>
      <c r="S23" s="0" t="n">
        <v>7e-06</v>
      </c>
      <c r="T23" s="0" t="n">
        <v>2.4e-05</v>
      </c>
      <c r="U23" s="0" t="n">
        <v>0.000105</v>
      </c>
      <c r="V23" s="0" t="n">
        <v>-5e-06</v>
      </c>
      <c r="W23" s="0" t="n">
        <v>4e-06</v>
      </c>
      <c r="X23" s="0" t="n">
        <v>-1e-05</v>
      </c>
    </row>
    <row r="24">
      <c r="A24" s="4" t="inlineStr">
        <is>
          <t>BMY</t>
        </is>
      </c>
      <c r="B24" s="0" t="n">
        <v>1.4e-05</v>
      </c>
      <c r="C24" s="0" t="n">
        <v>3.2e-05</v>
      </c>
      <c r="D24" s="0" t="n">
        <v>7.1e-05</v>
      </c>
      <c r="E24" s="0" t="n">
        <v>5.5e-05</v>
      </c>
      <c r="F24" s="0" t="n">
        <v>4e-05</v>
      </c>
      <c r="G24" s="0" t="n">
        <v>2.8e-05</v>
      </c>
      <c r="H24" s="0" t="n">
        <v>6.3e-05</v>
      </c>
      <c r="I24" s="0" t="n">
        <v>1.6e-05</v>
      </c>
      <c r="J24" s="0" t="n">
        <v>1.8e-05</v>
      </c>
      <c r="K24" s="0" t="n">
        <v>-1.8e-05</v>
      </c>
      <c r="L24" s="0" t="n">
        <v>8.500000000000001e-05</v>
      </c>
      <c r="M24" s="0" t="n">
        <v>5.6e-05</v>
      </c>
      <c r="N24" s="0" t="n">
        <v>4e-05</v>
      </c>
      <c r="O24" s="0" t="n">
        <v>1.1e-05</v>
      </c>
      <c r="P24" s="0" t="n">
        <v>3.1e-05</v>
      </c>
      <c r="Q24" s="0" t="n">
        <v>2.9e-05</v>
      </c>
      <c r="R24" s="0" t="n">
        <v>3.5e-05</v>
      </c>
      <c r="S24" s="0" t="n">
        <v>3.7e-05</v>
      </c>
      <c r="T24" s="0" t="n">
        <v>3.7e-05</v>
      </c>
      <c r="U24" s="0" t="n">
        <v>-5e-06</v>
      </c>
      <c r="V24" s="0" t="n">
        <v>0.000284</v>
      </c>
      <c r="W24" s="0" t="n">
        <v>3.2e-05</v>
      </c>
      <c r="X24" s="0" t="n">
        <v>3.6e-05</v>
      </c>
    </row>
    <row r="25">
      <c r="A25" s="4" t="inlineStr">
        <is>
          <t>WFC</t>
        </is>
      </c>
      <c r="B25" s="0" t="n">
        <v>5e-05</v>
      </c>
      <c r="C25" s="0" t="n">
        <v>6.2e-05</v>
      </c>
      <c r="D25" s="0" t="n">
        <v>3.1e-05</v>
      </c>
      <c r="E25" s="0" t="n">
        <v>9.399999999999999e-05</v>
      </c>
      <c r="F25" s="0" t="n">
        <v>0.000175</v>
      </c>
      <c r="G25" s="0" t="n">
        <v>4.2e-05</v>
      </c>
      <c r="H25" s="0" t="n">
        <v>6.8e-05</v>
      </c>
      <c r="I25" s="0" t="n">
        <v>-7.9e-05</v>
      </c>
      <c r="J25" s="0" t="n">
        <v>5.7e-05</v>
      </c>
      <c r="K25" s="0" t="n">
        <v>2.5e-05</v>
      </c>
      <c r="L25" s="0" t="n">
        <v>0.000159</v>
      </c>
      <c r="M25" s="0" t="n">
        <v>4.6e-05</v>
      </c>
      <c r="N25" s="0" t="n">
        <v>5.5e-05</v>
      </c>
      <c r="O25" s="0" t="n">
        <v>2e-05</v>
      </c>
      <c r="P25" s="0" t="n">
        <v>0.000119</v>
      </c>
      <c r="Q25" s="0" t="n">
        <v>4.6e-05</v>
      </c>
      <c r="R25" s="0" t="n">
        <v>4e-05</v>
      </c>
      <c r="S25" s="0" t="n">
        <v>6.1e-05</v>
      </c>
      <c r="T25" s="0" t="n">
        <v>5.3e-05</v>
      </c>
      <c r="U25" s="0" t="n">
        <v>4e-06</v>
      </c>
      <c r="V25" s="0" t="n">
        <v>3.2e-05</v>
      </c>
      <c r="W25" s="0" t="n">
        <v>0.000174</v>
      </c>
      <c r="X25" s="0" t="n">
        <v>0.000165</v>
      </c>
    </row>
    <row r="26">
      <c r="A26" s="4" t="inlineStr">
        <is>
          <t>HBAN</t>
        </is>
      </c>
      <c r="B26" s="0" t="n">
        <v>6.9e-05</v>
      </c>
      <c r="C26" s="0" t="n">
        <v>7.6e-05</v>
      </c>
      <c r="D26" s="0" t="n">
        <v>3e-05</v>
      </c>
      <c r="E26" s="0" t="n">
        <v>0.000115</v>
      </c>
      <c r="F26" s="0" t="n">
        <v>0.000233</v>
      </c>
      <c r="G26" s="0" t="n">
        <v>4.3e-05</v>
      </c>
      <c r="H26" s="0" t="n">
        <v>0.000106</v>
      </c>
      <c r="I26" s="0" t="n">
        <v>-0.00011</v>
      </c>
      <c r="J26" s="0" t="n">
        <v>6.3e-05</v>
      </c>
      <c r="K26" s="0" t="n">
        <v>5.7e-05</v>
      </c>
      <c r="L26" s="0" t="n">
        <v>0.000218</v>
      </c>
      <c r="M26" s="0" t="n">
        <v>5.2e-05</v>
      </c>
      <c r="N26" s="0" t="n">
        <v>5.1e-05</v>
      </c>
      <c r="O26" s="0" t="n">
        <v>2e-05</v>
      </c>
      <c r="P26" s="0" t="n">
        <v>0.000163</v>
      </c>
      <c r="Q26" s="0" t="n">
        <v>5.4e-05</v>
      </c>
      <c r="R26" s="0" t="n">
        <v>4.7e-05</v>
      </c>
      <c r="S26" s="0" t="n">
        <v>9.500000000000001e-05</v>
      </c>
      <c r="T26" s="0" t="n">
        <v>5.4e-05</v>
      </c>
      <c r="U26" s="0" t="n">
        <v>-1e-05</v>
      </c>
      <c r="V26" s="0" t="n">
        <v>3.6e-05</v>
      </c>
      <c r="W26" s="0" t="n">
        <v>0.000165</v>
      </c>
      <c r="X26" s="0" t="n">
        <v>0.000295</v>
      </c>
    </row>
    <row r="29">
      <c r="A29" s="0" t="inlineStr">
        <is>
          <t>Risk_Free_Rate</t>
        </is>
      </c>
      <c r="B29" s="0" t="n">
        <v>0.0001</v>
      </c>
    </row>
    <row r="31">
      <c r="B31" s="4" t="inlineStr">
        <is>
          <t>IBM</t>
        </is>
      </c>
      <c r="C31" s="4" t="inlineStr">
        <is>
          <t>GE</t>
        </is>
      </c>
      <c r="D31" s="4" t="inlineStr">
        <is>
          <t>LLY</t>
        </is>
      </c>
      <c r="E31" s="4" t="inlineStr">
        <is>
          <t>F</t>
        </is>
      </c>
      <c r="F31" s="4" t="inlineStr">
        <is>
          <t>BAC</t>
        </is>
      </c>
      <c r="G31" s="4" t="inlineStr">
        <is>
          <t>KR</t>
        </is>
      </c>
      <c r="H31" s="4" t="inlineStr">
        <is>
          <t>ITUB</t>
        </is>
      </c>
      <c r="I31" s="4" t="inlineStr">
        <is>
          <t>GG</t>
        </is>
      </c>
      <c r="J31" s="4" t="inlineStr">
        <is>
          <t>SIRI</t>
        </is>
      </c>
      <c r="K31" s="4" t="inlineStr">
        <is>
          <t>ACB</t>
        </is>
      </c>
      <c r="L31" s="4" t="inlineStr">
        <is>
          <t>VALE</t>
        </is>
      </c>
      <c r="M31" s="4" t="inlineStr">
        <is>
          <t>PFE</t>
        </is>
      </c>
      <c r="N31" s="4" t="inlineStr">
        <is>
          <t>CTL</t>
        </is>
      </c>
      <c r="O31" s="4" t="inlineStr">
        <is>
          <t>T</t>
        </is>
      </c>
      <c r="P31" s="4" t="inlineStr">
        <is>
          <t>ECA</t>
        </is>
      </c>
      <c r="Q31" s="4" t="inlineStr">
        <is>
          <t>ABEV</t>
        </is>
      </c>
      <c r="R31" s="4" t="inlineStr">
        <is>
          <t>CVS</t>
        </is>
      </c>
      <c r="S31" s="4" t="inlineStr">
        <is>
          <t>MRVL</t>
        </is>
      </c>
      <c r="T31" s="4" t="inlineStr">
        <is>
          <t>CSCO</t>
        </is>
      </c>
      <c r="U31" s="4" t="inlineStr">
        <is>
          <t>MO</t>
        </is>
      </c>
      <c r="V31" s="4" t="inlineStr">
        <is>
          <t>BMY</t>
        </is>
      </c>
      <c r="W31" s="4" t="inlineStr">
        <is>
          <t>WFC</t>
        </is>
      </c>
      <c r="X31" s="4" t="inlineStr">
        <is>
          <t>HBAN</t>
        </is>
      </c>
    </row>
    <row r="32">
      <c r="A32" s="0" t="inlineStr">
        <is>
          <t>Average_Daily_Returns</t>
        </is>
      </c>
      <c r="B32" s="0" t="n">
        <v>0.000241</v>
      </c>
      <c r="C32" s="9">
        <f>AVERAGE(Daily_Returns_Q1_Q2!C2:C503)</f>
        <v/>
      </c>
      <c r="D32" s="0" t="n">
        <v>3.8e-05</v>
      </c>
      <c r="E32" s="0" t="n">
        <v>-0.000223</v>
      </c>
      <c r="F32" s="0" t="n">
        <v>0.001167</v>
      </c>
      <c r="G32" s="0" t="n">
        <v>-0.000807</v>
      </c>
      <c r="H32" s="0" t="n">
        <v>0.001658</v>
      </c>
      <c r="I32" s="0" t="n">
        <v>0.000147</v>
      </c>
      <c r="J32" s="0" t="n">
        <v>0.000608</v>
      </c>
      <c r="K32" s="0" t="n">
        <v>0.005781</v>
      </c>
      <c r="L32" s="0" t="n">
        <v>0.002696</v>
      </c>
      <c r="M32" s="0" t="n">
        <v>0.00025</v>
      </c>
      <c r="N32" s="0" t="n">
        <v>-0.000815</v>
      </c>
      <c r="O32" s="0" t="n">
        <v>0.000247</v>
      </c>
      <c r="P32" s="0" t="n">
        <v>0.001902</v>
      </c>
      <c r="Q32" s="0" t="n">
        <v>0.000825</v>
      </c>
      <c r="R32" s="0" t="n">
        <v>-0.000569</v>
      </c>
      <c r="S32" s="0" t="n">
        <v>0.001777</v>
      </c>
      <c r="T32" s="0" t="n">
        <v>0.00074</v>
      </c>
      <c r="U32" s="0" t="n">
        <v>0.000435</v>
      </c>
      <c r="V32" s="0" t="n">
        <v>-0.000179</v>
      </c>
      <c r="W32" s="0" t="n">
        <v>0.000273</v>
      </c>
      <c r="X32" s="0" t="n">
        <v>0.000614</v>
      </c>
    </row>
    <row r="33">
      <c r="A33" s="0" t="inlineStr">
        <is>
          <t>Excess_Returns</t>
        </is>
      </c>
      <c r="B33" s="0">
        <f t="array" ref="B33:X33">B32:X32-B29</f>
        <v/>
      </c>
      <c r="C33" s="9" t="n">
        <v>-0.0001</v>
      </c>
      <c r="D33" s="0" t="n">
        <v>-6.2e-05</v>
      </c>
      <c r="E33" s="0" t="n">
        <v>-0.000323</v>
      </c>
      <c r="F33" s="0" t="n">
        <v>0.001067</v>
      </c>
      <c r="G33" s="0" t="n">
        <v>-0.000907</v>
      </c>
      <c r="H33" s="0" t="n">
        <v>0.001558</v>
      </c>
      <c r="I33" s="0" t="n">
        <v>4.699999999999999e-05</v>
      </c>
      <c r="J33" s="0" t="n">
        <v>0.000508</v>
      </c>
      <c r="K33" s="0" t="n">
        <v>0.005680999999999999</v>
      </c>
      <c r="L33" s="0" t="n">
        <v>0.002596</v>
      </c>
      <c r="M33" s="0" t="n">
        <v>0.00015</v>
      </c>
      <c r="N33" s="0" t="n">
        <v>-0.000915</v>
      </c>
      <c r="O33" s="0" t="n">
        <v>0.000147</v>
      </c>
      <c r="P33" s="0" t="n">
        <v>0.001802</v>
      </c>
      <c r="Q33" s="0" t="n">
        <v>0.000725</v>
      </c>
      <c r="R33" s="0" t="n">
        <v>-0.000669</v>
      </c>
      <c r="S33" s="0" t="n">
        <v>0.001677</v>
      </c>
      <c r="T33" s="0" t="n">
        <v>0.0006399999999999999</v>
      </c>
      <c r="U33" s="0" t="n">
        <v>0.000335</v>
      </c>
      <c r="V33" s="0" t="n">
        <v>-0.000279</v>
      </c>
      <c r="W33" s="0" t="n">
        <v>0.000173</v>
      </c>
      <c r="X33" s="0" t="n">
        <v>0.0005139999999999999</v>
      </c>
    </row>
    <row r="35">
      <c r="B35" s="4" t="inlineStr">
        <is>
          <t>IBM</t>
        </is>
      </c>
      <c r="C35" s="4" t="inlineStr">
        <is>
          <t>GE</t>
        </is>
      </c>
      <c r="D35" s="4" t="inlineStr">
        <is>
          <t>LLY</t>
        </is>
      </c>
      <c r="E35" s="4" t="inlineStr">
        <is>
          <t>F</t>
        </is>
      </c>
      <c r="F35" s="4" t="inlineStr">
        <is>
          <t>BAC</t>
        </is>
      </c>
      <c r="G35" s="4" t="inlineStr">
        <is>
          <t>KR</t>
        </is>
      </c>
      <c r="H35" s="4" t="inlineStr">
        <is>
          <t>ITUB</t>
        </is>
      </c>
      <c r="I35" s="4" t="inlineStr">
        <is>
          <t>GG</t>
        </is>
      </c>
      <c r="J35" s="4" t="inlineStr">
        <is>
          <t>SIRI</t>
        </is>
      </c>
      <c r="K35" s="4" t="inlineStr">
        <is>
          <t>ACB</t>
        </is>
      </c>
      <c r="L35" s="4" t="inlineStr">
        <is>
          <t>VALE</t>
        </is>
      </c>
      <c r="M35" s="4" t="inlineStr">
        <is>
          <t>PFE</t>
        </is>
      </c>
      <c r="N35" s="4" t="inlineStr">
        <is>
          <t>CTL</t>
        </is>
      </c>
      <c r="O35" s="4" t="inlineStr">
        <is>
          <t>T</t>
        </is>
      </c>
      <c r="P35" s="4" t="inlineStr">
        <is>
          <t>ECA</t>
        </is>
      </c>
      <c r="Q35" s="4" t="inlineStr">
        <is>
          <t>ABEV</t>
        </is>
      </c>
      <c r="R35" s="4" t="inlineStr">
        <is>
          <t>CVS</t>
        </is>
      </c>
      <c r="S35" s="4" t="inlineStr">
        <is>
          <t>MRVL</t>
        </is>
      </c>
      <c r="T35" s="4" t="inlineStr">
        <is>
          <t>CSCO</t>
        </is>
      </c>
      <c r="U35" s="4" t="inlineStr">
        <is>
          <t>MO</t>
        </is>
      </c>
      <c r="V35" s="4" t="inlineStr">
        <is>
          <t>BMY</t>
        </is>
      </c>
      <c r="W35" s="4" t="inlineStr">
        <is>
          <t>WFC</t>
        </is>
      </c>
      <c r="X35" s="4" t="inlineStr">
        <is>
          <t>HBAN</t>
        </is>
      </c>
    </row>
    <row r="36">
      <c r="A36" s="0" t="inlineStr">
        <is>
          <t>Sharpe_Optimal_Solution</t>
        </is>
      </c>
      <c r="B36" s="9" t="n">
        <v>-13.20564574769004</v>
      </c>
      <c r="C36" s="9" t="n">
        <v>-229.1098890425754</v>
      </c>
      <c r="D36" s="9" t="n">
        <v>-34.36374236909301</v>
      </c>
      <c r="E36" s="9" t="n">
        <v>-73.23646935212685</v>
      </c>
      <c r="F36" s="9" t="n">
        <v>155.074542348092</v>
      </c>
      <c r="G36" s="9" t="n">
        <v>-43.15113467398903</v>
      </c>
      <c r="H36" s="9" t="n">
        <v>11.87106833457182</v>
      </c>
      <c r="I36" s="9" t="n">
        <v>-2.670381157757448</v>
      </c>
      <c r="J36" s="9" t="n">
        <v>9.059006120762161</v>
      </c>
      <c r="K36" s="9" t="n">
        <v>29.4465445331701</v>
      </c>
      <c r="L36" s="9" t="n">
        <v>28.27200847800043</v>
      </c>
      <c r="M36" s="9" t="n">
        <v>64.09288780750084</v>
      </c>
      <c r="N36" s="9" t="n">
        <v>-50.85195418712129</v>
      </c>
      <c r="O36" s="9" t="n">
        <v>93.70782542310418</v>
      </c>
      <c r="P36" s="9" t="n">
        <v>6.085301576962897</v>
      </c>
      <c r="Q36" s="9" t="n">
        <v>-27.95919664633068</v>
      </c>
      <c r="R36" s="9" t="n">
        <v>-35.02774396187883</v>
      </c>
      <c r="S36" s="9" t="n">
        <v>55.36489441552504</v>
      </c>
      <c r="T36" s="9" t="n">
        <v>73.71436728623537</v>
      </c>
      <c r="U36" s="9" t="n">
        <v>81.71413081910639</v>
      </c>
      <c r="V36" s="9" t="n">
        <v>-0.549943852562924</v>
      </c>
      <c r="W36" s="9" t="n">
        <v>-54.57875502202067</v>
      </c>
      <c r="X36" s="9" t="n">
        <v>-29.61545871472249</v>
      </c>
    </row>
    <row r="37">
      <c r="A37" s="0" t="inlineStr">
        <is>
          <t>Solution_Excess_Returns</t>
        </is>
      </c>
      <c r="B37" s="9">
        <f>SUMPRODUCT(B33:X33,B36:X36)</f>
        <v/>
      </c>
      <c r="C37" s="1" t="inlineStr">
        <is>
          <t>=</t>
        </is>
      </c>
      <c r="D37" s="1" t="n">
        <v>1</v>
      </c>
    </row>
    <row r="38">
      <c r="A38" s="0" t="inlineStr">
        <is>
          <t>Solution_Variance</t>
        </is>
      </c>
      <c r="B38" s="9">
        <f>SUMPRODUCT(B36:X36,MMULT(B36:X36,B4:X26))</f>
        <v/>
      </c>
      <c r="C38" s="1" t="inlineStr">
        <is>
          <t>(Minimization)</t>
        </is>
      </c>
    </row>
    <row r="39">
      <c r="A39" s="10" t="inlineStr">
        <is>
          <t>Potofolio_Allocation( Normalized Sharpe Solution)</t>
        </is>
      </c>
      <c r="B39" s="9" t="n">
        <v>-0.937750295966033</v>
      </c>
      <c r="C39" s="9" t="n">
        <v>-16.26939495147381</v>
      </c>
      <c r="D39" s="9" t="n">
        <v>-2.440214601603581</v>
      </c>
      <c r="E39" s="9" t="n">
        <v>-5.200618138834859</v>
      </c>
      <c r="F39" s="9" t="n">
        <v>11.01204748046174</v>
      </c>
      <c r="G39" s="9" t="n">
        <v>-3.064218901895166</v>
      </c>
      <c r="H39" s="9" t="n">
        <v>0.842980196263782</v>
      </c>
      <c r="I39" s="9" t="n">
        <v>-0.1896272828208492</v>
      </c>
      <c r="J39" s="9" t="n">
        <v>0.643291955063144</v>
      </c>
      <c r="K39" s="9" t="n">
        <v>2.091037907478885</v>
      </c>
      <c r="L39" s="9" t="n">
        <v>2.007632555374026</v>
      </c>
      <c r="M39" s="9" t="n">
        <v>4.551320371539954</v>
      </c>
      <c r="N39" s="9" t="n">
        <v>-3.611064237261214</v>
      </c>
      <c r="O39" s="9" t="n">
        <v>6.654316093570849</v>
      </c>
      <c r="P39" s="9" t="n">
        <v>0.4321252791320496</v>
      </c>
      <c r="Q39" s="9" t="n">
        <v>-1.985419375243755</v>
      </c>
      <c r="R39" s="9" t="n">
        <v>-2.487366229176638</v>
      </c>
      <c r="S39" s="9" t="n">
        <v>3.931534066281344</v>
      </c>
      <c r="T39" s="9" t="n">
        <v>5.234554300512542</v>
      </c>
      <c r="U39" s="9" t="n">
        <v>5.802628044420166</v>
      </c>
      <c r="V39" s="9" t="n">
        <v>-0.03905223722935255</v>
      </c>
      <c r="W39" s="9" t="n">
        <v>-3.875709272627596</v>
      </c>
      <c r="X39" s="9" t="n">
        <v>-2.103032725965617</v>
      </c>
    </row>
    <row r="42">
      <c r="A42" s="0" t="inlineStr">
        <is>
          <t>Portfolio_Expected_Returns</t>
        </is>
      </c>
      <c r="B42" s="14">
        <f>SUMPRODUCT(B39:X39,B32:X32)</f>
        <v/>
      </c>
    </row>
    <row r="43">
      <c r="A43" s="0" t="inlineStr">
        <is>
          <t>Total_Wealth</t>
        </is>
      </c>
      <c r="B43" s="14">
        <f>SUM(B39:X39)</f>
        <v/>
      </c>
    </row>
    <row r="44">
      <c r="A44" s="0" t="inlineStr">
        <is>
          <t>Portfolio_Variance</t>
        </is>
      </c>
      <c r="B44" s="14">
        <f>SUMPRODUCT(B39:X39,MMULT(B39:X39,B4:X26))</f>
        <v/>
      </c>
    </row>
    <row r="45">
      <c r="A45" s="0" t="inlineStr">
        <is>
          <t>Sharpe_Ratio</t>
        </is>
      </c>
      <c r="B45" s="9">
        <f>(B42-B29)/SQRT(B44)</f>
        <v/>
      </c>
    </row>
    <row r="47">
      <c r="A47" s="15" t="inlineStr">
        <is>
          <t>Q9 answer: Sharpe ratio (B45), rounded to 3 decimal places -&gt; 0.260</t>
        </is>
      </c>
    </row>
    <row r="49">
      <c r="A49" s="15" t="inlineStr">
        <is>
          <t>Q10: Can the Sharpe portfolio (row 39) be realized long-only?</t>
        </is>
      </c>
    </row>
    <row r="50">
      <c r="A50" s="0" t="inlineStr">
        <is>
          <t>Most negative weight in row 39:</t>
        </is>
      </c>
      <c r="B50" s="0">
        <f>MIN(B39:X39)</f>
        <v/>
      </c>
    </row>
    <row r="51">
      <c r="A51" s="0" t="inlineStr">
        <is>
          <t>Long-only feasible?  [Q10 answer]</t>
        </is>
      </c>
      <c r="B51" s="0">
        <f>IF(B50&gt;=0,"Yes","No")</f>
        <v/>
      </c>
    </row>
  </sheetData>
  <mergeCells count="1">
    <mergeCell ref="A1:X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Q7: Efficient frontier via two-fund theorem, z = phi*x1 + (1-phi)*x2, phi in [-2,2]</t>
        </is>
      </c>
    </row>
    <row r="2">
      <c r="A2" s="16" t="inlineStr">
        <is>
          <t>x1, x2 pulled from Optimal_Portfolio_Q3-Q8!B34:X34 and !B45:X45. mu (mean returns) from Optimal_Portfolio_Q3-Q8!B31:X31. V (covariance) from !B4:X26.</t>
        </is>
      </c>
    </row>
    <row r="4">
      <c r="A4" s="0" t="inlineStr">
        <is>
          <t>phi</t>
        </is>
      </c>
      <c r="B4" s="0" t="inlineStr">
        <is>
          <t>mean_return</t>
        </is>
      </c>
      <c r="C4" s="0" t="inlineStr">
        <is>
          <t>variance</t>
        </is>
      </c>
      <c r="E4" s="0" t="inlineStr">
        <is>
          <t>IBM</t>
        </is>
      </c>
      <c r="F4" s="0" t="inlineStr">
        <is>
          <t>GE</t>
        </is>
      </c>
      <c r="G4" s="0" t="inlineStr">
        <is>
          <t>LLY</t>
        </is>
      </c>
      <c r="H4" s="0" t="inlineStr">
        <is>
          <t>F</t>
        </is>
      </c>
      <c r="I4" s="0" t="inlineStr">
        <is>
          <t>BAC</t>
        </is>
      </c>
      <c r="J4" s="0" t="inlineStr">
        <is>
          <t>KR</t>
        </is>
      </c>
      <c r="K4" s="0" t="inlineStr">
        <is>
          <t>ITUB</t>
        </is>
      </c>
      <c r="L4" s="0" t="inlineStr">
        <is>
          <t>GG</t>
        </is>
      </c>
      <c r="M4" s="0" t="inlineStr">
        <is>
          <t>SIRI</t>
        </is>
      </c>
      <c r="N4" s="0" t="inlineStr">
        <is>
          <t>ACB</t>
        </is>
      </c>
      <c r="O4" s="0" t="inlineStr">
        <is>
          <t>VALE</t>
        </is>
      </c>
      <c r="P4" s="0" t="inlineStr">
        <is>
          <t>PFE</t>
        </is>
      </c>
      <c r="Q4" s="0" t="inlineStr">
        <is>
          <t>CTL</t>
        </is>
      </c>
      <c r="R4" s="0" t="inlineStr">
        <is>
          <t>T</t>
        </is>
      </c>
      <c r="S4" s="0" t="inlineStr">
        <is>
          <t>ECA</t>
        </is>
      </c>
      <c r="T4" s="0" t="inlineStr">
        <is>
          <t>ABEV</t>
        </is>
      </c>
      <c r="U4" s="0" t="inlineStr">
        <is>
          <t>CVS</t>
        </is>
      </c>
      <c r="V4" s="0" t="inlineStr">
        <is>
          <t>MRVL</t>
        </is>
      </c>
      <c r="W4" s="0" t="inlineStr">
        <is>
          <t>CSCO</t>
        </is>
      </c>
      <c r="X4" s="0" t="inlineStr">
        <is>
          <t>MO</t>
        </is>
      </c>
      <c r="Y4" s="0" t="inlineStr">
        <is>
          <t>BMY</t>
        </is>
      </c>
      <c r="Z4" s="0" t="inlineStr">
        <is>
          <t>WFC</t>
        </is>
      </c>
      <c r="AA4" s="0" t="inlineStr">
        <is>
          <t>HBAN</t>
        </is>
      </c>
    </row>
    <row r="5">
      <c r="A5" s="0" t="n">
        <v>-2</v>
      </c>
      <c r="B5" s="0">
        <f>SUMPRODUCT(E5:AA5,'Optimal_Portfolio_Q3-Q8'!B31:X31)</f>
        <v/>
      </c>
      <c r="C5" s="0">
        <f>SUMPRODUCT(E5:AA5,MMULT(E5:AA5,'Optimal_Portfolio_Q3-Q8'!B4:X26))</f>
        <v/>
      </c>
      <c r="E5" s="0">
        <f>$A5*'Optimal_Portfolio_Q3-Q8'!B34+(1-$A5)*'Optimal_Portfolio_Q3-Q8'!B45</f>
        <v/>
      </c>
      <c r="F5" s="0">
        <f>$A5*'Optimal_Portfolio_Q3-Q8'!C34+(1-$A5)*'Optimal_Portfolio_Q3-Q8'!C45</f>
        <v/>
      </c>
      <c r="G5" s="0">
        <f>$A5*'Optimal_Portfolio_Q3-Q8'!D34+(1-$A5)*'Optimal_Portfolio_Q3-Q8'!D45</f>
        <v/>
      </c>
      <c r="H5" s="0">
        <f>$A5*'Optimal_Portfolio_Q3-Q8'!E34+(1-$A5)*'Optimal_Portfolio_Q3-Q8'!E45</f>
        <v/>
      </c>
      <c r="I5" s="0">
        <f>$A5*'Optimal_Portfolio_Q3-Q8'!F34+(1-$A5)*'Optimal_Portfolio_Q3-Q8'!F45</f>
        <v/>
      </c>
      <c r="J5" s="0">
        <f>$A5*'Optimal_Portfolio_Q3-Q8'!G34+(1-$A5)*'Optimal_Portfolio_Q3-Q8'!G45</f>
        <v/>
      </c>
      <c r="K5" s="0">
        <f>$A5*'Optimal_Portfolio_Q3-Q8'!H34+(1-$A5)*'Optimal_Portfolio_Q3-Q8'!H45</f>
        <v/>
      </c>
      <c r="L5" s="0">
        <f>$A5*'Optimal_Portfolio_Q3-Q8'!I34+(1-$A5)*'Optimal_Portfolio_Q3-Q8'!I45</f>
        <v/>
      </c>
      <c r="M5" s="0">
        <f>$A5*'Optimal_Portfolio_Q3-Q8'!J34+(1-$A5)*'Optimal_Portfolio_Q3-Q8'!J45</f>
        <v/>
      </c>
      <c r="N5" s="0">
        <f>$A5*'Optimal_Portfolio_Q3-Q8'!K34+(1-$A5)*'Optimal_Portfolio_Q3-Q8'!K45</f>
        <v/>
      </c>
      <c r="O5" s="0">
        <f>$A5*'Optimal_Portfolio_Q3-Q8'!L34+(1-$A5)*'Optimal_Portfolio_Q3-Q8'!L45</f>
        <v/>
      </c>
      <c r="P5" s="0">
        <f>$A5*'Optimal_Portfolio_Q3-Q8'!M34+(1-$A5)*'Optimal_Portfolio_Q3-Q8'!M45</f>
        <v/>
      </c>
      <c r="Q5" s="0">
        <f>$A5*'Optimal_Portfolio_Q3-Q8'!N34+(1-$A5)*'Optimal_Portfolio_Q3-Q8'!N45</f>
        <v/>
      </c>
      <c r="R5" s="0">
        <f>$A5*'Optimal_Portfolio_Q3-Q8'!O34+(1-$A5)*'Optimal_Portfolio_Q3-Q8'!O45</f>
        <v/>
      </c>
      <c r="S5" s="0">
        <f>$A5*'Optimal_Portfolio_Q3-Q8'!P34+(1-$A5)*'Optimal_Portfolio_Q3-Q8'!P45</f>
        <v/>
      </c>
      <c r="T5" s="0">
        <f>$A5*'Optimal_Portfolio_Q3-Q8'!Q34+(1-$A5)*'Optimal_Portfolio_Q3-Q8'!Q45</f>
        <v/>
      </c>
      <c r="U5" s="0">
        <f>$A5*'Optimal_Portfolio_Q3-Q8'!R34+(1-$A5)*'Optimal_Portfolio_Q3-Q8'!R45</f>
        <v/>
      </c>
      <c r="V5" s="0">
        <f>$A5*'Optimal_Portfolio_Q3-Q8'!S34+(1-$A5)*'Optimal_Portfolio_Q3-Q8'!S45</f>
        <v/>
      </c>
      <c r="W5" s="0">
        <f>$A5*'Optimal_Portfolio_Q3-Q8'!T34+(1-$A5)*'Optimal_Portfolio_Q3-Q8'!T45</f>
        <v/>
      </c>
      <c r="X5" s="0">
        <f>$A5*'Optimal_Portfolio_Q3-Q8'!U34+(1-$A5)*'Optimal_Portfolio_Q3-Q8'!U45</f>
        <v/>
      </c>
      <c r="Y5" s="0">
        <f>$A5*'Optimal_Portfolio_Q3-Q8'!V34+(1-$A5)*'Optimal_Portfolio_Q3-Q8'!V45</f>
        <v/>
      </c>
      <c r="Z5" s="0">
        <f>$A5*'Optimal_Portfolio_Q3-Q8'!W34+(1-$A5)*'Optimal_Portfolio_Q3-Q8'!W45</f>
        <v/>
      </c>
      <c r="AA5" s="0">
        <f>$A5*'Optimal_Portfolio_Q3-Q8'!X34+(1-$A5)*'Optimal_Portfolio_Q3-Q8'!X45</f>
        <v/>
      </c>
    </row>
    <row r="6">
      <c r="A6" s="0" t="n">
        <v>-1.9</v>
      </c>
      <c r="B6" s="0">
        <f>SUMPRODUCT(E6:AA6,'Optimal_Portfolio_Q3-Q8'!B31:X31)</f>
        <v/>
      </c>
      <c r="C6" s="0">
        <f>SUMPRODUCT(E6:AA6,MMULT(E6:AA6,'Optimal_Portfolio_Q3-Q8'!B4:X26))</f>
        <v/>
      </c>
      <c r="E6" s="0">
        <f>$A6*'Optimal_Portfolio_Q3-Q8'!B34+(1-$A6)*'Optimal_Portfolio_Q3-Q8'!B45</f>
        <v/>
      </c>
      <c r="F6" s="0">
        <f>$A6*'Optimal_Portfolio_Q3-Q8'!C34+(1-$A6)*'Optimal_Portfolio_Q3-Q8'!C45</f>
        <v/>
      </c>
      <c r="G6" s="0">
        <f>$A6*'Optimal_Portfolio_Q3-Q8'!D34+(1-$A6)*'Optimal_Portfolio_Q3-Q8'!D45</f>
        <v/>
      </c>
      <c r="H6" s="0">
        <f>$A6*'Optimal_Portfolio_Q3-Q8'!E34+(1-$A6)*'Optimal_Portfolio_Q3-Q8'!E45</f>
        <v/>
      </c>
      <c r="I6" s="0">
        <f>$A6*'Optimal_Portfolio_Q3-Q8'!F34+(1-$A6)*'Optimal_Portfolio_Q3-Q8'!F45</f>
        <v/>
      </c>
      <c r="J6" s="0">
        <f>$A6*'Optimal_Portfolio_Q3-Q8'!G34+(1-$A6)*'Optimal_Portfolio_Q3-Q8'!G45</f>
        <v/>
      </c>
      <c r="K6" s="0">
        <f>$A6*'Optimal_Portfolio_Q3-Q8'!H34+(1-$A6)*'Optimal_Portfolio_Q3-Q8'!H45</f>
        <v/>
      </c>
      <c r="L6" s="0">
        <f>$A6*'Optimal_Portfolio_Q3-Q8'!I34+(1-$A6)*'Optimal_Portfolio_Q3-Q8'!I45</f>
        <v/>
      </c>
      <c r="M6" s="0">
        <f>$A6*'Optimal_Portfolio_Q3-Q8'!J34+(1-$A6)*'Optimal_Portfolio_Q3-Q8'!J45</f>
        <v/>
      </c>
      <c r="N6" s="0">
        <f>$A6*'Optimal_Portfolio_Q3-Q8'!K34+(1-$A6)*'Optimal_Portfolio_Q3-Q8'!K45</f>
        <v/>
      </c>
      <c r="O6" s="0">
        <f>$A6*'Optimal_Portfolio_Q3-Q8'!L34+(1-$A6)*'Optimal_Portfolio_Q3-Q8'!L45</f>
        <v/>
      </c>
      <c r="P6" s="0">
        <f>$A6*'Optimal_Portfolio_Q3-Q8'!M34+(1-$A6)*'Optimal_Portfolio_Q3-Q8'!M45</f>
        <v/>
      </c>
      <c r="Q6" s="0">
        <f>$A6*'Optimal_Portfolio_Q3-Q8'!N34+(1-$A6)*'Optimal_Portfolio_Q3-Q8'!N45</f>
        <v/>
      </c>
      <c r="R6" s="0">
        <f>$A6*'Optimal_Portfolio_Q3-Q8'!O34+(1-$A6)*'Optimal_Portfolio_Q3-Q8'!O45</f>
        <v/>
      </c>
      <c r="S6" s="0">
        <f>$A6*'Optimal_Portfolio_Q3-Q8'!P34+(1-$A6)*'Optimal_Portfolio_Q3-Q8'!P45</f>
        <v/>
      </c>
      <c r="T6" s="0">
        <f>$A6*'Optimal_Portfolio_Q3-Q8'!Q34+(1-$A6)*'Optimal_Portfolio_Q3-Q8'!Q45</f>
        <v/>
      </c>
      <c r="U6" s="0">
        <f>$A6*'Optimal_Portfolio_Q3-Q8'!R34+(1-$A6)*'Optimal_Portfolio_Q3-Q8'!R45</f>
        <v/>
      </c>
      <c r="V6" s="0">
        <f>$A6*'Optimal_Portfolio_Q3-Q8'!S34+(1-$A6)*'Optimal_Portfolio_Q3-Q8'!S45</f>
        <v/>
      </c>
      <c r="W6" s="0">
        <f>$A6*'Optimal_Portfolio_Q3-Q8'!T34+(1-$A6)*'Optimal_Portfolio_Q3-Q8'!T45</f>
        <v/>
      </c>
      <c r="X6" s="0">
        <f>$A6*'Optimal_Portfolio_Q3-Q8'!U34+(1-$A6)*'Optimal_Portfolio_Q3-Q8'!U45</f>
        <v/>
      </c>
      <c r="Y6" s="0">
        <f>$A6*'Optimal_Portfolio_Q3-Q8'!V34+(1-$A6)*'Optimal_Portfolio_Q3-Q8'!V45</f>
        <v/>
      </c>
      <c r="Z6" s="0">
        <f>$A6*'Optimal_Portfolio_Q3-Q8'!W34+(1-$A6)*'Optimal_Portfolio_Q3-Q8'!W45</f>
        <v/>
      </c>
      <c r="AA6" s="0">
        <f>$A6*'Optimal_Portfolio_Q3-Q8'!X34+(1-$A6)*'Optimal_Portfolio_Q3-Q8'!X45</f>
        <v/>
      </c>
    </row>
    <row r="7">
      <c r="A7" s="0" t="n">
        <v>-1.8</v>
      </c>
      <c r="B7" s="0">
        <f>SUMPRODUCT(E7:AA7,'Optimal_Portfolio_Q3-Q8'!B31:X31)</f>
        <v/>
      </c>
      <c r="C7" s="0">
        <f>SUMPRODUCT(E7:AA7,MMULT(E7:AA7,'Optimal_Portfolio_Q3-Q8'!B4:X26))</f>
        <v/>
      </c>
      <c r="E7" s="0">
        <f>$A7*'Optimal_Portfolio_Q3-Q8'!B34+(1-$A7)*'Optimal_Portfolio_Q3-Q8'!B45</f>
        <v/>
      </c>
      <c r="F7" s="0">
        <f>$A7*'Optimal_Portfolio_Q3-Q8'!C34+(1-$A7)*'Optimal_Portfolio_Q3-Q8'!C45</f>
        <v/>
      </c>
      <c r="G7" s="0">
        <f>$A7*'Optimal_Portfolio_Q3-Q8'!D34+(1-$A7)*'Optimal_Portfolio_Q3-Q8'!D45</f>
        <v/>
      </c>
      <c r="H7" s="0">
        <f>$A7*'Optimal_Portfolio_Q3-Q8'!E34+(1-$A7)*'Optimal_Portfolio_Q3-Q8'!E45</f>
        <v/>
      </c>
      <c r="I7" s="0">
        <f>$A7*'Optimal_Portfolio_Q3-Q8'!F34+(1-$A7)*'Optimal_Portfolio_Q3-Q8'!F45</f>
        <v/>
      </c>
      <c r="J7" s="0">
        <f>$A7*'Optimal_Portfolio_Q3-Q8'!G34+(1-$A7)*'Optimal_Portfolio_Q3-Q8'!G45</f>
        <v/>
      </c>
      <c r="K7" s="0">
        <f>$A7*'Optimal_Portfolio_Q3-Q8'!H34+(1-$A7)*'Optimal_Portfolio_Q3-Q8'!H45</f>
        <v/>
      </c>
      <c r="L7" s="0">
        <f>$A7*'Optimal_Portfolio_Q3-Q8'!I34+(1-$A7)*'Optimal_Portfolio_Q3-Q8'!I45</f>
        <v/>
      </c>
      <c r="M7" s="0">
        <f>$A7*'Optimal_Portfolio_Q3-Q8'!J34+(1-$A7)*'Optimal_Portfolio_Q3-Q8'!J45</f>
        <v/>
      </c>
      <c r="N7" s="0">
        <f>$A7*'Optimal_Portfolio_Q3-Q8'!K34+(1-$A7)*'Optimal_Portfolio_Q3-Q8'!K45</f>
        <v/>
      </c>
      <c r="O7" s="0">
        <f>$A7*'Optimal_Portfolio_Q3-Q8'!L34+(1-$A7)*'Optimal_Portfolio_Q3-Q8'!L45</f>
        <v/>
      </c>
      <c r="P7" s="0">
        <f>$A7*'Optimal_Portfolio_Q3-Q8'!M34+(1-$A7)*'Optimal_Portfolio_Q3-Q8'!M45</f>
        <v/>
      </c>
      <c r="Q7" s="0">
        <f>$A7*'Optimal_Portfolio_Q3-Q8'!N34+(1-$A7)*'Optimal_Portfolio_Q3-Q8'!N45</f>
        <v/>
      </c>
      <c r="R7" s="0">
        <f>$A7*'Optimal_Portfolio_Q3-Q8'!O34+(1-$A7)*'Optimal_Portfolio_Q3-Q8'!O45</f>
        <v/>
      </c>
      <c r="S7" s="0">
        <f>$A7*'Optimal_Portfolio_Q3-Q8'!P34+(1-$A7)*'Optimal_Portfolio_Q3-Q8'!P45</f>
        <v/>
      </c>
      <c r="T7" s="0">
        <f>$A7*'Optimal_Portfolio_Q3-Q8'!Q34+(1-$A7)*'Optimal_Portfolio_Q3-Q8'!Q45</f>
        <v/>
      </c>
      <c r="U7" s="0">
        <f>$A7*'Optimal_Portfolio_Q3-Q8'!R34+(1-$A7)*'Optimal_Portfolio_Q3-Q8'!R45</f>
        <v/>
      </c>
      <c r="V7" s="0">
        <f>$A7*'Optimal_Portfolio_Q3-Q8'!S34+(1-$A7)*'Optimal_Portfolio_Q3-Q8'!S45</f>
        <v/>
      </c>
      <c r="W7" s="0">
        <f>$A7*'Optimal_Portfolio_Q3-Q8'!T34+(1-$A7)*'Optimal_Portfolio_Q3-Q8'!T45</f>
        <v/>
      </c>
      <c r="X7" s="0">
        <f>$A7*'Optimal_Portfolio_Q3-Q8'!U34+(1-$A7)*'Optimal_Portfolio_Q3-Q8'!U45</f>
        <v/>
      </c>
      <c r="Y7" s="0">
        <f>$A7*'Optimal_Portfolio_Q3-Q8'!V34+(1-$A7)*'Optimal_Portfolio_Q3-Q8'!V45</f>
        <v/>
      </c>
      <c r="Z7" s="0">
        <f>$A7*'Optimal_Portfolio_Q3-Q8'!W34+(1-$A7)*'Optimal_Portfolio_Q3-Q8'!W45</f>
        <v/>
      </c>
      <c r="AA7" s="0">
        <f>$A7*'Optimal_Portfolio_Q3-Q8'!X34+(1-$A7)*'Optimal_Portfolio_Q3-Q8'!X45</f>
        <v/>
      </c>
    </row>
    <row r="8">
      <c r="A8" s="0" t="n">
        <v>-1.7</v>
      </c>
      <c r="B8" s="0">
        <f>SUMPRODUCT(E8:AA8,'Optimal_Portfolio_Q3-Q8'!B31:X31)</f>
        <v/>
      </c>
      <c r="C8" s="0">
        <f>SUMPRODUCT(E8:AA8,MMULT(E8:AA8,'Optimal_Portfolio_Q3-Q8'!B4:X26))</f>
        <v/>
      </c>
      <c r="E8" s="0">
        <f>$A8*'Optimal_Portfolio_Q3-Q8'!B34+(1-$A8)*'Optimal_Portfolio_Q3-Q8'!B45</f>
        <v/>
      </c>
      <c r="F8" s="0">
        <f>$A8*'Optimal_Portfolio_Q3-Q8'!C34+(1-$A8)*'Optimal_Portfolio_Q3-Q8'!C45</f>
        <v/>
      </c>
      <c r="G8" s="0">
        <f>$A8*'Optimal_Portfolio_Q3-Q8'!D34+(1-$A8)*'Optimal_Portfolio_Q3-Q8'!D45</f>
        <v/>
      </c>
      <c r="H8" s="0">
        <f>$A8*'Optimal_Portfolio_Q3-Q8'!E34+(1-$A8)*'Optimal_Portfolio_Q3-Q8'!E45</f>
        <v/>
      </c>
      <c r="I8" s="0">
        <f>$A8*'Optimal_Portfolio_Q3-Q8'!F34+(1-$A8)*'Optimal_Portfolio_Q3-Q8'!F45</f>
        <v/>
      </c>
      <c r="J8" s="0">
        <f>$A8*'Optimal_Portfolio_Q3-Q8'!G34+(1-$A8)*'Optimal_Portfolio_Q3-Q8'!G45</f>
        <v/>
      </c>
      <c r="K8" s="0">
        <f>$A8*'Optimal_Portfolio_Q3-Q8'!H34+(1-$A8)*'Optimal_Portfolio_Q3-Q8'!H45</f>
        <v/>
      </c>
      <c r="L8" s="0">
        <f>$A8*'Optimal_Portfolio_Q3-Q8'!I34+(1-$A8)*'Optimal_Portfolio_Q3-Q8'!I45</f>
        <v/>
      </c>
      <c r="M8" s="0">
        <f>$A8*'Optimal_Portfolio_Q3-Q8'!J34+(1-$A8)*'Optimal_Portfolio_Q3-Q8'!J45</f>
        <v/>
      </c>
      <c r="N8" s="0">
        <f>$A8*'Optimal_Portfolio_Q3-Q8'!K34+(1-$A8)*'Optimal_Portfolio_Q3-Q8'!K45</f>
        <v/>
      </c>
      <c r="O8" s="0">
        <f>$A8*'Optimal_Portfolio_Q3-Q8'!L34+(1-$A8)*'Optimal_Portfolio_Q3-Q8'!L45</f>
        <v/>
      </c>
      <c r="P8" s="0">
        <f>$A8*'Optimal_Portfolio_Q3-Q8'!M34+(1-$A8)*'Optimal_Portfolio_Q3-Q8'!M45</f>
        <v/>
      </c>
      <c r="Q8" s="0">
        <f>$A8*'Optimal_Portfolio_Q3-Q8'!N34+(1-$A8)*'Optimal_Portfolio_Q3-Q8'!N45</f>
        <v/>
      </c>
      <c r="R8" s="0">
        <f>$A8*'Optimal_Portfolio_Q3-Q8'!O34+(1-$A8)*'Optimal_Portfolio_Q3-Q8'!O45</f>
        <v/>
      </c>
      <c r="S8" s="0">
        <f>$A8*'Optimal_Portfolio_Q3-Q8'!P34+(1-$A8)*'Optimal_Portfolio_Q3-Q8'!P45</f>
        <v/>
      </c>
      <c r="T8" s="0">
        <f>$A8*'Optimal_Portfolio_Q3-Q8'!Q34+(1-$A8)*'Optimal_Portfolio_Q3-Q8'!Q45</f>
        <v/>
      </c>
      <c r="U8" s="0">
        <f>$A8*'Optimal_Portfolio_Q3-Q8'!R34+(1-$A8)*'Optimal_Portfolio_Q3-Q8'!R45</f>
        <v/>
      </c>
      <c r="V8" s="0">
        <f>$A8*'Optimal_Portfolio_Q3-Q8'!S34+(1-$A8)*'Optimal_Portfolio_Q3-Q8'!S45</f>
        <v/>
      </c>
      <c r="W8" s="0">
        <f>$A8*'Optimal_Portfolio_Q3-Q8'!T34+(1-$A8)*'Optimal_Portfolio_Q3-Q8'!T45</f>
        <v/>
      </c>
      <c r="X8" s="0">
        <f>$A8*'Optimal_Portfolio_Q3-Q8'!U34+(1-$A8)*'Optimal_Portfolio_Q3-Q8'!U45</f>
        <v/>
      </c>
      <c r="Y8" s="0">
        <f>$A8*'Optimal_Portfolio_Q3-Q8'!V34+(1-$A8)*'Optimal_Portfolio_Q3-Q8'!V45</f>
        <v/>
      </c>
      <c r="Z8" s="0">
        <f>$A8*'Optimal_Portfolio_Q3-Q8'!W34+(1-$A8)*'Optimal_Portfolio_Q3-Q8'!W45</f>
        <v/>
      </c>
      <c r="AA8" s="0">
        <f>$A8*'Optimal_Portfolio_Q3-Q8'!X34+(1-$A8)*'Optimal_Portfolio_Q3-Q8'!X45</f>
        <v/>
      </c>
    </row>
    <row r="9">
      <c r="A9" s="0" t="n">
        <v>-1.6</v>
      </c>
      <c r="B9" s="0">
        <f>SUMPRODUCT(E9:AA9,'Optimal_Portfolio_Q3-Q8'!B31:X31)</f>
        <v/>
      </c>
      <c r="C9" s="0">
        <f>SUMPRODUCT(E9:AA9,MMULT(E9:AA9,'Optimal_Portfolio_Q3-Q8'!B4:X26))</f>
        <v/>
      </c>
      <c r="E9" s="0">
        <f>$A9*'Optimal_Portfolio_Q3-Q8'!B34+(1-$A9)*'Optimal_Portfolio_Q3-Q8'!B45</f>
        <v/>
      </c>
      <c r="F9" s="0">
        <f>$A9*'Optimal_Portfolio_Q3-Q8'!C34+(1-$A9)*'Optimal_Portfolio_Q3-Q8'!C45</f>
        <v/>
      </c>
      <c r="G9" s="0">
        <f>$A9*'Optimal_Portfolio_Q3-Q8'!D34+(1-$A9)*'Optimal_Portfolio_Q3-Q8'!D45</f>
        <v/>
      </c>
      <c r="H9" s="0">
        <f>$A9*'Optimal_Portfolio_Q3-Q8'!E34+(1-$A9)*'Optimal_Portfolio_Q3-Q8'!E45</f>
        <v/>
      </c>
      <c r="I9" s="0">
        <f>$A9*'Optimal_Portfolio_Q3-Q8'!F34+(1-$A9)*'Optimal_Portfolio_Q3-Q8'!F45</f>
        <v/>
      </c>
      <c r="J9" s="0">
        <f>$A9*'Optimal_Portfolio_Q3-Q8'!G34+(1-$A9)*'Optimal_Portfolio_Q3-Q8'!G45</f>
        <v/>
      </c>
      <c r="K9" s="0">
        <f>$A9*'Optimal_Portfolio_Q3-Q8'!H34+(1-$A9)*'Optimal_Portfolio_Q3-Q8'!H45</f>
        <v/>
      </c>
      <c r="L9" s="0">
        <f>$A9*'Optimal_Portfolio_Q3-Q8'!I34+(1-$A9)*'Optimal_Portfolio_Q3-Q8'!I45</f>
        <v/>
      </c>
      <c r="M9" s="0">
        <f>$A9*'Optimal_Portfolio_Q3-Q8'!J34+(1-$A9)*'Optimal_Portfolio_Q3-Q8'!J45</f>
        <v/>
      </c>
      <c r="N9" s="0">
        <f>$A9*'Optimal_Portfolio_Q3-Q8'!K34+(1-$A9)*'Optimal_Portfolio_Q3-Q8'!K45</f>
        <v/>
      </c>
      <c r="O9" s="0">
        <f>$A9*'Optimal_Portfolio_Q3-Q8'!L34+(1-$A9)*'Optimal_Portfolio_Q3-Q8'!L45</f>
        <v/>
      </c>
      <c r="P9" s="0">
        <f>$A9*'Optimal_Portfolio_Q3-Q8'!M34+(1-$A9)*'Optimal_Portfolio_Q3-Q8'!M45</f>
        <v/>
      </c>
      <c r="Q9" s="0">
        <f>$A9*'Optimal_Portfolio_Q3-Q8'!N34+(1-$A9)*'Optimal_Portfolio_Q3-Q8'!N45</f>
        <v/>
      </c>
      <c r="R9" s="0">
        <f>$A9*'Optimal_Portfolio_Q3-Q8'!O34+(1-$A9)*'Optimal_Portfolio_Q3-Q8'!O45</f>
        <v/>
      </c>
      <c r="S9" s="0">
        <f>$A9*'Optimal_Portfolio_Q3-Q8'!P34+(1-$A9)*'Optimal_Portfolio_Q3-Q8'!P45</f>
        <v/>
      </c>
      <c r="T9" s="0">
        <f>$A9*'Optimal_Portfolio_Q3-Q8'!Q34+(1-$A9)*'Optimal_Portfolio_Q3-Q8'!Q45</f>
        <v/>
      </c>
      <c r="U9" s="0">
        <f>$A9*'Optimal_Portfolio_Q3-Q8'!R34+(1-$A9)*'Optimal_Portfolio_Q3-Q8'!R45</f>
        <v/>
      </c>
      <c r="V9" s="0">
        <f>$A9*'Optimal_Portfolio_Q3-Q8'!S34+(1-$A9)*'Optimal_Portfolio_Q3-Q8'!S45</f>
        <v/>
      </c>
      <c r="W9" s="0">
        <f>$A9*'Optimal_Portfolio_Q3-Q8'!T34+(1-$A9)*'Optimal_Portfolio_Q3-Q8'!T45</f>
        <v/>
      </c>
      <c r="X9" s="0">
        <f>$A9*'Optimal_Portfolio_Q3-Q8'!U34+(1-$A9)*'Optimal_Portfolio_Q3-Q8'!U45</f>
        <v/>
      </c>
      <c r="Y9" s="0">
        <f>$A9*'Optimal_Portfolio_Q3-Q8'!V34+(1-$A9)*'Optimal_Portfolio_Q3-Q8'!V45</f>
        <v/>
      </c>
      <c r="Z9" s="0">
        <f>$A9*'Optimal_Portfolio_Q3-Q8'!W34+(1-$A9)*'Optimal_Portfolio_Q3-Q8'!W45</f>
        <v/>
      </c>
      <c r="AA9" s="0">
        <f>$A9*'Optimal_Portfolio_Q3-Q8'!X34+(1-$A9)*'Optimal_Portfolio_Q3-Q8'!X45</f>
        <v/>
      </c>
    </row>
    <row r="10">
      <c r="A10" s="0" t="n">
        <v>-1.5</v>
      </c>
      <c r="B10" s="0">
        <f>SUMPRODUCT(E10:AA10,'Optimal_Portfolio_Q3-Q8'!B31:X31)</f>
        <v/>
      </c>
      <c r="C10" s="0">
        <f>SUMPRODUCT(E10:AA10,MMULT(E10:AA10,'Optimal_Portfolio_Q3-Q8'!B4:X26))</f>
        <v/>
      </c>
      <c r="E10" s="0">
        <f>$A10*'Optimal_Portfolio_Q3-Q8'!B34+(1-$A10)*'Optimal_Portfolio_Q3-Q8'!B45</f>
        <v/>
      </c>
      <c r="F10" s="0">
        <f>$A10*'Optimal_Portfolio_Q3-Q8'!C34+(1-$A10)*'Optimal_Portfolio_Q3-Q8'!C45</f>
        <v/>
      </c>
      <c r="G10" s="0">
        <f>$A10*'Optimal_Portfolio_Q3-Q8'!D34+(1-$A10)*'Optimal_Portfolio_Q3-Q8'!D45</f>
        <v/>
      </c>
      <c r="H10" s="0">
        <f>$A10*'Optimal_Portfolio_Q3-Q8'!E34+(1-$A10)*'Optimal_Portfolio_Q3-Q8'!E45</f>
        <v/>
      </c>
      <c r="I10" s="0">
        <f>$A10*'Optimal_Portfolio_Q3-Q8'!F34+(1-$A10)*'Optimal_Portfolio_Q3-Q8'!F45</f>
        <v/>
      </c>
      <c r="J10" s="0">
        <f>$A10*'Optimal_Portfolio_Q3-Q8'!G34+(1-$A10)*'Optimal_Portfolio_Q3-Q8'!G45</f>
        <v/>
      </c>
      <c r="K10" s="0">
        <f>$A10*'Optimal_Portfolio_Q3-Q8'!H34+(1-$A10)*'Optimal_Portfolio_Q3-Q8'!H45</f>
        <v/>
      </c>
      <c r="L10" s="0">
        <f>$A10*'Optimal_Portfolio_Q3-Q8'!I34+(1-$A10)*'Optimal_Portfolio_Q3-Q8'!I45</f>
        <v/>
      </c>
      <c r="M10" s="0">
        <f>$A10*'Optimal_Portfolio_Q3-Q8'!J34+(1-$A10)*'Optimal_Portfolio_Q3-Q8'!J45</f>
        <v/>
      </c>
      <c r="N10" s="0">
        <f>$A10*'Optimal_Portfolio_Q3-Q8'!K34+(1-$A10)*'Optimal_Portfolio_Q3-Q8'!K45</f>
        <v/>
      </c>
      <c r="O10" s="0">
        <f>$A10*'Optimal_Portfolio_Q3-Q8'!L34+(1-$A10)*'Optimal_Portfolio_Q3-Q8'!L45</f>
        <v/>
      </c>
      <c r="P10" s="0">
        <f>$A10*'Optimal_Portfolio_Q3-Q8'!M34+(1-$A10)*'Optimal_Portfolio_Q3-Q8'!M45</f>
        <v/>
      </c>
      <c r="Q10" s="0">
        <f>$A10*'Optimal_Portfolio_Q3-Q8'!N34+(1-$A10)*'Optimal_Portfolio_Q3-Q8'!N45</f>
        <v/>
      </c>
      <c r="R10" s="0">
        <f>$A10*'Optimal_Portfolio_Q3-Q8'!O34+(1-$A10)*'Optimal_Portfolio_Q3-Q8'!O45</f>
        <v/>
      </c>
      <c r="S10" s="0">
        <f>$A10*'Optimal_Portfolio_Q3-Q8'!P34+(1-$A10)*'Optimal_Portfolio_Q3-Q8'!P45</f>
        <v/>
      </c>
      <c r="T10" s="0">
        <f>$A10*'Optimal_Portfolio_Q3-Q8'!Q34+(1-$A10)*'Optimal_Portfolio_Q3-Q8'!Q45</f>
        <v/>
      </c>
      <c r="U10" s="0">
        <f>$A10*'Optimal_Portfolio_Q3-Q8'!R34+(1-$A10)*'Optimal_Portfolio_Q3-Q8'!R45</f>
        <v/>
      </c>
      <c r="V10" s="0">
        <f>$A10*'Optimal_Portfolio_Q3-Q8'!S34+(1-$A10)*'Optimal_Portfolio_Q3-Q8'!S45</f>
        <v/>
      </c>
      <c r="W10" s="0">
        <f>$A10*'Optimal_Portfolio_Q3-Q8'!T34+(1-$A10)*'Optimal_Portfolio_Q3-Q8'!T45</f>
        <v/>
      </c>
      <c r="X10" s="0">
        <f>$A10*'Optimal_Portfolio_Q3-Q8'!U34+(1-$A10)*'Optimal_Portfolio_Q3-Q8'!U45</f>
        <v/>
      </c>
      <c r="Y10" s="0">
        <f>$A10*'Optimal_Portfolio_Q3-Q8'!V34+(1-$A10)*'Optimal_Portfolio_Q3-Q8'!V45</f>
        <v/>
      </c>
      <c r="Z10" s="0">
        <f>$A10*'Optimal_Portfolio_Q3-Q8'!W34+(1-$A10)*'Optimal_Portfolio_Q3-Q8'!W45</f>
        <v/>
      </c>
      <c r="AA10" s="0">
        <f>$A10*'Optimal_Portfolio_Q3-Q8'!X34+(1-$A10)*'Optimal_Portfolio_Q3-Q8'!X45</f>
        <v/>
      </c>
    </row>
    <row r="11">
      <c r="A11" s="0" t="n">
        <v>-1.4</v>
      </c>
      <c r="B11" s="0">
        <f>SUMPRODUCT(E11:AA11,'Optimal_Portfolio_Q3-Q8'!B31:X31)</f>
        <v/>
      </c>
      <c r="C11" s="0">
        <f>SUMPRODUCT(E11:AA11,MMULT(E11:AA11,'Optimal_Portfolio_Q3-Q8'!B4:X26))</f>
        <v/>
      </c>
      <c r="E11" s="0">
        <f>$A11*'Optimal_Portfolio_Q3-Q8'!B34+(1-$A11)*'Optimal_Portfolio_Q3-Q8'!B45</f>
        <v/>
      </c>
      <c r="F11" s="0">
        <f>$A11*'Optimal_Portfolio_Q3-Q8'!C34+(1-$A11)*'Optimal_Portfolio_Q3-Q8'!C45</f>
        <v/>
      </c>
      <c r="G11" s="0">
        <f>$A11*'Optimal_Portfolio_Q3-Q8'!D34+(1-$A11)*'Optimal_Portfolio_Q3-Q8'!D45</f>
        <v/>
      </c>
      <c r="H11" s="0">
        <f>$A11*'Optimal_Portfolio_Q3-Q8'!E34+(1-$A11)*'Optimal_Portfolio_Q3-Q8'!E45</f>
        <v/>
      </c>
      <c r="I11" s="0">
        <f>$A11*'Optimal_Portfolio_Q3-Q8'!F34+(1-$A11)*'Optimal_Portfolio_Q3-Q8'!F45</f>
        <v/>
      </c>
      <c r="J11" s="0">
        <f>$A11*'Optimal_Portfolio_Q3-Q8'!G34+(1-$A11)*'Optimal_Portfolio_Q3-Q8'!G45</f>
        <v/>
      </c>
      <c r="K11" s="0">
        <f>$A11*'Optimal_Portfolio_Q3-Q8'!H34+(1-$A11)*'Optimal_Portfolio_Q3-Q8'!H45</f>
        <v/>
      </c>
      <c r="L11" s="0">
        <f>$A11*'Optimal_Portfolio_Q3-Q8'!I34+(1-$A11)*'Optimal_Portfolio_Q3-Q8'!I45</f>
        <v/>
      </c>
      <c r="M11" s="0">
        <f>$A11*'Optimal_Portfolio_Q3-Q8'!J34+(1-$A11)*'Optimal_Portfolio_Q3-Q8'!J45</f>
        <v/>
      </c>
      <c r="N11" s="0">
        <f>$A11*'Optimal_Portfolio_Q3-Q8'!K34+(1-$A11)*'Optimal_Portfolio_Q3-Q8'!K45</f>
        <v/>
      </c>
      <c r="O11" s="0">
        <f>$A11*'Optimal_Portfolio_Q3-Q8'!L34+(1-$A11)*'Optimal_Portfolio_Q3-Q8'!L45</f>
        <v/>
      </c>
      <c r="P11" s="0">
        <f>$A11*'Optimal_Portfolio_Q3-Q8'!M34+(1-$A11)*'Optimal_Portfolio_Q3-Q8'!M45</f>
        <v/>
      </c>
      <c r="Q11" s="0">
        <f>$A11*'Optimal_Portfolio_Q3-Q8'!N34+(1-$A11)*'Optimal_Portfolio_Q3-Q8'!N45</f>
        <v/>
      </c>
      <c r="R11" s="0">
        <f>$A11*'Optimal_Portfolio_Q3-Q8'!O34+(1-$A11)*'Optimal_Portfolio_Q3-Q8'!O45</f>
        <v/>
      </c>
      <c r="S11" s="0">
        <f>$A11*'Optimal_Portfolio_Q3-Q8'!P34+(1-$A11)*'Optimal_Portfolio_Q3-Q8'!P45</f>
        <v/>
      </c>
      <c r="T11" s="0">
        <f>$A11*'Optimal_Portfolio_Q3-Q8'!Q34+(1-$A11)*'Optimal_Portfolio_Q3-Q8'!Q45</f>
        <v/>
      </c>
      <c r="U11" s="0">
        <f>$A11*'Optimal_Portfolio_Q3-Q8'!R34+(1-$A11)*'Optimal_Portfolio_Q3-Q8'!R45</f>
        <v/>
      </c>
      <c r="V11" s="0">
        <f>$A11*'Optimal_Portfolio_Q3-Q8'!S34+(1-$A11)*'Optimal_Portfolio_Q3-Q8'!S45</f>
        <v/>
      </c>
      <c r="W11" s="0">
        <f>$A11*'Optimal_Portfolio_Q3-Q8'!T34+(1-$A11)*'Optimal_Portfolio_Q3-Q8'!T45</f>
        <v/>
      </c>
      <c r="X11" s="0">
        <f>$A11*'Optimal_Portfolio_Q3-Q8'!U34+(1-$A11)*'Optimal_Portfolio_Q3-Q8'!U45</f>
        <v/>
      </c>
      <c r="Y11" s="0">
        <f>$A11*'Optimal_Portfolio_Q3-Q8'!V34+(1-$A11)*'Optimal_Portfolio_Q3-Q8'!V45</f>
        <v/>
      </c>
      <c r="Z11" s="0">
        <f>$A11*'Optimal_Portfolio_Q3-Q8'!W34+(1-$A11)*'Optimal_Portfolio_Q3-Q8'!W45</f>
        <v/>
      </c>
      <c r="AA11" s="0">
        <f>$A11*'Optimal_Portfolio_Q3-Q8'!X34+(1-$A11)*'Optimal_Portfolio_Q3-Q8'!X45</f>
        <v/>
      </c>
    </row>
    <row r="12">
      <c r="A12" s="0" t="n">
        <v>-1.3</v>
      </c>
      <c r="B12" s="0">
        <f>SUMPRODUCT(E12:AA12,'Optimal_Portfolio_Q3-Q8'!B31:X31)</f>
        <v/>
      </c>
      <c r="C12" s="0">
        <f>SUMPRODUCT(E12:AA12,MMULT(E12:AA12,'Optimal_Portfolio_Q3-Q8'!B4:X26))</f>
        <v/>
      </c>
      <c r="E12" s="0">
        <f>$A12*'Optimal_Portfolio_Q3-Q8'!B34+(1-$A12)*'Optimal_Portfolio_Q3-Q8'!B45</f>
        <v/>
      </c>
      <c r="F12" s="0">
        <f>$A12*'Optimal_Portfolio_Q3-Q8'!C34+(1-$A12)*'Optimal_Portfolio_Q3-Q8'!C45</f>
        <v/>
      </c>
      <c r="G12" s="0">
        <f>$A12*'Optimal_Portfolio_Q3-Q8'!D34+(1-$A12)*'Optimal_Portfolio_Q3-Q8'!D45</f>
        <v/>
      </c>
      <c r="H12" s="0">
        <f>$A12*'Optimal_Portfolio_Q3-Q8'!E34+(1-$A12)*'Optimal_Portfolio_Q3-Q8'!E45</f>
        <v/>
      </c>
      <c r="I12" s="0">
        <f>$A12*'Optimal_Portfolio_Q3-Q8'!F34+(1-$A12)*'Optimal_Portfolio_Q3-Q8'!F45</f>
        <v/>
      </c>
      <c r="J12" s="0">
        <f>$A12*'Optimal_Portfolio_Q3-Q8'!G34+(1-$A12)*'Optimal_Portfolio_Q3-Q8'!G45</f>
        <v/>
      </c>
      <c r="K12" s="0">
        <f>$A12*'Optimal_Portfolio_Q3-Q8'!H34+(1-$A12)*'Optimal_Portfolio_Q3-Q8'!H45</f>
        <v/>
      </c>
      <c r="L12" s="0">
        <f>$A12*'Optimal_Portfolio_Q3-Q8'!I34+(1-$A12)*'Optimal_Portfolio_Q3-Q8'!I45</f>
        <v/>
      </c>
      <c r="M12" s="0">
        <f>$A12*'Optimal_Portfolio_Q3-Q8'!J34+(1-$A12)*'Optimal_Portfolio_Q3-Q8'!J45</f>
        <v/>
      </c>
      <c r="N12" s="0">
        <f>$A12*'Optimal_Portfolio_Q3-Q8'!K34+(1-$A12)*'Optimal_Portfolio_Q3-Q8'!K45</f>
        <v/>
      </c>
      <c r="O12" s="0">
        <f>$A12*'Optimal_Portfolio_Q3-Q8'!L34+(1-$A12)*'Optimal_Portfolio_Q3-Q8'!L45</f>
        <v/>
      </c>
      <c r="P12" s="0">
        <f>$A12*'Optimal_Portfolio_Q3-Q8'!M34+(1-$A12)*'Optimal_Portfolio_Q3-Q8'!M45</f>
        <v/>
      </c>
      <c r="Q12" s="0">
        <f>$A12*'Optimal_Portfolio_Q3-Q8'!N34+(1-$A12)*'Optimal_Portfolio_Q3-Q8'!N45</f>
        <v/>
      </c>
      <c r="R12" s="0">
        <f>$A12*'Optimal_Portfolio_Q3-Q8'!O34+(1-$A12)*'Optimal_Portfolio_Q3-Q8'!O45</f>
        <v/>
      </c>
      <c r="S12" s="0">
        <f>$A12*'Optimal_Portfolio_Q3-Q8'!P34+(1-$A12)*'Optimal_Portfolio_Q3-Q8'!P45</f>
        <v/>
      </c>
      <c r="T12" s="0">
        <f>$A12*'Optimal_Portfolio_Q3-Q8'!Q34+(1-$A12)*'Optimal_Portfolio_Q3-Q8'!Q45</f>
        <v/>
      </c>
      <c r="U12" s="0">
        <f>$A12*'Optimal_Portfolio_Q3-Q8'!R34+(1-$A12)*'Optimal_Portfolio_Q3-Q8'!R45</f>
        <v/>
      </c>
      <c r="V12" s="0">
        <f>$A12*'Optimal_Portfolio_Q3-Q8'!S34+(1-$A12)*'Optimal_Portfolio_Q3-Q8'!S45</f>
        <v/>
      </c>
      <c r="W12" s="0">
        <f>$A12*'Optimal_Portfolio_Q3-Q8'!T34+(1-$A12)*'Optimal_Portfolio_Q3-Q8'!T45</f>
        <v/>
      </c>
      <c r="X12" s="0">
        <f>$A12*'Optimal_Portfolio_Q3-Q8'!U34+(1-$A12)*'Optimal_Portfolio_Q3-Q8'!U45</f>
        <v/>
      </c>
      <c r="Y12" s="0">
        <f>$A12*'Optimal_Portfolio_Q3-Q8'!V34+(1-$A12)*'Optimal_Portfolio_Q3-Q8'!V45</f>
        <v/>
      </c>
      <c r="Z12" s="0">
        <f>$A12*'Optimal_Portfolio_Q3-Q8'!W34+(1-$A12)*'Optimal_Portfolio_Q3-Q8'!W45</f>
        <v/>
      </c>
      <c r="AA12" s="0">
        <f>$A12*'Optimal_Portfolio_Q3-Q8'!X34+(1-$A12)*'Optimal_Portfolio_Q3-Q8'!X45</f>
        <v/>
      </c>
    </row>
    <row r="13">
      <c r="A13" s="0" t="n">
        <v>-1.2</v>
      </c>
      <c r="B13" s="0">
        <f>SUMPRODUCT(E13:AA13,'Optimal_Portfolio_Q3-Q8'!B31:X31)</f>
        <v/>
      </c>
      <c r="C13" s="0">
        <f>SUMPRODUCT(E13:AA13,MMULT(E13:AA13,'Optimal_Portfolio_Q3-Q8'!B4:X26))</f>
        <v/>
      </c>
      <c r="E13" s="0">
        <f>$A13*'Optimal_Portfolio_Q3-Q8'!B34+(1-$A13)*'Optimal_Portfolio_Q3-Q8'!B45</f>
        <v/>
      </c>
      <c r="F13" s="0">
        <f>$A13*'Optimal_Portfolio_Q3-Q8'!C34+(1-$A13)*'Optimal_Portfolio_Q3-Q8'!C45</f>
        <v/>
      </c>
      <c r="G13" s="0">
        <f>$A13*'Optimal_Portfolio_Q3-Q8'!D34+(1-$A13)*'Optimal_Portfolio_Q3-Q8'!D45</f>
        <v/>
      </c>
      <c r="H13" s="0">
        <f>$A13*'Optimal_Portfolio_Q3-Q8'!E34+(1-$A13)*'Optimal_Portfolio_Q3-Q8'!E45</f>
        <v/>
      </c>
      <c r="I13" s="0">
        <f>$A13*'Optimal_Portfolio_Q3-Q8'!F34+(1-$A13)*'Optimal_Portfolio_Q3-Q8'!F45</f>
        <v/>
      </c>
      <c r="J13" s="0">
        <f>$A13*'Optimal_Portfolio_Q3-Q8'!G34+(1-$A13)*'Optimal_Portfolio_Q3-Q8'!G45</f>
        <v/>
      </c>
      <c r="K13" s="0">
        <f>$A13*'Optimal_Portfolio_Q3-Q8'!H34+(1-$A13)*'Optimal_Portfolio_Q3-Q8'!H45</f>
        <v/>
      </c>
      <c r="L13" s="0">
        <f>$A13*'Optimal_Portfolio_Q3-Q8'!I34+(1-$A13)*'Optimal_Portfolio_Q3-Q8'!I45</f>
        <v/>
      </c>
      <c r="M13" s="0">
        <f>$A13*'Optimal_Portfolio_Q3-Q8'!J34+(1-$A13)*'Optimal_Portfolio_Q3-Q8'!J45</f>
        <v/>
      </c>
      <c r="N13" s="0">
        <f>$A13*'Optimal_Portfolio_Q3-Q8'!K34+(1-$A13)*'Optimal_Portfolio_Q3-Q8'!K45</f>
        <v/>
      </c>
      <c r="O13" s="0">
        <f>$A13*'Optimal_Portfolio_Q3-Q8'!L34+(1-$A13)*'Optimal_Portfolio_Q3-Q8'!L45</f>
        <v/>
      </c>
      <c r="P13" s="0">
        <f>$A13*'Optimal_Portfolio_Q3-Q8'!M34+(1-$A13)*'Optimal_Portfolio_Q3-Q8'!M45</f>
        <v/>
      </c>
      <c r="Q13" s="0">
        <f>$A13*'Optimal_Portfolio_Q3-Q8'!N34+(1-$A13)*'Optimal_Portfolio_Q3-Q8'!N45</f>
        <v/>
      </c>
      <c r="R13" s="0">
        <f>$A13*'Optimal_Portfolio_Q3-Q8'!O34+(1-$A13)*'Optimal_Portfolio_Q3-Q8'!O45</f>
        <v/>
      </c>
      <c r="S13" s="0">
        <f>$A13*'Optimal_Portfolio_Q3-Q8'!P34+(1-$A13)*'Optimal_Portfolio_Q3-Q8'!P45</f>
        <v/>
      </c>
      <c r="T13" s="0">
        <f>$A13*'Optimal_Portfolio_Q3-Q8'!Q34+(1-$A13)*'Optimal_Portfolio_Q3-Q8'!Q45</f>
        <v/>
      </c>
      <c r="U13" s="0">
        <f>$A13*'Optimal_Portfolio_Q3-Q8'!R34+(1-$A13)*'Optimal_Portfolio_Q3-Q8'!R45</f>
        <v/>
      </c>
      <c r="V13" s="0">
        <f>$A13*'Optimal_Portfolio_Q3-Q8'!S34+(1-$A13)*'Optimal_Portfolio_Q3-Q8'!S45</f>
        <v/>
      </c>
      <c r="W13" s="0">
        <f>$A13*'Optimal_Portfolio_Q3-Q8'!T34+(1-$A13)*'Optimal_Portfolio_Q3-Q8'!T45</f>
        <v/>
      </c>
      <c r="X13" s="0">
        <f>$A13*'Optimal_Portfolio_Q3-Q8'!U34+(1-$A13)*'Optimal_Portfolio_Q3-Q8'!U45</f>
        <v/>
      </c>
      <c r="Y13" s="0">
        <f>$A13*'Optimal_Portfolio_Q3-Q8'!V34+(1-$A13)*'Optimal_Portfolio_Q3-Q8'!V45</f>
        <v/>
      </c>
      <c r="Z13" s="0">
        <f>$A13*'Optimal_Portfolio_Q3-Q8'!W34+(1-$A13)*'Optimal_Portfolio_Q3-Q8'!W45</f>
        <v/>
      </c>
      <c r="AA13" s="0">
        <f>$A13*'Optimal_Portfolio_Q3-Q8'!X34+(1-$A13)*'Optimal_Portfolio_Q3-Q8'!X45</f>
        <v/>
      </c>
    </row>
    <row r="14">
      <c r="A14" s="0" t="n">
        <v>-1.1</v>
      </c>
      <c r="B14" s="0">
        <f>SUMPRODUCT(E14:AA14,'Optimal_Portfolio_Q3-Q8'!B31:X31)</f>
        <v/>
      </c>
      <c r="C14" s="0">
        <f>SUMPRODUCT(E14:AA14,MMULT(E14:AA14,'Optimal_Portfolio_Q3-Q8'!B4:X26))</f>
        <v/>
      </c>
      <c r="E14" s="0">
        <f>$A14*'Optimal_Portfolio_Q3-Q8'!B34+(1-$A14)*'Optimal_Portfolio_Q3-Q8'!B45</f>
        <v/>
      </c>
      <c r="F14" s="0">
        <f>$A14*'Optimal_Portfolio_Q3-Q8'!C34+(1-$A14)*'Optimal_Portfolio_Q3-Q8'!C45</f>
        <v/>
      </c>
      <c r="G14" s="0">
        <f>$A14*'Optimal_Portfolio_Q3-Q8'!D34+(1-$A14)*'Optimal_Portfolio_Q3-Q8'!D45</f>
        <v/>
      </c>
      <c r="H14" s="0">
        <f>$A14*'Optimal_Portfolio_Q3-Q8'!E34+(1-$A14)*'Optimal_Portfolio_Q3-Q8'!E45</f>
        <v/>
      </c>
      <c r="I14" s="0">
        <f>$A14*'Optimal_Portfolio_Q3-Q8'!F34+(1-$A14)*'Optimal_Portfolio_Q3-Q8'!F45</f>
        <v/>
      </c>
      <c r="J14" s="0">
        <f>$A14*'Optimal_Portfolio_Q3-Q8'!G34+(1-$A14)*'Optimal_Portfolio_Q3-Q8'!G45</f>
        <v/>
      </c>
      <c r="K14" s="0">
        <f>$A14*'Optimal_Portfolio_Q3-Q8'!H34+(1-$A14)*'Optimal_Portfolio_Q3-Q8'!H45</f>
        <v/>
      </c>
      <c r="L14" s="0">
        <f>$A14*'Optimal_Portfolio_Q3-Q8'!I34+(1-$A14)*'Optimal_Portfolio_Q3-Q8'!I45</f>
        <v/>
      </c>
      <c r="M14" s="0">
        <f>$A14*'Optimal_Portfolio_Q3-Q8'!J34+(1-$A14)*'Optimal_Portfolio_Q3-Q8'!J45</f>
        <v/>
      </c>
      <c r="N14" s="0">
        <f>$A14*'Optimal_Portfolio_Q3-Q8'!K34+(1-$A14)*'Optimal_Portfolio_Q3-Q8'!K45</f>
        <v/>
      </c>
      <c r="O14" s="0">
        <f>$A14*'Optimal_Portfolio_Q3-Q8'!L34+(1-$A14)*'Optimal_Portfolio_Q3-Q8'!L45</f>
        <v/>
      </c>
      <c r="P14" s="0">
        <f>$A14*'Optimal_Portfolio_Q3-Q8'!M34+(1-$A14)*'Optimal_Portfolio_Q3-Q8'!M45</f>
        <v/>
      </c>
      <c r="Q14" s="0">
        <f>$A14*'Optimal_Portfolio_Q3-Q8'!N34+(1-$A14)*'Optimal_Portfolio_Q3-Q8'!N45</f>
        <v/>
      </c>
      <c r="R14" s="0">
        <f>$A14*'Optimal_Portfolio_Q3-Q8'!O34+(1-$A14)*'Optimal_Portfolio_Q3-Q8'!O45</f>
        <v/>
      </c>
      <c r="S14" s="0">
        <f>$A14*'Optimal_Portfolio_Q3-Q8'!P34+(1-$A14)*'Optimal_Portfolio_Q3-Q8'!P45</f>
        <v/>
      </c>
      <c r="T14" s="0">
        <f>$A14*'Optimal_Portfolio_Q3-Q8'!Q34+(1-$A14)*'Optimal_Portfolio_Q3-Q8'!Q45</f>
        <v/>
      </c>
      <c r="U14" s="0">
        <f>$A14*'Optimal_Portfolio_Q3-Q8'!R34+(1-$A14)*'Optimal_Portfolio_Q3-Q8'!R45</f>
        <v/>
      </c>
      <c r="V14" s="0">
        <f>$A14*'Optimal_Portfolio_Q3-Q8'!S34+(1-$A14)*'Optimal_Portfolio_Q3-Q8'!S45</f>
        <v/>
      </c>
      <c r="W14" s="0">
        <f>$A14*'Optimal_Portfolio_Q3-Q8'!T34+(1-$A14)*'Optimal_Portfolio_Q3-Q8'!T45</f>
        <v/>
      </c>
      <c r="X14" s="0">
        <f>$A14*'Optimal_Portfolio_Q3-Q8'!U34+(1-$A14)*'Optimal_Portfolio_Q3-Q8'!U45</f>
        <v/>
      </c>
      <c r="Y14" s="0">
        <f>$A14*'Optimal_Portfolio_Q3-Q8'!V34+(1-$A14)*'Optimal_Portfolio_Q3-Q8'!V45</f>
        <v/>
      </c>
      <c r="Z14" s="0">
        <f>$A14*'Optimal_Portfolio_Q3-Q8'!W34+(1-$A14)*'Optimal_Portfolio_Q3-Q8'!W45</f>
        <v/>
      </c>
      <c r="AA14" s="0">
        <f>$A14*'Optimal_Portfolio_Q3-Q8'!X34+(1-$A14)*'Optimal_Portfolio_Q3-Q8'!X45</f>
        <v/>
      </c>
    </row>
    <row r="15">
      <c r="A15" s="0" t="n">
        <v>-1</v>
      </c>
      <c r="B15" s="0">
        <f>SUMPRODUCT(E15:AA15,'Optimal_Portfolio_Q3-Q8'!B31:X31)</f>
        <v/>
      </c>
      <c r="C15" s="0">
        <f>SUMPRODUCT(E15:AA15,MMULT(E15:AA15,'Optimal_Portfolio_Q3-Q8'!B4:X26))</f>
        <v/>
      </c>
      <c r="E15" s="0">
        <f>$A15*'Optimal_Portfolio_Q3-Q8'!B34+(1-$A15)*'Optimal_Portfolio_Q3-Q8'!B45</f>
        <v/>
      </c>
      <c r="F15" s="0">
        <f>$A15*'Optimal_Portfolio_Q3-Q8'!C34+(1-$A15)*'Optimal_Portfolio_Q3-Q8'!C45</f>
        <v/>
      </c>
      <c r="G15" s="0">
        <f>$A15*'Optimal_Portfolio_Q3-Q8'!D34+(1-$A15)*'Optimal_Portfolio_Q3-Q8'!D45</f>
        <v/>
      </c>
      <c r="H15" s="0">
        <f>$A15*'Optimal_Portfolio_Q3-Q8'!E34+(1-$A15)*'Optimal_Portfolio_Q3-Q8'!E45</f>
        <v/>
      </c>
      <c r="I15" s="0">
        <f>$A15*'Optimal_Portfolio_Q3-Q8'!F34+(1-$A15)*'Optimal_Portfolio_Q3-Q8'!F45</f>
        <v/>
      </c>
      <c r="J15" s="0">
        <f>$A15*'Optimal_Portfolio_Q3-Q8'!G34+(1-$A15)*'Optimal_Portfolio_Q3-Q8'!G45</f>
        <v/>
      </c>
      <c r="K15" s="0">
        <f>$A15*'Optimal_Portfolio_Q3-Q8'!H34+(1-$A15)*'Optimal_Portfolio_Q3-Q8'!H45</f>
        <v/>
      </c>
      <c r="L15" s="0">
        <f>$A15*'Optimal_Portfolio_Q3-Q8'!I34+(1-$A15)*'Optimal_Portfolio_Q3-Q8'!I45</f>
        <v/>
      </c>
      <c r="M15" s="0">
        <f>$A15*'Optimal_Portfolio_Q3-Q8'!J34+(1-$A15)*'Optimal_Portfolio_Q3-Q8'!J45</f>
        <v/>
      </c>
      <c r="N15" s="0">
        <f>$A15*'Optimal_Portfolio_Q3-Q8'!K34+(1-$A15)*'Optimal_Portfolio_Q3-Q8'!K45</f>
        <v/>
      </c>
      <c r="O15" s="0">
        <f>$A15*'Optimal_Portfolio_Q3-Q8'!L34+(1-$A15)*'Optimal_Portfolio_Q3-Q8'!L45</f>
        <v/>
      </c>
      <c r="P15" s="0">
        <f>$A15*'Optimal_Portfolio_Q3-Q8'!M34+(1-$A15)*'Optimal_Portfolio_Q3-Q8'!M45</f>
        <v/>
      </c>
      <c r="Q15" s="0">
        <f>$A15*'Optimal_Portfolio_Q3-Q8'!N34+(1-$A15)*'Optimal_Portfolio_Q3-Q8'!N45</f>
        <v/>
      </c>
      <c r="R15" s="0">
        <f>$A15*'Optimal_Portfolio_Q3-Q8'!O34+(1-$A15)*'Optimal_Portfolio_Q3-Q8'!O45</f>
        <v/>
      </c>
      <c r="S15" s="0">
        <f>$A15*'Optimal_Portfolio_Q3-Q8'!P34+(1-$A15)*'Optimal_Portfolio_Q3-Q8'!P45</f>
        <v/>
      </c>
      <c r="T15" s="0">
        <f>$A15*'Optimal_Portfolio_Q3-Q8'!Q34+(1-$A15)*'Optimal_Portfolio_Q3-Q8'!Q45</f>
        <v/>
      </c>
      <c r="U15" s="0">
        <f>$A15*'Optimal_Portfolio_Q3-Q8'!R34+(1-$A15)*'Optimal_Portfolio_Q3-Q8'!R45</f>
        <v/>
      </c>
      <c r="V15" s="0">
        <f>$A15*'Optimal_Portfolio_Q3-Q8'!S34+(1-$A15)*'Optimal_Portfolio_Q3-Q8'!S45</f>
        <v/>
      </c>
      <c r="W15" s="0">
        <f>$A15*'Optimal_Portfolio_Q3-Q8'!T34+(1-$A15)*'Optimal_Portfolio_Q3-Q8'!T45</f>
        <v/>
      </c>
      <c r="X15" s="0">
        <f>$A15*'Optimal_Portfolio_Q3-Q8'!U34+(1-$A15)*'Optimal_Portfolio_Q3-Q8'!U45</f>
        <v/>
      </c>
      <c r="Y15" s="0">
        <f>$A15*'Optimal_Portfolio_Q3-Q8'!V34+(1-$A15)*'Optimal_Portfolio_Q3-Q8'!V45</f>
        <v/>
      </c>
      <c r="Z15" s="0">
        <f>$A15*'Optimal_Portfolio_Q3-Q8'!W34+(1-$A15)*'Optimal_Portfolio_Q3-Q8'!W45</f>
        <v/>
      </c>
      <c r="AA15" s="0">
        <f>$A15*'Optimal_Portfolio_Q3-Q8'!X34+(1-$A15)*'Optimal_Portfolio_Q3-Q8'!X45</f>
        <v/>
      </c>
    </row>
    <row r="16">
      <c r="A16" s="0" t="n">
        <v>-0.9</v>
      </c>
      <c r="B16" s="0">
        <f>SUMPRODUCT(E16:AA16,'Optimal_Portfolio_Q3-Q8'!B31:X31)</f>
        <v/>
      </c>
      <c r="C16" s="0">
        <f>SUMPRODUCT(E16:AA16,MMULT(E16:AA16,'Optimal_Portfolio_Q3-Q8'!B4:X26))</f>
        <v/>
      </c>
      <c r="E16" s="0">
        <f>$A16*'Optimal_Portfolio_Q3-Q8'!B34+(1-$A16)*'Optimal_Portfolio_Q3-Q8'!B45</f>
        <v/>
      </c>
      <c r="F16" s="0">
        <f>$A16*'Optimal_Portfolio_Q3-Q8'!C34+(1-$A16)*'Optimal_Portfolio_Q3-Q8'!C45</f>
        <v/>
      </c>
      <c r="G16" s="0">
        <f>$A16*'Optimal_Portfolio_Q3-Q8'!D34+(1-$A16)*'Optimal_Portfolio_Q3-Q8'!D45</f>
        <v/>
      </c>
      <c r="H16" s="0">
        <f>$A16*'Optimal_Portfolio_Q3-Q8'!E34+(1-$A16)*'Optimal_Portfolio_Q3-Q8'!E45</f>
        <v/>
      </c>
      <c r="I16" s="0">
        <f>$A16*'Optimal_Portfolio_Q3-Q8'!F34+(1-$A16)*'Optimal_Portfolio_Q3-Q8'!F45</f>
        <v/>
      </c>
      <c r="J16" s="0">
        <f>$A16*'Optimal_Portfolio_Q3-Q8'!G34+(1-$A16)*'Optimal_Portfolio_Q3-Q8'!G45</f>
        <v/>
      </c>
      <c r="K16" s="0">
        <f>$A16*'Optimal_Portfolio_Q3-Q8'!H34+(1-$A16)*'Optimal_Portfolio_Q3-Q8'!H45</f>
        <v/>
      </c>
      <c r="L16" s="0">
        <f>$A16*'Optimal_Portfolio_Q3-Q8'!I34+(1-$A16)*'Optimal_Portfolio_Q3-Q8'!I45</f>
        <v/>
      </c>
      <c r="M16" s="0">
        <f>$A16*'Optimal_Portfolio_Q3-Q8'!J34+(1-$A16)*'Optimal_Portfolio_Q3-Q8'!J45</f>
        <v/>
      </c>
      <c r="N16" s="0">
        <f>$A16*'Optimal_Portfolio_Q3-Q8'!K34+(1-$A16)*'Optimal_Portfolio_Q3-Q8'!K45</f>
        <v/>
      </c>
      <c r="O16" s="0">
        <f>$A16*'Optimal_Portfolio_Q3-Q8'!L34+(1-$A16)*'Optimal_Portfolio_Q3-Q8'!L45</f>
        <v/>
      </c>
      <c r="P16" s="0">
        <f>$A16*'Optimal_Portfolio_Q3-Q8'!M34+(1-$A16)*'Optimal_Portfolio_Q3-Q8'!M45</f>
        <v/>
      </c>
      <c r="Q16" s="0">
        <f>$A16*'Optimal_Portfolio_Q3-Q8'!N34+(1-$A16)*'Optimal_Portfolio_Q3-Q8'!N45</f>
        <v/>
      </c>
      <c r="R16" s="0">
        <f>$A16*'Optimal_Portfolio_Q3-Q8'!O34+(1-$A16)*'Optimal_Portfolio_Q3-Q8'!O45</f>
        <v/>
      </c>
      <c r="S16" s="0">
        <f>$A16*'Optimal_Portfolio_Q3-Q8'!P34+(1-$A16)*'Optimal_Portfolio_Q3-Q8'!P45</f>
        <v/>
      </c>
      <c r="T16" s="0">
        <f>$A16*'Optimal_Portfolio_Q3-Q8'!Q34+(1-$A16)*'Optimal_Portfolio_Q3-Q8'!Q45</f>
        <v/>
      </c>
      <c r="U16" s="0">
        <f>$A16*'Optimal_Portfolio_Q3-Q8'!R34+(1-$A16)*'Optimal_Portfolio_Q3-Q8'!R45</f>
        <v/>
      </c>
      <c r="V16" s="0">
        <f>$A16*'Optimal_Portfolio_Q3-Q8'!S34+(1-$A16)*'Optimal_Portfolio_Q3-Q8'!S45</f>
        <v/>
      </c>
      <c r="W16" s="0">
        <f>$A16*'Optimal_Portfolio_Q3-Q8'!T34+(1-$A16)*'Optimal_Portfolio_Q3-Q8'!T45</f>
        <v/>
      </c>
      <c r="X16" s="0">
        <f>$A16*'Optimal_Portfolio_Q3-Q8'!U34+(1-$A16)*'Optimal_Portfolio_Q3-Q8'!U45</f>
        <v/>
      </c>
      <c r="Y16" s="0">
        <f>$A16*'Optimal_Portfolio_Q3-Q8'!V34+(1-$A16)*'Optimal_Portfolio_Q3-Q8'!V45</f>
        <v/>
      </c>
      <c r="Z16" s="0">
        <f>$A16*'Optimal_Portfolio_Q3-Q8'!W34+(1-$A16)*'Optimal_Portfolio_Q3-Q8'!W45</f>
        <v/>
      </c>
      <c r="AA16" s="0">
        <f>$A16*'Optimal_Portfolio_Q3-Q8'!X34+(1-$A16)*'Optimal_Portfolio_Q3-Q8'!X45</f>
        <v/>
      </c>
    </row>
    <row r="17">
      <c r="A17" s="0" t="n">
        <v>-0.8</v>
      </c>
      <c r="B17" s="0">
        <f>SUMPRODUCT(E17:AA17,'Optimal_Portfolio_Q3-Q8'!B31:X31)</f>
        <v/>
      </c>
      <c r="C17" s="0">
        <f>SUMPRODUCT(E17:AA17,MMULT(E17:AA17,'Optimal_Portfolio_Q3-Q8'!B4:X26))</f>
        <v/>
      </c>
      <c r="E17" s="0">
        <f>$A17*'Optimal_Portfolio_Q3-Q8'!B34+(1-$A17)*'Optimal_Portfolio_Q3-Q8'!B45</f>
        <v/>
      </c>
      <c r="F17" s="0">
        <f>$A17*'Optimal_Portfolio_Q3-Q8'!C34+(1-$A17)*'Optimal_Portfolio_Q3-Q8'!C45</f>
        <v/>
      </c>
      <c r="G17" s="0">
        <f>$A17*'Optimal_Portfolio_Q3-Q8'!D34+(1-$A17)*'Optimal_Portfolio_Q3-Q8'!D45</f>
        <v/>
      </c>
      <c r="H17" s="0">
        <f>$A17*'Optimal_Portfolio_Q3-Q8'!E34+(1-$A17)*'Optimal_Portfolio_Q3-Q8'!E45</f>
        <v/>
      </c>
      <c r="I17" s="0">
        <f>$A17*'Optimal_Portfolio_Q3-Q8'!F34+(1-$A17)*'Optimal_Portfolio_Q3-Q8'!F45</f>
        <v/>
      </c>
      <c r="J17" s="0">
        <f>$A17*'Optimal_Portfolio_Q3-Q8'!G34+(1-$A17)*'Optimal_Portfolio_Q3-Q8'!G45</f>
        <v/>
      </c>
      <c r="K17" s="0">
        <f>$A17*'Optimal_Portfolio_Q3-Q8'!H34+(1-$A17)*'Optimal_Portfolio_Q3-Q8'!H45</f>
        <v/>
      </c>
      <c r="L17" s="0">
        <f>$A17*'Optimal_Portfolio_Q3-Q8'!I34+(1-$A17)*'Optimal_Portfolio_Q3-Q8'!I45</f>
        <v/>
      </c>
      <c r="M17" s="0">
        <f>$A17*'Optimal_Portfolio_Q3-Q8'!J34+(1-$A17)*'Optimal_Portfolio_Q3-Q8'!J45</f>
        <v/>
      </c>
      <c r="N17" s="0">
        <f>$A17*'Optimal_Portfolio_Q3-Q8'!K34+(1-$A17)*'Optimal_Portfolio_Q3-Q8'!K45</f>
        <v/>
      </c>
      <c r="O17" s="0">
        <f>$A17*'Optimal_Portfolio_Q3-Q8'!L34+(1-$A17)*'Optimal_Portfolio_Q3-Q8'!L45</f>
        <v/>
      </c>
      <c r="P17" s="0">
        <f>$A17*'Optimal_Portfolio_Q3-Q8'!M34+(1-$A17)*'Optimal_Portfolio_Q3-Q8'!M45</f>
        <v/>
      </c>
      <c r="Q17" s="0">
        <f>$A17*'Optimal_Portfolio_Q3-Q8'!N34+(1-$A17)*'Optimal_Portfolio_Q3-Q8'!N45</f>
        <v/>
      </c>
      <c r="R17" s="0">
        <f>$A17*'Optimal_Portfolio_Q3-Q8'!O34+(1-$A17)*'Optimal_Portfolio_Q3-Q8'!O45</f>
        <v/>
      </c>
      <c r="S17" s="0">
        <f>$A17*'Optimal_Portfolio_Q3-Q8'!P34+(1-$A17)*'Optimal_Portfolio_Q3-Q8'!P45</f>
        <v/>
      </c>
      <c r="T17" s="0">
        <f>$A17*'Optimal_Portfolio_Q3-Q8'!Q34+(1-$A17)*'Optimal_Portfolio_Q3-Q8'!Q45</f>
        <v/>
      </c>
      <c r="U17" s="0">
        <f>$A17*'Optimal_Portfolio_Q3-Q8'!R34+(1-$A17)*'Optimal_Portfolio_Q3-Q8'!R45</f>
        <v/>
      </c>
      <c r="V17" s="0">
        <f>$A17*'Optimal_Portfolio_Q3-Q8'!S34+(1-$A17)*'Optimal_Portfolio_Q3-Q8'!S45</f>
        <v/>
      </c>
      <c r="W17" s="0">
        <f>$A17*'Optimal_Portfolio_Q3-Q8'!T34+(1-$A17)*'Optimal_Portfolio_Q3-Q8'!T45</f>
        <v/>
      </c>
      <c r="X17" s="0">
        <f>$A17*'Optimal_Portfolio_Q3-Q8'!U34+(1-$A17)*'Optimal_Portfolio_Q3-Q8'!U45</f>
        <v/>
      </c>
      <c r="Y17" s="0">
        <f>$A17*'Optimal_Portfolio_Q3-Q8'!V34+(1-$A17)*'Optimal_Portfolio_Q3-Q8'!V45</f>
        <v/>
      </c>
      <c r="Z17" s="0">
        <f>$A17*'Optimal_Portfolio_Q3-Q8'!W34+(1-$A17)*'Optimal_Portfolio_Q3-Q8'!W45</f>
        <v/>
      </c>
      <c r="AA17" s="0">
        <f>$A17*'Optimal_Portfolio_Q3-Q8'!X34+(1-$A17)*'Optimal_Portfolio_Q3-Q8'!X45</f>
        <v/>
      </c>
    </row>
    <row r="18">
      <c r="A18" s="0" t="n">
        <v>-0.7</v>
      </c>
      <c r="B18" s="0">
        <f>SUMPRODUCT(E18:AA18,'Optimal_Portfolio_Q3-Q8'!B31:X31)</f>
        <v/>
      </c>
      <c r="C18" s="0">
        <f>SUMPRODUCT(E18:AA18,MMULT(E18:AA18,'Optimal_Portfolio_Q3-Q8'!B4:X26))</f>
        <v/>
      </c>
      <c r="E18" s="0">
        <f>$A18*'Optimal_Portfolio_Q3-Q8'!B34+(1-$A18)*'Optimal_Portfolio_Q3-Q8'!B45</f>
        <v/>
      </c>
      <c r="F18" s="0">
        <f>$A18*'Optimal_Portfolio_Q3-Q8'!C34+(1-$A18)*'Optimal_Portfolio_Q3-Q8'!C45</f>
        <v/>
      </c>
      <c r="G18" s="0">
        <f>$A18*'Optimal_Portfolio_Q3-Q8'!D34+(1-$A18)*'Optimal_Portfolio_Q3-Q8'!D45</f>
        <v/>
      </c>
      <c r="H18" s="0">
        <f>$A18*'Optimal_Portfolio_Q3-Q8'!E34+(1-$A18)*'Optimal_Portfolio_Q3-Q8'!E45</f>
        <v/>
      </c>
      <c r="I18" s="0">
        <f>$A18*'Optimal_Portfolio_Q3-Q8'!F34+(1-$A18)*'Optimal_Portfolio_Q3-Q8'!F45</f>
        <v/>
      </c>
      <c r="J18" s="0">
        <f>$A18*'Optimal_Portfolio_Q3-Q8'!G34+(1-$A18)*'Optimal_Portfolio_Q3-Q8'!G45</f>
        <v/>
      </c>
      <c r="K18" s="0">
        <f>$A18*'Optimal_Portfolio_Q3-Q8'!H34+(1-$A18)*'Optimal_Portfolio_Q3-Q8'!H45</f>
        <v/>
      </c>
      <c r="L18" s="0">
        <f>$A18*'Optimal_Portfolio_Q3-Q8'!I34+(1-$A18)*'Optimal_Portfolio_Q3-Q8'!I45</f>
        <v/>
      </c>
      <c r="M18" s="0">
        <f>$A18*'Optimal_Portfolio_Q3-Q8'!J34+(1-$A18)*'Optimal_Portfolio_Q3-Q8'!J45</f>
        <v/>
      </c>
      <c r="N18" s="0">
        <f>$A18*'Optimal_Portfolio_Q3-Q8'!K34+(1-$A18)*'Optimal_Portfolio_Q3-Q8'!K45</f>
        <v/>
      </c>
      <c r="O18" s="0">
        <f>$A18*'Optimal_Portfolio_Q3-Q8'!L34+(1-$A18)*'Optimal_Portfolio_Q3-Q8'!L45</f>
        <v/>
      </c>
      <c r="P18" s="0">
        <f>$A18*'Optimal_Portfolio_Q3-Q8'!M34+(1-$A18)*'Optimal_Portfolio_Q3-Q8'!M45</f>
        <v/>
      </c>
      <c r="Q18" s="0">
        <f>$A18*'Optimal_Portfolio_Q3-Q8'!N34+(1-$A18)*'Optimal_Portfolio_Q3-Q8'!N45</f>
        <v/>
      </c>
      <c r="R18" s="0">
        <f>$A18*'Optimal_Portfolio_Q3-Q8'!O34+(1-$A18)*'Optimal_Portfolio_Q3-Q8'!O45</f>
        <v/>
      </c>
      <c r="S18" s="0">
        <f>$A18*'Optimal_Portfolio_Q3-Q8'!P34+(1-$A18)*'Optimal_Portfolio_Q3-Q8'!P45</f>
        <v/>
      </c>
      <c r="T18" s="0">
        <f>$A18*'Optimal_Portfolio_Q3-Q8'!Q34+(1-$A18)*'Optimal_Portfolio_Q3-Q8'!Q45</f>
        <v/>
      </c>
      <c r="U18" s="0">
        <f>$A18*'Optimal_Portfolio_Q3-Q8'!R34+(1-$A18)*'Optimal_Portfolio_Q3-Q8'!R45</f>
        <v/>
      </c>
      <c r="V18" s="0">
        <f>$A18*'Optimal_Portfolio_Q3-Q8'!S34+(1-$A18)*'Optimal_Portfolio_Q3-Q8'!S45</f>
        <v/>
      </c>
      <c r="W18" s="0">
        <f>$A18*'Optimal_Portfolio_Q3-Q8'!T34+(1-$A18)*'Optimal_Portfolio_Q3-Q8'!T45</f>
        <v/>
      </c>
      <c r="X18" s="0">
        <f>$A18*'Optimal_Portfolio_Q3-Q8'!U34+(1-$A18)*'Optimal_Portfolio_Q3-Q8'!U45</f>
        <v/>
      </c>
      <c r="Y18" s="0">
        <f>$A18*'Optimal_Portfolio_Q3-Q8'!V34+(1-$A18)*'Optimal_Portfolio_Q3-Q8'!V45</f>
        <v/>
      </c>
      <c r="Z18" s="0">
        <f>$A18*'Optimal_Portfolio_Q3-Q8'!W34+(1-$A18)*'Optimal_Portfolio_Q3-Q8'!W45</f>
        <v/>
      </c>
      <c r="AA18" s="0">
        <f>$A18*'Optimal_Portfolio_Q3-Q8'!X34+(1-$A18)*'Optimal_Portfolio_Q3-Q8'!X45</f>
        <v/>
      </c>
    </row>
    <row r="19">
      <c r="A19" s="0" t="n">
        <v>-0.6</v>
      </c>
      <c r="B19" s="0">
        <f>SUMPRODUCT(E19:AA19,'Optimal_Portfolio_Q3-Q8'!B31:X31)</f>
        <v/>
      </c>
      <c r="C19" s="0">
        <f>SUMPRODUCT(E19:AA19,MMULT(E19:AA19,'Optimal_Portfolio_Q3-Q8'!B4:X26))</f>
        <v/>
      </c>
      <c r="E19" s="0">
        <f>$A19*'Optimal_Portfolio_Q3-Q8'!B34+(1-$A19)*'Optimal_Portfolio_Q3-Q8'!B45</f>
        <v/>
      </c>
      <c r="F19" s="0">
        <f>$A19*'Optimal_Portfolio_Q3-Q8'!C34+(1-$A19)*'Optimal_Portfolio_Q3-Q8'!C45</f>
        <v/>
      </c>
      <c r="G19" s="0">
        <f>$A19*'Optimal_Portfolio_Q3-Q8'!D34+(1-$A19)*'Optimal_Portfolio_Q3-Q8'!D45</f>
        <v/>
      </c>
      <c r="H19" s="0">
        <f>$A19*'Optimal_Portfolio_Q3-Q8'!E34+(1-$A19)*'Optimal_Portfolio_Q3-Q8'!E45</f>
        <v/>
      </c>
      <c r="I19" s="0">
        <f>$A19*'Optimal_Portfolio_Q3-Q8'!F34+(1-$A19)*'Optimal_Portfolio_Q3-Q8'!F45</f>
        <v/>
      </c>
      <c r="J19" s="0">
        <f>$A19*'Optimal_Portfolio_Q3-Q8'!G34+(1-$A19)*'Optimal_Portfolio_Q3-Q8'!G45</f>
        <v/>
      </c>
      <c r="K19" s="0">
        <f>$A19*'Optimal_Portfolio_Q3-Q8'!H34+(1-$A19)*'Optimal_Portfolio_Q3-Q8'!H45</f>
        <v/>
      </c>
      <c r="L19" s="0">
        <f>$A19*'Optimal_Portfolio_Q3-Q8'!I34+(1-$A19)*'Optimal_Portfolio_Q3-Q8'!I45</f>
        <v/>
      </c>
      <c r="M19" s="0">
        <f>$A19*'Optimal_Portfolio_Q3-Q8'!J34+(1-$A19)*'Optimal_Portfolio_Q3-Q8'!J45</f>
        <v/>
      </c>
      <c r="N19" s="0">
        <f>$A19*'Optimal_Portfolio_Q3-Q8'!K34+(1-$A19)*'Optimal_Portfolio_Q3-Q8'!K45</f>
        <v/>
      </c>
      <c r="O19" s="0">
        <f>$A19*'Optimal_Portfolio_Q3-Q8'!L34+(1-$A19)*'Optimal_Portfolio_Q3-Q8'!L45</f>
        <v/>
      </c>
      <c r="P19" s="0">
        <f>$A19*'Optimal_Portfolio_Q3-Q8'!M34+(1-$A19)*'Optimal_Portfolio_Q3-Q8'!M45</f>
        <v/>
      </c>
      <c r="Q19" s="0">
        <f>$A19*'Optimal_Portfolio_Q3-Q8'!N34+(1-$A19)*'Optimal_Portfolio_Q3-Q8'!N45</f>
        <v/>
      </c>
      <c r="R19" s="0">
        <f>$A19*'Optimal_Portfolio_Q3-Q8'!O34+(1-$A19)*'Optimal_Portfolio_Q3-Q8'!O45</f>
        <v/>
      </c>
      <c r="S19" s="0">
        <f>$A19*'Optimal_Portfolio_Q3-Q8'!P34+(1-$A19)*'Optimal_Portfolio_Q3-Q8'!P45</f>
        <v/>
      </c>
      <c r="T19" s="0">
        <f>$A19*'Optimal_Portfolio_Q3-Q8'!Q34+(1-$A19)*'Optimal_Portfolio_Q3-Q8'!Q45</f>
        <v/>
      </c>
      <c r="U19" s="0">
        <f>$A19*'Optimal_Portfolio_Q3-Q8'!R34+(1-$A19)*'Optimal_Portfolio_Q3-Q8'!R45</f>
        <v/>
      </c>
      <c r="V19" s="0">
        <f>$A19*'Optimal_Portfolio_Q3-Q8'!S34+(1-$A19)*'Optimal_Portfolio_Q3-Q8'!S45</f>
        <v/>
      </c>
      <c r="W19" s="0">
        <f>$A19*'Optimal_Portfolio_Q3-Q8'!T34+(1-$A19)*'Optimal_Portfolio_Q3-Q8'!T45</f>
        <v/>
      </c>
      <c r="X19" s="0">
        <f>$A19*'Optimal_Portfolio_Q3-Q8'!U34+(1-$A19)*'Optimal_Portfolio_Q3-Q8'!U45</f>
        <v/>
      </c>
      <c r="Y19" s="0">
        <f>$A19*'Optimal_Portfolio_Q3-Q8'!V34+(1-$A19)*'Optimal_Portfolio_Q3-Q8'!V45</f>
        <v/>
      </c>
      <c r="Z19" s="0">
        <f>$A19*'Optimal_Portfolio_Q3-Q8'!W34+(1-$A19)*'Optimal_Portfolio_Q3-Q8'!W45</f>
        <v/>
      </c>
      <c r="AA19" s="0">
        <f>$A19*'Optimal_Portfolio_Q3-Q8'!X34+(1-$A19)*'Optimal_Portfolio_Q3-Q8'!X45</f>
        <v/>
      </c>
    </row>
    <row r="20">
      <c r="A20" s="0" t="n">
        <v>-0.5</v>
      </c>
      <c r="B20" s="0">
        <f>SUMPRODUCT(E20:AA20,'Optimal_Portfolio_Q3-Q8'!B31:X31)</f>
        <v/>
      </c>
      <c r="C20" s="0">
        <f>SUMPRODUCT(E20:AA20,MMULT(E20:AA20,'Optimal_Portfolio_Q3-Q8'!B4:X26))</f>
        <v/>
      </c>
      <c r="E20" s="0">
        <f>$A20*'Optimal_Portfolio_Q3-Q8'!B34+(1-$A20)*'Optimal_Portfolio_Q3-Q8'!B45</f>
        <v/>
      </c>
      <c r="F20" s="0">
        <f>$A20*'Optimal_Portfolio_Q3-Q8'!C34+(1-$A20)*'Optimal_Portfolio_Q3-Q8'!C45</f>
        <v/>
      </c>
      <c r="G20" s="0">
        <f>$A20*'Optimal_Portfolio_Q3-Q8'!D34+(1-$A20)*'Optimal_Portfolio_Q3-Q8'!D45</f>
        <v/>
      </c>
      <c r="H20" s="0">
        <f>$A20*'Optimal_Portfolio_Q3-Q8'!E34+(1-$A20)*'Optimal_Portfolio_Q3-Q8'!E45</f>
        <v/>
      </c>
      <c r="I20" s="0">
        <f>$A20*'Optimal_Portfolio_Q3-Q8'!F34+(1-$A20)*'Optimal_Portfolio_Q3-Q8'!F45</f>
        <v/>
      </c>
      <c r="J20" s="0">
        <f>$A20*'Optimal_Portfolio_Q3-Q8'!G34+(1-$A20)*'Optimal_Portfolio_Q3-Q8'!G45</f>
        <v/>
      </c>
      <c r="K20" s="0">
        <f>$A20*'Optimal_Portfolio_Q3-Q8'!H34+(1-$A20)*'Optimal_Portfolio_Q3-Q8'!H45</f>
        <v/>
      </c>
      <c r="L20" s="0">
        <f>$A20*'Optimal_Portfolio_Q3-Q8'!I34+(1-$A20)*'Optimal_Portfolio_Q3-Q8'!I45</f>
        <v/>
      </c>
      <c r="M20" s="0">
        <f>$A20*'Optimal_Portfolio_Q3-Q8'!J34+(1-$A20)*'Optimal_Portfolio_Q3-Q8'!J45</f>
        <v/>
      </c>
      <c r="N20" s="0">
        <f>$A20*'Optimal_Portfolio_Q3-Q8'!K34+(1-$A20)*'Optimal_Portfolio_Q3-Q8'!K45</f>
        <v/>
      </c>
      <c r="O20" s="0">
        <f>$A20*'Optimal_Portfolio_Q3-Q8'!L34+(1-$A20)*'Optimal_Portfolio_Q3-Q8'!L45</f>
        <v/>
      </c>
      <c r="P20" s="0">
        <f>$A20*'Optimal_Portfolio_Q3-Q8'!M34+(1-$A20)*'Optimal_Portfolio_Q3-Q8'!M45</f>
        <v/>
      </c>
      <c r="Q20" s="0">
        <f>$A20*'Optimal_Portfolio_Q3-Q8'!N34+(1-$A20)*'Optimal_Portfolio_Q3-Q8'!N45</f>
        <v/>
      </c>
      <c r="R20" s="0">
        <f>$A20*'Optimal_Portfolio_Q3-Q8'!O34+(1-$A20)*'Optimal_Portfolio_Q3-Q8'!O45</f>
        <v/>
      </c>
      <c r="S20" s="0">
        <f>$A20*'Optimal_Portfolio_Q3-Q8'!P34+(1-$A20)*'Optimal_Portfolio_Q3-Q8'!P45</f>
        <v/>
      </c>
      <c r="T20" s="0">
        <f>$A20*'Optimal_Portfolio_Q3-Q8'!Q34+(1-$A20)*'Optimal_Portfolio_Q3-Q8'!Q45</f>
        <v/>
      </c>
      <c r="U20" s="0">
        <f>$A20*'Optimal_Portfolio_Q3-Q8'!R34+(1-$A20)*'Optimal_Portfolio_Q3-Q8'!R45</f>
        <v/>
      </c>
      <c r="V20" s="0">
        <f>$A20*'Optimal_Portfolio_Q3-Q8'!S34+(1-$A20)*'Optimal_Portfolio_Q3-Q8'!S45</f>
        <v/>
      </c>
      <c r="W20" s="0">
        <f>$A20*'Optimal_Portfolio_Q3-Q8'!T34+(1-$A20)*'Optimal_Portfolio_Q3-Q8'!T45</f>
        <v/>
      </c>
      <c r="X20" s="0">
        <f>$A20*'Optimal_Portfolio_Q3-Q8'!U34+(1-$A20)*'Optimal_Portfolio_Q3-Q8'!U45</f>
        <v/>
      </c>
      <c r="Y20" s="0">
        <f>$A20*'Optimal_Portfolio_Q3-Q8'!V34+(1-$A20)*'Optimal_Portfolio_Q3-Q8'!V45</f>
        <v/>
      </c>
      <c r="Z20" s="0">
        <f>$A20*'Optimal_Portfolio_Q3-Q8'!W34+(1-$A20)*'Optimal_Portfolio_Q3-Q8'!W45</f>
        <v/>
      </c>
      <c r="AA20" s="0">
        <f>$A20*'Optimal_Portfolio_Q3-Q8'!X34+(1-$A20)*'Optimal_Portfolio_Q3-Q8'!X45</f>
        <v/>
      </c>
    </row>
    <row r="21">
      <c r="A21" s="0" t="n">
        <v>-0.4</v>
      </c>
      <c r="B21" s="0">
        <f>SUMPRODUCT(E21:AA21,'Optimal_Portfolio_Q3-Q8'!B31:X31)</f>
        <v/>
      </c>
      <c r="C21" s="0">
        <f>SUMPRODUCT(E21:AA21,MMULT(E21:AA21,'Optimal_Portfolio_Q3-Q8'!B4:X26))</f>
        <v/>
      </c>
      <c r="E21" s="0">
        <f>$A21*'Optimal_Portfolio_Q3-Q8'!B34+(1-$A21)*'Optimal_Portfolio_Q3-Q8'!B45</f>
        <v/>
      </c>
      <c r="F21" s="0">
        <f>$A21*'Optimal_Portfolio_Q3-Q8'!C34+(1-$A21)*'Optimal_Portfolio_Q3-Q8'!C45</f>
        <v/>
      </c>
      <c r="G21" s="0">
        <f>$A21*'Optimal_Portfolio_Q3-Q8'!D34+(1-$A21)*'Optimal_Portfolio_Q3-Q8'!D45</f>
        <v/>
      </c>
      <c r="H21" s="0">
        <f>$A21*'Optimal_Portfolio_Q3-Q8'!E34+(1-$A21)*'Optimal_Portfolio_Q3-Q8'!E45</f>
        <v/>
      </c>
      <c r="I21" s="0">
        <f>$A21*'Optimal_Portfolio_Q3-Q8'!F34+(1-$A21)*'Optimal_Portfolio_Q3-Q8'!F45</f>
        <v/>
      </c>
      <c r="J21" s="0">
        <f>$A21*'Optimal_Portfolio_Q3-Q8'!G34+(1-$A21)*'Optimal_Portfolio_Q3-Q8'!G45</f>
        <v/>
      </c>
      <c r="K21" s="0">
        <f>$A21*'Optimal_Portfolio_Q3-Q8'!H34+(1-$A21)*'Optimal_Portfolio_Q3-Q8'!H45</f>
        <v/>
      </c>
      <c r="L21" s="0">
        <f>$A21*'Optimal_Portfolio_Q3-Q8'!I34+(1-$A21)*'Optimal_Portfolio_Q3-Q8'!I45</f>
        <v/>
      </c>
      <c r="M21" s="0">
        <f>$A21*'Optimal_Portfolio_Q3-Q8'!J34+(1-$A21)*'Optimal_Portfolio_Q3-Q8'!J45</f>
        <v/>
      </c>
      <c r="N21" s="0">
        <f>$A21*'Optimal_Portfolio_Q3-Q8'!K34+(1-$A21)*'Optimal_Portfolio_Q3-Q8'!K45</f>
        <v/>
      </c>
      <c r="O21" s="0">
        <f>$A21*'Optimal_Portfolio_Q3-Q8'!L34+(1-$A21)*'Optimal_Portfolio_Q3-Q8'!L45</f>
        <v/>
      </c>
      <c r="P21" s="0">
        <f>$A21*'Optimal_Portfolio_Q3-Q8'!M34+(1-$A21)*'Optimal_Portfolio_Q3-Q8'!M45</f>
        <v/>
      </c>
      <c r="Q21" s="0">
        <f>$A21*'Optimal_Portfolio_Q3-Q8'!N34+(1-$A21)*'Optimal_Portfolio_Q3-Q8'!N45</f>
        <v/>
      </c>
      <c r="R21" s="0">
        <f>$A21*'Optimal_Portfolio_Q3-Q8'!O34+(1-$A21)*'Optimal_Portfolio_Q3-Q8'!O45</f>
        <v/>
      </c>
      <c r="S21" s="0">
        <f>$A21*'Optimal_Portfolio_Q3-Q8'!P34+(1-$A21)*'Optimal_Portfolio_Q3-Q8'!P45</f>
        <v/>
      </c>
      <c r="T21" s="0">
        <f>$A21*'Optimal_Portfolio_Q3-Q8'!Q34+(1-$A21)*'Optimal_Portfolio_Q3-Q8'!Q45</f>
        <v/>
      </c>
      <c r="U21" s="0">
        <f>$A21*'Optimal_Portfolio_Q3-Q8'!R34+(1-$A21)*'Optimal_Portfolio_Q3-Q8'!R45</f>
        <v/>
      </c>
      <c r="V21" s="0">
        <f>$A21*'Optimal_Portfolio_Q3-Q8'!S34+(1-$A21)*'Optimal_Portfolio_Q3-Q8'!S45</f>
        <v/>
      </c>
      <c r="W21" s="0">
        <f>$A21*'Optimal_Portfolio_Q3-Q8'!T34+(1-$A21)*'Optimal_Portfolio_Q3-Q8'!T45</f>
        <v/>
      </c>
      <c r="X21" s="0">
        <f>$A21*'Optimal_Portfolio_Q3-Q8'!U34+(1-$A21)*'Optimal_Portfolio_Q3-Q8'!U45</f>
        <v/>
      </c>
      <c r="Y21" s="0">
        <f>$A21*'Optimal_Portfolio_Q3-Q8'!V34+(1-$A21)*'Optimal_Portfolio_Q3-Q8'!V45</f>
        <v/>
      </c>
      <c r="Z21" s="0">
        <f>$A21*'Optimal_Portfolio_Q3-Q8'!W34+(1-$A21)*'Optimal_Portfolio_Q3-Q8'!W45</f>
        <v/>
      </c>
      <c r="AA21" s="0">
        <f>$A21*'Optimal_Portfolio_Q3-Q8'!X34+(1-$A21)*'Optimal_Portfolio_Q3-Q8'!X45</f>
        <v/>
      </c>
    </row>
    <row r="22">
      <c r="A22" s="0" t="n">
        <v>-0.3</v>
      </c>
      <c r="B22" s="0">
        <f>SUMPRODUCT(E22:AA22,'Optimal_Portfolio_Q3-Q8'!B31:X31)</f>
        <v/>
      </c>
      <c r="C22" s="0">
        <f>SUMPRODUCT(E22:AA22,MMULT(E22:AA22,'Optimal_Portfolio_Q3-Q8'!B4:X26))</f>
        <v/>
      </c>
      <c r="E22" s="0">
        <f>$A22*'Optimal_Portfolio_Q3-Q8'!B34+(1-$A22)*'Optimal_Portfolio_Q3-Q8'!B45</f>
        <v/>
      </c>
      <c r="F22" s="0">
        <f>$A22*'Optimal_Portfolio_Q3-Q8'!C34+(1-$A22)*'Optimal_Portfolio_Q3-Q8'!C45</f>
        <v/>
      </c>
      <c r="G22" s="0">
        <f>$A22*'Optimal_Portfolio_Q3-Q8'!D34+(1-$A22)*'Optimal_Portfolio_Q3-Q8'!D45</f>
        <v/>
      </c>
      <c r="H22" s="0">
        <f>$A22*'Optimal_Portfolio_Q3-Q8'!E34+(1-$A22)*'Optimal_Portfolio_Q3-Q8'!E45</f>
        <v/>
      </c>
      <c r="I22" s="0">
        <f>$A22*'Optimal_Portfolio_Q3-Q8'!F34+(1-$A22)*'Optimal_Portfolio_Q3-Q8'!F45</f>
        <v/>
      </c>
      <c r="J22" s="0">
        <f>$A22*'Optimal_Portfolio_Q3-Q8'!G34+(1-$A22)*'Optimal_Portfolio_Q3-Q8'!G45</f>
        <v/>
      </c>
      <c r="K22" s="0">
        <f>$A22*'Optimal_Portfolio_Q3-Q8'!H34+(1-$A22)*'Optimal_Portfolio_Q3-Q8'!H45</f>
        <v/>
      </c>
      <c r="L22" s="0">
        <f>$A22*'Optimal_Portfolio_Q3-Q8'!I34+(1-$A22)*'Optimal_Portfolio_Q3-Q8'!I45</f>
        <v/>
      </c>
      <c r="M22" s="0">
        <f>$A22*'Optimal_Portfolio_Q3-Q8'!J34+(1-$A22)*'Optimal_Portfolio_Q3-Q8'!J45</f>
        <v/>
      </c>
      <c r="N22" s="0">
        <f>$A22*'Optimal_Portfolio_Q3-Q8'!K34+(1-$A22)*'Optimal_Portfolio_Q3-Q8'!K45</f>
        <v/>
      </c>
      <c r="O22" s="0">
        <f>$A22*'Optimal_Portfolio_Q3-Q8'!L34+(1-$A22)*'Optimal_Portfolio_Q3-Q8'!L45</f>
        <v/>
      </c>
      <c r="P22" s="0">
        <f>$A22*'Optimal_Portfolio_Q3-Q8'!M34+(1-$A22)*'Optimal_Portfolio_Q3-Q8'!M45</f>
        <v/>
      </c>
      <c r="Q22" s="0">
        <f>$A22*'Optimal_Portfolio_Q3-Q8'!N34+(1-$A22)*'Optimal_Portfolio_Q3-Q8'!N45</f>
        <v/>
      </c>
      <c r="R22" s="0">
        <f>$A22*'Optimal_Portfolio_Q3-Q8'!O34+(1-$A22)*'Optimal_Portfolio_Q3-Q8'!O45</f>
        <v/>
      </c>
      <c r="S22" s="0">
        <f>$A22*'Optimal_Portfolio_Q3-Q8'!P34+(1-$A22)*'Optimal_Portfolio_Q3-Q8'!P45</f>
        <v/>
      </c>
      <c r="T22" s="0">
        <f>$A22*'Optimal_Portfolio_Q3-Q8'!Q34+(1-$A22)*'Optimal_Portfolio_Q3-Q8'!Q45</f>
        <v/>
      </c>
      <c r="U22" s="0">
        <f>$A22*'Optimal_Portfolio_Q3-Q8'!R34+(1-$A22)*'Optimal_Portfolio_Q3-Q8'!R45</f>
        <v/>
      </c>
      <c r="V22" s="0">
        <f>$A22*'Optimal_Portfolio_Q3-Q8'!S34+(1-$A22)*'Optimal_Portfolio_Q3-Q8'!S45</f>
        <v/>
      </c>
      <c r="W22" s="0">
        <f>$A22*'Optimal_Portfolio_Q3-Q8'!T34+(1-$A22)*'Optimal_Portfolio_Q3-Q8'!T45</f>
        <v/>
      </c>
      <c r="X22" s="0">
        <f>$A22*'Optimal_Portfolio_Q3-Q8'!U34+(1-$A22)*'Optimal_Portfolio_Q3-Q8'!U45</f>
        <v/>
      </c>
      <c r="Y22" s="0">
        <f>$A22*'Optimal_Portfolio_Q3-Q8'!V34+(1-$A22)*'Optimal_Portfolio_Q3-Q8'!V45</f>
        <v/>
      </c>
      <c r="Z22" s="0">
        <f>$A22*'Optimal_Portfolio_Q3-Q8'!W34+(1-$A22)*'Optimal_Portfolio_Q3-Q8'!W45</f>
        <v/>
      </c>
      <c r="AA22" s="0">
        <f>$A22*'Optimal_Portfolio_Q3-Q8'!X34+(1-$A22)*'Optimal_Portfolio_Q3-Q8'!X45</f>
        <v/>
      </c>
    </row>
    <row r="23">
      <c r="A23" s="0" t="n">
        <v>-0.2</v>
      </c>
      <c r="B23" s="0">
        <f>SUMPRODUCT(E23:AA23,'Optimal_Portfolio_Q3-Q8'!B31:X31)</f>
        <v/>
      </c>
      <c r="C23" s="0">
        <f>SUMPRODUCT(E23:AA23,MMULT(E23:AA23,'Optimal_Portfolio_Q3-Q8'!B4:X26))</f>
        <v/>
      </c>
      <c r="E23" s="0">
        <f>$A23*'Optimal_Portfolio_Q3-Q8'!B34+(1-$A23)*'Optimal_Portfolio_Q3-Q8'!B45</f>
        <v/>
      </c>
      <c r="F23" s="0">
        <f>$A23*'Optimal_Portfolio_Q3-Q8'!C34+(1-$A23)*'Optimal_Portfolio_Q3-Q8'!C45</f>
        <v/>
      </c>
      <c r="G23" s="0">
        <f>$A23*'Optimal_Portfolio_Q3-Q8'!D34+(1-$A23)*'Optimal_Portfolio_Q3-Q8'!D45</f>
        <v/>
      </c>
      <c r="H23" s="0">
        <f>$A23*'Optimal_Portfolio_Q3-Q8'!E34+(1-$A23)*'Optimal_Portfolio_Q3-Q8'!E45</f>
        <v/>
      </c>
      <c r="I23" s="0">
        <f>$A23*'Optimal_Portfolio_Q3-Q8'!F34+(1-$A23)*'Optimal_Portfolio_Q3-Q8'!F45</f>
        <v/>
      </c>
      <c r="J23" s="0">
        <f>$A23*'Optimal_Portfolio_Q3-Q8'!G34+(1-$A23)*'Optimal_Portfolio_Q3-Q8'!G45</f>
        <v/>
      </c>
      <c r="K23" s="0">
        <f>$A23*'Optimal_Portfolio_Q3-Q8'!H34+(1-$A23)*'Optimal_Portfolio_Q3-Q8'!H45</f>
        <v/>
      </c>
      <c r="L23" s="0">
        <f>$A23*'Optimal_Portfolio_Q3-Q8'!I34+(1-$A23)*'Optimal_Portfolio_Q3-Q8'!I45</f>
        <v/>
      </c>
      <c r="M23" s="0">
        <f>$A23*'Optimal_Portfolio_Q3-Q8'!J34+(1-$A23)*'Optimal_Portfolio_Q3-Q8'!J45</f>
        <v/>
      </c>
      <c r="N23" s="0">
        <f>$A23*'Optimal_Portfolio_Q3-Q8'!K34+(1-$A23)*'Optimal_Portfolio_Q3-Q8'!K45</f>
        <v/>
      </c>
      <c r="O23" s="0">
        <f>$A23*'Optimal_Portfolio_Q3-Q8'!L34+(1-$A23)*'Optimal_Portfolio_Q3-Q8'!L45</f>
        <v/>
      </c>
      <c r="P23" s="0">
        <f>$A23*'Optimal_Portfolio_Q3-Q8'!M34+(1-$A23)*'Optimal_Portfolio_Q3-Q8'!M45</f>
        <v/>
      </c>
      <c r="Q23" s="0">
        <f>$A23*'Optimal_Portfolio_Q3-Q8'!N34+(1-$A23)*'Optimal_Portfolio_Q3-Q8'!N45</f>
        <v/>
      </c>
      <c r="R23" s="0">
        <f>$A23*'Optimal_Portfolio_Q3-Q8'!O34+(1-$A23)*'Optimal_Portfolio_Q3-Q8'!O45</f>
        <v/>
      </c>
      <c r="S23" s="0">
        <f>$A23*'Optimal_Portfolio_Q3-Q8'!P34+(1-$A23)*'Optimal_Portfolio_Q3-Q8'!P45</f>
        <v/>
      </c>
      <c r="T23" s="0">
        <f>$A23*'Optimal_Portfolio_Q3-Q8'!Q34+(1-$A23)*'Optimal_Portfolio_Q3-Q8'!Q45</f>
        <v/>
      </c>
      <c r="U23" s="0">
        <f>$A23*'Optimal_Portfolio_Q3-Q8'!R34+(1-$A23)*'Optimal_Portfolio_Q3-Q8'!R45</f>
        <v/>
      </c>
      <c r="V23" s="0">
        <f>$A23*'Optimal_Portfolio_Q3-Q8'!S34+(1-$A23)*'Optimal_Portfolio_Q3-Q8'!S45</f>
        <v/>
      </c>
      <c r="W23" s="0">
        <f>$A23*'Optimal_Portfolio_Q3-Q8'!T34+(1-$A23)*'Optimal_Portfolio_Q3-Q8'!T45</f>
        <v/>
      </c>
      <c r="X23" s="0">
        <f>$A23*'Optimal_Portfolio_Q3-Q8'!U34+(1-$A23)*'Optimal_Portfolio_Q3-Q8'!U45</f>
        <v/>
      </c>
      <c r="Y23" s="0">
        <f>$A23*'Optimal_Portfolio_Q3-Q8'!V34+(1-$A23)*'Optimal_Portfolio_Q3-Q8'!V45</f>
        <v/>
      </c>
      <c r="Z23" s="0">
        <f>$A23*'Optimal_Portfolio_Q3-Q8'!W34+(1-$A23)*'Optimal_Portfolio_Q3-Q8'!W45</f>
        <v/>
      </c>
      <c r="AA23" s="0">
        <f>$A23*'Optimal_Portfolio_Q3-Q8'!X34+(1-$A23)*'Optimal_Portfolio_Q3-Q8'!X45</f>
        <v/>
      </c>
    </row>
    <row r="24">
      <c r="A24" s="0" t="n">
        <v>-0.1</v>
      </c>
      <c r="B24" s="0">
        <f>SUMPRODUCT(E24:AA24,'Optimal_Portfolio_Q3-Q8'!B31:X31)</f>
        <v/>
      </c>
      <c r="C24" s="0">
        <f>SUMPRODUCT(E24:AA24,MMULT(E24:AA24,'Optimal_Portfolio_Q3-Q8'!B4:X26))</f>
        <v/>
      </c>
      <c r="E24" s="0">
        <f>$A24*'Optimal_Portfolio_Q3-Q8'!B34+(1-$A24)*'Optimal_Portfolio_Q3-Q8'!B45</f>
        <v/>
      </c>
      <c r="F24" s="0">
        <f>$A24*'Optimal_Portfolio_Q3-Q8'!C34+(1-$A24)*'Optimal_Portfolio_Q3-Q8'!C45</f>
        <v/>
      </c>
      <c r="G24" s="0">
        <f>$A24*'Optimal_Portfolio_Q3-Q8'!D34+(1-$A24)*'Optimal_Portfolio_Q3-Q8'!D45</f>
        <v/>
      </c>
      <c r="H24" s="0">
        <f>$A24*'Optimal_Portfolio_Q3-Q8'!E34+(1-$A24)*'Optimal_Portfolio_Q3-Q8'!E45</f>
        <v/>
      </c>
      <c r="I24" s="0">
        <f>$A24*'Optimal_Portfolio_Q3-Q8'!F34+(1-$A24)*'Optimal_Portfolio_Q3-Q8'!F45</f>
        <v/>
      </c>
      <c r="J24" s="0">
        <f>$A24*'Optimal_Portfolio_Q3-Q8'!G34+(1-$A24)*'Optimal_Portfolio_Q3-Q8'!G45</f>
        <v/>
      </c>
      <c r="K24" s="0">
        <f>$A24*'Optimal_Portfolio_Q3-Q8'!H34+(1-$A24)*'Optimal_Portfolio_Q3-Q8'!H45</f>
        <v/>
      </c>
      <c r="L24" s="0">
        <f>$A24*'Optimal_Portfolio_Q3-Q8'!I34+(1-$A24)*'Optimal_Portfolio_Q3-Q8'!I45</f>
        <v/>
      </c>
      <c r="M24" s="0">
        <f>$A24*'Optimal_Portfolio_Q3-Q8'!J34+(1-$A24)*'Optimal_Portfolio_Q3-Q8'!J45</f>
        <v/>
      </c>
      <c r="N24" s="0">
        <f>$A24*'Optimal_Portfolio_Q3-Q8'!K34+(1-$A24)*'Optimal_Portfolio_Q3-Q8'!K45</f>
        <v/>
      </c>
      <c r="O24" s="0">
        <f>$A24*'Optimal_Portfolio_Q3-Q8'!L34+(1-$A24)*'Optimal_Portfolio_Q3-Q8'!L45</f>
        <v/>
      </c>
      <c r="P24" s="0">
        <f>$A24*'Optimal_Portfolio_Q3-Q8'!M34+(1-$A24)*'Optimal_Portfolio_Q3-Q8'!M45</f>
        <v/>
      </c>
      <c r="Q24" s="0">
        <f>$A24*'Optimal_Portfolio_Q3-Q8'!N34+(1-$A24)*'Optimal_Portfolio_Q3-Q8'!N45</f>
        <v/>
      </c>
      <c r="R24" s="0">
        <f>$A24*'Optimal_Portfolio_Q3-Q8'!O34+(1-$A24)*'Optimal_Portfolio_Q3-Q8'!O45</f>
        <v/>
      </c>
      <c r="S24" s="0">
        <f>$A24*'Optimal_Portfolio_Q3-Q8'!P34+(1-$A24)*'Optimal_Portfolio_Q3-Q8'!P45</f>
        <v/>
      </c>
      <c r="T24" s="0">
        <f>$A24*'Optimal_Portfolio_Q3-Q8'!Q34+(1-$A24)*'Optimal_Portfolio_Q3-Q8'!Q45</f>
        <v/>
      </c>
      <c r="U24" s="0">
        <f>$A24*'Optimal_Portfolio_Q3-Q8'!R34+(1-$A24)*'Optimal_Portfolio_Q3-Q8'!R45</f>
        <v/>
      </c>
      <c r="V24" s="0">
        <f>$A24*'Optimal_Portfolio_Q3-Q8'!S34+(1-$A24)*'Optimal_Portfolio_Q3-Q8'!S45</f>
        <v/>
      </c>
      <c r="W24" s="0">
        <f>$A24*'Optimal_Portfolio_Q3-Q8'!T34+(1-$A24)*'Optimal_Portfolio_Q3-Q8'!T45</f>
        <v/>
      </c>
      <c r="X24" s="0">
        <f>$A24*'Optimal_Portfolio_Q3-Q8'!U34+(1-$A24)*'Optimal_Portfolio_Q3-Q8'!U45</f>
        <v/>
      </c>
      <c r="Y24" s="0">
        <f>$A24*'Optimal_Portfolio_Q3-Q8'!V34+(1-$A24)*'Optimal_Portfolio_Q3-Q8'!V45</f>
        <v/>
      </c>
      <c r="Z24" s="0">
        <f>$A24*'Optimal_Portfolio_Q3-Q8'!W34+(1-$A24)*'Optimal_Portfolio_Q3-Q8'!W45</f>
        <v/>
      </c>
      <c r="AA24" s="0">
        <f>$A24*'Optimal_Portfolio_Q3-Q8'!X34+(1-$A24)*'Optimal_Portfolio_Q3-Q8'!X45</f>
        <v/>
      </c>
    </row>
    <row r="25">
      <c r="A25" s="0" t="n">
        <v>0</v>
      </c>
      <c r="B25" s="0">
        <f>SUMPRODUCT(E25:AA25,'Optimal_Portfolio_Q3-Q8'!B31:X31)</f>
        <v/>
      </c>
      <c r="C25" s="0">
        <f>SUMPRODUCT(E25:AA25,MMULT(E25:AA25,'Optimal_Portfolio_Q3-Q8'!B4:X26))</f>
        <v/>
      </c>
      <c r="E25" s="0">
        <f>$A25*'Optimal_Portfolio_Q3-Q8'!B34+(1-$A25)*'Optimal_Portfolio_Q3-Q8'!B45</f>
        <v/>
      </c>
      <c r="F25" s="0">
        <f>$A25*'Optimal_Portfolio_Q3-Q8'!C34+(1-$A25)*'Optimal_Portfolio_Q3-Q8'!C45</f>
        <v/>
      </c>
      <c r="G25" s="0">
        <f>$A25*'Optimal_Portfolio_Q3-Q8'!D34+(1-$A25)*'Optimal_Portfolio_Q3-Q8'!D45</f>
        <v/>
      </c>
      <c r="H25" s="0">
        <f>$A25*'Optimal_Portfolio_Q3-Q8'!E34+(1-$A25)*'Optimal_Portfolio_Q3-Q8'!E45</f>
        <v/>
      </c>
      <c r="I25" s="0">
        <f>$A25*'Optimal_Portfolio_Q3-Q8'!F34+(1-$A25)*'Optimal_Portfolio_Q3-Q8'!F45</f>
        <v/>
      </c>
      <c r="J25" s="0">
        <f>$A25*'Optimal_Portfolio_Q3-Q8'!G34+(1-$A25)*'Optimal_Portfolio_Q3-Q8'!G45</f>
        <v/>
      </c>
      <c r="K25" s="0">
        <f>$A25*'Optimal_Portfolio_Q3-Q8'!H34+(1-$A25)*'Optimal_Portfolio_Q3-Q8'!H45</f>
        <v/>
      </c>
      <c r="L25" s="0">
        <f>$A25*'Optimal_Portfolio_Q3-Q8'!I34+(1-$A25)*'Optimal_Portfolio_Q3-Q8'!I45</f>
        <v/>
      </c>
      <c r="M25" s="0">
        <f>$A25*'Optimal_Portfolio_Q3-Q8'!J34+(1-$A25)*'Optimal_Portfolio_Q3-Q8'!J45</f>
        <v/>
      </c>
      <c r="N25" s="0">
        <f>$A25*'Optimal_Portfolio_Q3-Q8'!K34+(1-$A25)*'Optimal_Portfolio_Q3-Q8'!K45</f>
        <v/>
      </c>
      <c r="O25" s="0">
        <f>$A25*'Optimal_Portfolio_Q3-Q8'!L34+(1-$A25)*'Optimal_Portfolio_Q3-Q8'!L45</f>
        <v/>
      </c>
      <c r="P25" s="0">
        <f>$A25*'Optimal_Portfolio_Q3-Q8'!M34+(1-$A25)*'Optimal_Portfolio_Q3-Q8'!M45</f>
        <v/>
      </c>
      <c r="Q25" s="0">
        <f>$A25*'Optimal_Portfolio_Q3-Q8'!N34+(1-$A25)*'Optimal_Portfolio_Q3-Q8'!N45</f>
        <v/>
      </c>
      <c r="R25" s="0">
        <f>$A25*'Optimal_Portfolio_Q3-Q8'!O34+(1-$A25)*'Optimal_Portfolio_Q3-Q8'!O45</f>
        <v/>
      </c>
      <c r="S25" s="0">
        <f>$A25*'Optimal_Portfolio_Q3-Q8'!P34+(1-$A25)*'Optimal_Portfolio_Q3-Q8'!P45</f>
        <v/>
      </c>
      <c r="T25" s="0">
        <f>$A25*'Optimal_Portfolio_Q3-Q8'!Q34+(1-$A25)*'Optimal_Portfolio_Q3-Q8'!Q45</f>
        <v/>
      </c>
      <c r="U25" s="0">
        <f>$A25*'Optimal_Portfolio_Q3-Q8'!R34+(1-$A25)*'Optimal_Portfolio_Q3-Q8'!R45</f>
        <v/>
      </c>
      <c r="V25" s="0">
        <f>$A25*'Optimal_Portfolio_Q3-Q8'!S34+(1-$A25)*'Optimal_Portfolio_Q3-Q8'!S45</f>
        <v/>
      </c>
      <c r="W25" s="0">
        <f>$A25*'Optimal_Portfolio_Q3-Q8'!T34+(1-$A25)*'Optimal_Portfolio_Q3-Q8'!T45</f>
        <v/>
      </c>
      <c r="X25" s="0">
        <f>$A25*'Optimal_Portfolio_Q3-Q8'!U34+(1-$A25)*'Optimal_Portfolio_Q3-Q8'!U45</f>
        <v/>
      </c>
      <c r="Y25" s="0">
        <f>$A25*'Optimal_Portfolio_Q3-Q8'!V34+(1-$A25)*'Optimal_Portfolio_Q3-Q8'!V45</f>
        <v/>
      </c>
      <c r="Z25" s="0">
        <f>$A25*'Optimal_Portfolio_Q3-Q8'!W34+(1-$A25)*'Optimal_Portfolio_Q3-Q8'!W45</f>
        <v/>
      </c>
      <c r="AA25" s="0">
        <f>$A25*'Optimal_Portfolio_Q3-Q8'!X34+(1-$A25)*'Optimal_Portfolio_Q3-Q8'!X45</f>
        <v/>
      </c>
    </row>
    <row r="26">
      <c r="A26" s="0" t="n">
        <v>0.1</v>
      </c>
      <c r="B26" s="0">
        <f>SUMPRODUCT(E26:AA26,'Optimal_Portfolio_Q3-Q8'!B31:X31)</f>
        <v/>
      </c>
      <c r="C26" s="0">
        <f>SUMPRODUCT(E26:AA26,MMULT(E26:AA26,'Optimal_Portfolio_Q3-Q8'!B4:X26))</f>
        <v/>
      </c>
      <c r="E26" s="0">
        <f>$A26*'Optimal_Portfolio_Q3-Q8'!B34+(1-$A26)*'Optimal_Portfolio_Q3-Q8'!B45</f>
        <v/>
      </c>
      <c r="F26" s="0">
        <f>$A26*'Optimal_Portfolio_Q3-Q8'!C34+(1-$A26)*'Optimal_Portfolio_Q3-Q8'!C45</f>
        <v/>
      </c>
      <c r="G26" s="0">
        <f>$A26*'Optimal_Portfolio_Q3-Q8'!D34+(1-$A26)*'Optimal_Portfolio_Q3-Q8'!D45</f>
        <v/>
      </c>
      <c r="H26" s="0">
        <f>$A26*'Optimal_Portfolio_Q3-Q8'!E34+(1-$A26)*'Optimal_Portfolio_Q3-Q8'!E45</f>
        <v/>
      </c>
      <c r="I26" s="0">
        <f>$A26*'Optimal_Portfolio_Q3-Q8'!F34+(1-$A26)*'Optimal_Portfolio_Q3-Q8'!F45</f>
        <v/>
      </c>
      <c r="J26" s="0">
        <f>$A26*'Optimal_Portfolio_Q3-Q8'!G34+(1-$A26)*'Optimal_Portfolio_Q3-Q8'!G45</f>
        <v/>
      </c>
      <c r="K26" s="0">
        <f>$A26*'Optimal_Portfolio_Q3-Q8'!H34+(1-$A26)*'Optimal_Portfolio_Q3-Q8'!H45</f>
        <v/>
      </c>
      <c r="L26" s="0">
        <f>$A26*'Optimal_Portfolio_Q3-Q8'!I34+(1-$A26)*'Optimal_Portfolio_Q3-Q8'!I45</f>
        <v/>
      </c>
      <c r="M26" s="0">
        <f>$A26*'Optimal_Portfolio_Q3-Q8'!J34+(1-$A26)*'Optimal_Portfolio_Q3-Q8'!J45</f>
        <v/>
      </c>
      <c r="N26" s="0">
        <f>$A26*'Optimal_Portfolio_Q3-Q8'!K34+(1-$A26)*'Optimal_Portfolio_Q3-Q8'!K45</f>
        <v/>
      </c>
      <c r="O26" s="0">
        <f>$A26*'Optimal_Portfolio_Q3-Q8'!L34+(1-$A26)*'Optimal_Portfolio_Q3-Q8'!L45</f>
        <v/>
      </c>
      <c r="P26" s="0">
        <f>$A26*'Optimal_Portfolio_Q3-Q8'!M34+(1-$A26)*'Optimal_Portfolio_Q3-Q8'!M45</f>
        <v/>
      </c>
      <c r="Q26" s="0">
        <f>$A26*'Optimal_Portfolio_Q3-Q8'!N34+(1-$A26)*'Optimal_Portfolio_Q3-Q8'!N45</f>
        <v/>
      </c>
      <c r="R26" s="0">
        <f>$A26*'Optimal_Portfolio_Q3-Q8'!O34+(1-$A26)*'Optimal_Portfolio_Q3-Q8'!O45</f>
        <v/>
      </c>
      <c r="S26" s="0">
        <f>$A26*'Optimal_Portfolio_Q3-Q8'!P34+(1-$A26)*'Optimal_Portfolio_Q3-Q8'!P45</f>
        <v/>
      </c>
      <c r="T26" s="0">
        <f>$A26*'Optimal_Portfolio_Q3-Q8'!Q34+(1-$A26)*'Optimal_Portfolio_Q3-Q8'!Q45</f>
        <v/>
      </c>
      <c r="U26" s="0">
        <f>$A26*'Optimal_Portfolio_Q3-Q8'!R34+(1-$A26)*'Optimal_Portfolio_Q3-Q8'!R45</f>
        <v/>
      </c>
      <c r="V26" s="0">
        <f>$A26*'Optimal_Portfolio_Q3-Q8'!S34+(1-$A26)*'Optimal_Portfolio_Q3-Q8'!S45</f>
        <v/>
      </c>
      <c r="W26" s="0">
        <f>$A26*'Optimal_Portfolio_Q3-Q8'!T34+(1-$A26)*'Optimal_Portfolio_Q3-Q8'!T45</f>
        <v/>
      </c>
      <c r="X26" s="0">
        <f>$A26*'Optimal_Portfolio_Q3-Q8'!U34+(1-$A26)*'Optimal_Portfolio_Q3-Q8'!U45</f>
        <v/>
      </c>
      <c r="Y26" s="0">
        <f>$A26*'Optimal_Portfolio_Q3-Q8'!V34+(1-$A26)*'Optimal_Portfolio_Q3-Q8'!V45</f>
        <v/>
      </c>
      <c r="Z26" s="0">
        <f>$A26*'Optimal_Portfolio_Q3-Q8'!W34+(1-$A26)*'Optimal_Portfolio_Q3-Q8'!W45</f>
        <v/>
      </c>
      <c r="AA26" s="0">
        <f>$A26*'Optimal_Portfolio_Q3-Q8'!X34+(1-$A26)*'Optimal_Portfolio_Q3-Q8'!X45</f>
        <v/>
      </c>
    </row>
    <row r="27">
      <c r="A27" s="0" t="n">
        <v>0.2</v>
      </c>
      <c r="B27" s="0">
        <f>SUMPRODUCT(E27:AA27,'Optimal_Portfolio_Q3-Q8'!B31:X31)</f>
        <v/>
      </c>
      <c r="C27" s="0">
        <f>SUMPRODUCT(E27:AA27,MMULT(E27:AA27,'Optimal_Portfolio_Q3-Q8'!B4:X26))</f>
        <v/>
      </c>
      <c r="E27" s="0">
        <f>$A27*'Optimal_Portfolio_Q3-Q8'!B34+(1-$A27)*'Optimal_Portfolio_Q3-Q8'!B45</f>
        <v/>
      </c>
      <c r="F27" s="0">
        <f>$A27*'Optimal_Portfolio_Q3-Q8'!C34+(1-$A27)*'Optimal_Portfolio_Q3-Q8'!C45</f>
        <v/>
      </c>
      <c r="G27" s="0">
        <f>$A27*'Optimal_Portfolio_Q3-Q8'!D34+(1-$A27)*'Optimal_Portfolio_Q3-Q8'!D45</f>
        <v/>
      </c>
      <c r="H27" s="0">
        <f>$A27*'Optimal_Portfolio_Q3-Q8'!E34+(1-$A27)*'Optimal_Portfolio_Q3-Q8'!E45</f>
        <v/>
      </c>
      <c r="I27" s="0">
        <f>$A27*'Optimal_Portfolio_Q3-Q8'!F34+(1-$A27)*'Optimal_Portfolio_Q3-Q8'!F45</f>
        <v/>
      </c>
      <c r="J27" s="0">
        <f>$A27*'Optimal_Portfolio_Q3-Q8'!G34+(1-$A27)*'Optimal_Portfolio_Q3-Q8'!G45</f>
        <v/>
      </c>
      <c r="K27" s="0">
        <f>$A27*'Optimal_Portfolio_Q3-Q8'!H34+(1-$A27)*'Optimal_Portfolio_Q3-Q8'!H45</f>
        <v/>
      </c>
      <c r="L27" s="0">
        <f>$A27*'Optimal_Portfolio_Q3-Q8'!I34+(1-$A27)*'Optimal_Portfolio_Q3-Q8'!I45</f>
        <v/>
      </c>
      <c r="M27" s="0">
        <f>$A27*'Optimal_Portfolio_Q3-Q8'!J34+(1-$A27)*'Optimal_Portfolio_Q3-Q8'!J45</f>
        <v/>
      </c>
      <c r="N27" s="0">
        <f>$A27*'Optimal_Portfolio_Q3-Q8'!K34+(1-$A27)*'Optimal_Portfolio_Q3-Q8'!K45</f>
        <v/>
      </c>
      <c r="O27" s="0">
        <f>$A27*'Optimal_Portfolio_Q3-Q8'!L34+(1-$A27)*'Optimal_Portfolio_Q3-Q8'!L45</f>
        <v/>
      </c>
      <c r="P27" s="0">
        <f>$A27*'Optimal_Portfolio_Q3-Q8'!M34+(1-$A27)*'Optimal_Portfolio_Q3-Q8'!M45</f>
        <v/>
      </c>
      <c r="Q27" s="0">
        <f>$A27*'Optimal_Portfolio_Q3-Q8'!N34+(1-$A27)*'Optimal_Portfolio_Q3-Q8'!N45</f>
        <v/>
      </c>
      <c r="R27" s="0">
        <f>$A27*'Optimal_Portfolio_Q3-Q8'!O34+(1-$A27)*'Optimal_Portfolio_Q3-Q8'!O45</f>
        <v/>
      </c>
      <c r="S27" s="0">
        <f>$A27*'Optimal_Portfolio_Q3-Q8'!P34+(1-$A27)*'Optimal_Portfolio_Q3-Q8'!P45</f>
        <v/>
      </c>
      <c r="T27" s="0">
        <f>$A27*'Optimal_Portfolio_Q3-Q8'!Q34+(1-$A27)*'Optimal_Portfolio_Q3-Q8'!Q45</f>
        <v/>
      </c>
      <c r="U27" s="0">
        <f>$A27*'Optimal_Portfolio_Q3-Q8'!R34+(1-$A27)*'Optimal_Portfolio_Q3-Q8'!R45</f>
        <v/>
      </c>
      <c r="V27" s="0">
        <f>$A27*'Optimal_Portfolio_Q3-Q8'!S34+(1-$A27)*'Optimal_Portfolio_Q3-Q8'!S45</f>
        <v/>
      </c>
      <c r="W27" s="0">
        <f>$A27*'Optimal_Portfolio_Q3-Q8'!T34+(1-$A27)*'Optimal_Portfolio_Q3-Q8'!T45</f>
        <v/>
      </c>
      <c r="X27" s="0">
        <f>$A27*'Optimal_Portfolio_Q3-Q8'!U34+(1-$A27)*'Optimal_Portfolio_Q3-Q8'!U45</f>
        <v/>
      </c>
      <c r="Y27" s="0">
        <f>$A27*'Optimal_Portfolio_Q3-Q8'!V34+(1-$A27)*'Optimal_Portfolio_Q3-Q8'!V45</f>
        <v/>
      </c>
      <c r="Z27" s="0">
        <f>$A27*'Optimal_Portfolio_Q3-Q8'!W34+(1-$A27)*'Optimal_Portfolio_Q3-Q8'!W45</f>
        <v/>
      </c>
      <c r="AA27" s="0">
        <f>$A27*'Optimal_Portfolio_Q3-Q8'!X34+(1-$A27)*'Optimal_Portfolio_Q3-Q8'!X45</f>
        <v/>
      </c>
    </row>
    <row r="28">
      <c r="A28" s="0" t="n">
        <v>0.3</v>
      </c>
      <c r="B28" s="0">
        <f>SUMPRODUCT(E28:AA28,'Optimal_Portfolio_Q3-Q8'!B31:X31)</f>
        <v/>
      </c>
      <c r="C28" s="0">
        <f>SUMPRODUCT(E28:AA28,MMULT(E28:AA28,'Optimal_Portfolio_Q3-Q8'!B4:X26))</f>
        <v/>
      </c>
      <c r="E28" s="0">
        <f>$A28*'Optimal_Portfolio_Q3-Q8'!B34+(1-$A28)*'Optimal_Portfolio_Q3-Q8'!B45</f>
        <v/>
      </c>
      <c r="F28" s="0">
        <f>$A28*'Optimal_Portfolio_Q3-Q8'!C34+(1-$A28)*'Optimal_Portfolio_Q3-Q8'!C45</f>
        <v/>
      </c>
      <c r="G28" s="0">
        <f>$A28*'Optimal_Portfolio_Q3-Q8'!D34+(1-$A28)*'Optimal_Portfolio_Q3-Q8'!D45</f>
        <v/>
      </c>
      <c r="H28" s="0">
        <f>$A28*'Optimal_Portfolio_Q3-Q8'!E34+(1-$A28)*'Optimal_Portfolio_Q3-Q8'!E45</f>
        <v/>
      </c>
      <c r="I28" s="0">
        <f>$A28*'Optimal_Portfolio_Q3-Q8'!F34+(1-$A28)*'Optimal_Portfolio_Q3-Q8'!F45</f>
        <v/>
      </c>
      <c r="J28" s="0">
        <f>$A28*'Optimal_Portfolio_Q3-Q8'!G34+(1-$A28)*'Optimal_Portfolio_Q3-Q8'!G45</f>
        <v/>
      </c>
      <c r="K28" s="0">
        <f>$A28*'Optimal_Portfolio_Q3-Q8'!H34+(1-$A28)*'Optimal_Portfolio_Q3-Q8'!H45</f>
        <v/>
      </c>
      <c r="L28" s="0">
        <f>$A28*'Optimal_Portfolio_Q3-Q8'!I34+(1-$A28)*'Optimal_Portfolio_Q3-Q8'!I45</f>
        <v/>
      </c>
      <c r="M28" s="0">
        <f>$A28*'Optimal_Portfolio_Q3-Q8'!J34+(1-$A28)*'Optimal_Portfolio_Q3-Q8'!J45</f>
        <v/>
      </c>
      <c r="N28" s="0">
        <f>$A28*'Optimal_Portfolio_Q3-Q8'!K34+(1-$A28)*'Optimal_Portfolio_Q3-Q8'!K45</f>
        <v/>
      </c>
      <c r="O28" s="0">
        <f>$A28*'Optimal_Portfolio_Q3-Q8'!L34+(1-$A28)*'Optimal_Portfolio_Q3-Q8'!L45</f>
        <v/>
      </c>
      <c r="P28" s="0">
        <f>$A28*'Optimal_Portfolio_Q3-Q8'!M34+(1-$A28)*'Optimal_Portfolio_Q3-Q8'!M45</f>
        <v/>
      </c>
      <c r="Q28" s="0">
        <f>$A28*'Optimal_Portfolio_Q3-Q8'!N34+(1-$A28)*'Optimal_Portfolio_Q3-Q8'!N45</f>
        <v/>
      </c>
      <c r="R28" s="0">
        <f>$A28*'Optimal_Portfolio_Q3-Q8'!O34+(1-$A28)*'Optimal_Portfolio_Q3-Q8'!O45</f>
        <v/>
      </c>
      <c r="S28" s="0">
        <f>$A28*'Optimal_Portfolio_Q3-Q8'!P34+(1-$A28)*'Optimal_Portfolio_Q3-Q8'!P45</f>
        <v/>
      </c>
      <c r="T28" s="0">
        <f>$A28*'Optimal_Portfolio_Q3-Q8'!Q34+(1-$A28)*'Optimal_Portfolio_Q3-Q8'!Q45</f>
        <v/>
      </c>
      <c r="U28" s="0">
        <f>$A28*'Optimal_Portfolio_Q3-Q8'!R34+(1-$A28)*'Optimal_Portfolio_Q3-Q8'!R45</f>
        <v/>
      </c>
      <c r="V28" s="0">
        <f>$A28*'Optimal_Portfolio_Q3-Q8'!S34+(1-$A28)*'Optimal_Portfolio_Q3-Q8'!S45</f>
        <v/>
      </c>
      <c r="W28" s="0">
        <f>$A28*'Optimal_Portfolio_Q3-Q8'!T34+(1-$A28)*'Optimal_Portfolio_Q3-Q8'!T45</f>
        <v/>
      </c>
      <c r="X28" s="0">
        <f>$A28*'Optimal_Portfolio_Q3-Q8'!U34+(1-$A28)*'Optimal_Portfolio_Q3-Q8'!U45</f>
        <v/>
      </c>
      <c r="Y28" s="0">
        <f>$A28*'Optimal_Portfolio_Q3-Q8'!V34+(1-$A28)*'Optimal_Portfolio_Q3-Q8'!V45</f>
        <v/>
      </c>
      <c r="Z28" s="0">
        <f>$A28*'Optimal_Portfolio_Q3-Q8'!W34+(1-$A28)*'Optimal_Portfolio_Q3-Q8'!W45</f>
        <v/>
      </c>
      <c r="AA28" s="0">
        <f>$A28*'Optimal_Portfolio_Q3-Q8'!X34+(1-$A28)*'Optimal_Portfolio_Q3-Q8'!X45</f>
        <v/>
      </c>
    </row>
    <row r="29">
      <c r="A29" s="0" t="n">
        <v>0.4</v>
      </c>
      <c r="B29" s="0">
        <f>SUMPRODUCT(E29:AA29,'Optimal_Portfolio_Q3-Q8'!B31:X31)</f>
        <v/>
      </c>
      <c r="C29" s="0">
        <f>SUMPRODUCT(E29:AA29,MMULT(E29:AA29,'Optimal_Portfolio_Q3-Q8'!B4:X26))</f>
        <v/>
      </c>
      <c r="E29" s="0">
        <f>$A29*'Optimal_Portfolio_Q3-Q8'!B34+(1-$A29)*'Optimal_Portfolio_Q3-Q8'!B45</f>
        <v/>
      </c>
      <c r="F29" s="0">
        <f>$A29*'Optimal_Portfolio_Q3-Q8'!C34+(1-$A29)*'Optimal_Portfolio_Q3-Q8'!C45</f>
        <v/>
      </c>
      <c r="G29" s="0">
        <f>$A29*'Optimal_Portfolio_Q3-Q8'!D34+(1-$A29)*'Optimal_Portfolio_Q3-Q8'!D45</f>
        <v/>
      </c>
      <c r="H29" s="0">
        <f>$A29*'Optimal_Portfolio_Q3-Q8'!E34+(1-$A29)*'Optimal_Portfolio_Q3-Q8'!E45</f>
        <v/>
      </c>
      <c r="I29" s="0">
        <f>$A29*'Optimal_Portfolio_Q3-Q8'!F34+(1-$A29)*'Optimal_Portfolio_Q3-Q8'!F45</f>
        <v/>
      </c>
      <c r="J29" s="0">
        <f>$A29*'Optimal_Portfolio_Q3-Q8'!G34+(1-$A29)*'Optimal_Portfolio_Q3-Q8'!G45</f>
        <v/>
      </c>
      <c r="K29" s="0">
        <f>$A29*'Optimal_Portfolio_Q3-Q8'!H34+(1-$A29)*'Optimal_Portfolio_Q3-Q8'!H45</f>
        <v/>
      </c>
      <c r="L29" s="0">
        <f>$A29*'Optimal_Portfolio_Q3-Q8'!I34+(1-$A29)*'Optimal_Portfolio_Q3-Q8'!I45</f>
        <v/>
      </c>
      <c r="M29" s="0">
        <f>$A29*'Optimal_Portfolio_Q3-Q8'!J34+(1-$A29)*'Optimal_Portfolio_Q3-Q8'!J45</f>
        <v/>
      </c>
      <c r="N29" s="0">
        <f>$A29*'Optimal_Portfolio_Q3-Q8'!K34+(1-$A29)*'Optimal_Portfolio_Q3-Q8'!K45</f>
        <v/>
      </c>
      <c r="O29" s="0">
        <f>$A29*'Optimal_Portfolio_Q3-Q8'!L34+(1-$A29)*'Optimal_Portfolio_Q3-Q8'!L45</f>
        <v/>
      </c>
      <c r="P29" s="0">
        <f>$A29*'Optimal_Portfolio_Q3-Q8'!M34+(1-$A29)*'Optimal_Portfolio_Q3-Q8'!M45</f>
        <v/>
      </c>
      <c r="Q29" s="0">
        <f>$A29*'Optimal_Portfolio_Q3-Q8'!N34+(1-$A29)*'Optimal_Portfolio_Q3-Q8'!N45</f>
        <v/>
      </c>
      <c r="R29" s="0">
        <f>$A29*'Optimal_Portfolio_Q3-Q8'!O34+(1-$A29)*'Optimal_Portfolio_Q3-Q8'!O45</f>
        <v/>
      </c>
      <c r="S29" s="0">
        <f>$A29*'Optimal_Portfolio_Q3-Q8'!P34+(1-$A29)*'Optimal_Portfolio_Q3-Q8'!P45</f>
        <v/>
      </c>
      <c r="T29" s="0">
        <f>$A29*'Optimal_Portfolio_Q3-Q8'!Q34+(1-$A29)*'Optimal_Portfolio_Q3-Q8'!Q45</f>
        <v/>
      </c>
      <c r="U29" s="0">
        <f>$A29*'Optimal_Portfolio_Q3-Q8'!R34+(1-$A29)*'Optimal_Portfolio_Q3-Q8'!R45</f>
        <v/>
      </c>
      <c r="V29" s="0">
        <f>$A29*'Optimal_Portfolio_Q3-Q8'!S34+(1-$A29)*'Optimal_Portfolio_Q3-Q8'!S45</f>
        <v/>
      </c>
      <c r="W29" s="0">
        <f>$A29*'Optimal_Portfolio_Q3-Q8'!T34+(1-$A29)*'Optimal_Portfolio_Q3-Q8'!T45</f>
        <v/>
      </c>
      <c r="X29" s="0">
        <f>$A29*'Optimal_Portfolio_Q3-Q8'!U34+(1-$A29)*'Optimal_Portfolio_Q3-Q8'!U45</f>
        <v/>
      </c>
      <c r="Y29" s="0">
        <f>$A29*'Optimal_Portfolio_Q3-Q8'!V34+(1-$A29)*'Optimal_Portfolio_Q3-Q8'!V45</f>
        <v/>
      </c>
      <c r="Z29" s="0">
        <f>$A29*'Optimal_Portfolio_Q3-Q8'!W34+(1-$A29)*'Optimal_Portfolio_Q3-Q8'!W45</f>
        <v/>
      </c>
      <c r="AA29" s="0">
        <f>$A29*'Optimal_Portfolio_Q3-Q8'!X34+(1-$A29)*'Optimal_Portfolio_Q3-Q8'!X45</f>
        <v/>
      </c>
    </row>
    <row r="30">
      <c r="A30" s="0" t="n">
        <v>0.5</v>
      </c>
      <c r="B30" s="0">
        <f>SUMPRODUCT(E30:AA30,'Optimal_Portfolio_Q3-Q8'!B31:X31)</f>
        <v/>
      </c>
      <c r="C30" s="0">
        <f>SUMPRODUCT(E30:AA30,MMULT(E30:AA30,'Optimal_Portfolio_Q3-Q8'!B4:X26))</f>
        <v/>
      </c>
      <c r="E30" s="0">
        <f>$A30*'Optimal_Portfolio_Q3-Q8'!B34+(1-$A30)*'Optimal_Portfolio_Q3-Q8'!B45</f>
        <v/>
      </c>
      <c r="F30" s="0">
        <f>$A30*'Optimal_Portfolio_Q3-Q8'!C34+(1-$A30)*'Optimal_Portfolio_Q3-Q8'!C45</f>
        <v/>
      </c>
      <c r="G30" s="0">
        <f>$A30*'Optimal_Portfolio_Q3-Q8'!D34+(1-$A30)*'Optimal_Portfolio_Q3-Q8'!D45</f>
        <v/>
      </c>
      <c r="H30" s="0">
        <f>$A30*'Optimal_Portfolio_Q3-Q8'!E34+(1-$A30)*'Optimal_Portfolio_Q3-Q8'!E45</f>
        <v/>
      </c>
      <c r="I30" s="0">
        <f>$A30*'Optimal_Portfolio_Q3-Q8'!F34+(1-$A30)*'Optimal_Portfolio_Q3-Q8'!F45</f>
        <v/>
      </c>
      <c r="J30" s="0">
        <f>$A30*'Optimal_Portfolio_Q3-Q8'!G34+(1-$A30)*'Optimal_Portfolio_Q3-Q8'!G45</f>
        <v/>
      </c>
      <c r="K30" s="0">
        <f>$A30*'Optimal_Portfolio_Q3-Q8'!H34+(1-$A30)*'Optimal_Portfolio_Q3-Q8'!H45</f>
        <v/>
      </c>
      <c r="L30" s="0">
        <f>$A30*'Optimal_Portfolio_Q3-Q8'!I34+(1-$A30)*'Optimal_Portfolio_Q3-Q8'!I45</f>
        <v/>
      </c>
      <c r="M30" s="0">
        <f>$A30*'Optimal_Portfolio_Q3-Q8'!J34+(1-$A30)*'Optimal_Portfolio_Q3-Q8'!J45</f>
        <v/>
      </c>
      <c r="N30" s="0">
        <f>$A30*'Optimal_Portfolio_Q3-Q8'!K34+(1-$A30)*'Optimal_Portfolio_Q3-Q8'!K45</f>
        <v/>
      </c>
      <c r="O30" s="0">
        <f>$A30*'Optimal_Portfolio_Q3-Q8'!L34+(1-$A30)*'Optimal_Portfolio_Q3-Q8'!L45</f>
        <v/>
      </c>
      <c r="P30" s="0">
        <f>$A30*'Optimal_Portfolio_Q3-Q8'!M34+(1-$A30)*'Optimal_Portfolio_Q3-Q8'!M45</f>
        <v/>
      </c>
      <c r="Q30" s="0">
        <f>$A30*'Optimal_Portfolio_Q3-Q8'!N34+(1-$A30)*'Optimal_Portfolio_Q3-Q8'!N45</f>
        <v/>
      </c>
      <c r="R30" s="0">
        <f>$A30*'Optimal_Portfolio_Q3-Q8'!O34+(1-$A30)*'Optimal_Portfolio_Q3-Q8'!O45</f>
        <v/>
      </c>
      <c r="S30" s="0">
        <f>$A30*'Optimal_Portfolio_Q3-Q8'!P34+(1-$A30)*'Optimal_Portfolio_Q3-Q8'!P45</f>
        <v/>
      </c>
      <c r="T30" s="0">
        <f>$A30*'Optimal_Portfolio_Q3-Q8'!Q34+(1-$A30)*'Optimal_Portfolio_Q3-Q8'!Q45</f>
        <v/>
      </c>
      <c r="U30" s="0">
        <f>$A30*'Optimal_Portfolio_Q3-Q8'!R34+(1-$A30)*'Optimal_Portfolio_Q3-Q8'!R45</f>
        <v/>
      </c>
      <c r="V30" s="0">
        <f>$A30*'Optimal_Portfolio_Q3-Q8'!S34+(1-$A30)*'Optimal_Portfolio_Q3-Q8'!S45</f>
        <v/>
      </c>
      <c r="W30" s="0">
        <f>$A30*'Optimal_Portfolio_Q3-Q8'!T34+(1-$A30)*'Optimal_Portfolio_Q3-Q8'!T45</f>
        <v/>
      </c>
      <c r="X30" s="0">
        <f>$A30*'Optimal_Portfolio_Q3-Q8'!U34+(1-$A30)*'Optimal_Portfolio_Q3-Q8'!U45</f>
        <v/>
      </c>
      <c r="Y30" s="0">
        <f>$A30*'Optimal_Portfolio_Q3-Q8'!V34+(1-$A30)*'Optimal_Portfolio_Q3-Q8'!V45</f>
        <v/>
      </c>
      <c r="Z30" s="0">
        <f>$A30*'Optimal_Portfolio_Q3-Q8'!W34+(1-$A30)*'Optimal_Portfolio_Q3-Q8'!W45</f>
        <v/>
      </c>
      <c r="AA30" s="0">
        <f>$A30*'Optimal_Portfolio_Q3-Q8'!X34+(1-$A30)*'Optimal_Portfolio_Q3-Q8'!X45</f>
        <v/>
      </c>
    </row>
    <row r="31">
      <c r="A31" s="0" t="n">
        <v>0.6</v>
      </c>
      <c r="B31" s="0">
        <f>SUMPRODUCT(E31:AA31,'Optimal_Portfolio_Q3-Q8'!B31:X31)</f>
        <v/>
      </c>
      <c r="C31" s="0">
        <f>SUMPRODUCT(E31:AA31,MMULT(E31:AA31,'Optimal_Portfolio_Q3-Q8'!B4:X26))</f>
        <v/>
      </c>
      <c r="E31" s="0">
        <f>$A31*'Optimal_Portfolio_Q3-Q8'!B34+(1-$A31)*'Optimal_Portfolio_Q3-Q8'!B45</f>
        <v/>
      </c>
      <c r="F31" s="0">
        <f>$A31*'Optimal_Portfolio_Q3-Q8'!C34+(1-$A31)*'Optimal_Portfolio_Q3-Q8'!C45</f>
        <v/>
      </c>
      <c r="G31" s="0">
        <f>$A31*'Optimal_Portfolio_Q3-Q8'!D34+(1-$A31)*'Optimal_Portfolio_Q3-Q8'!D45</f>
        <v/>
      </c>
      <c r="H31" s="0">
        <f>$A31*'Optimal_Portfolio_Q3-Q8'!E34+(1-$A31)*'Optimal_Portfolio_Q3-Q8'!E45</f>
        <v/>
      </c>
      <c r="I31" s="0">
        <f>$A31*'Optimal_Portfolio_Q3-Q8'!F34+(1-$A31)*'Optimal_Portfolio_Q3-Q8'!F45</f>
        <v/>
      </c>
      <c r="J31" s="0">
        <f>$A31*'Optimal_Portfolio_Q3-Q8'!G34+(1-$A31)*'Optimal_Portfolio_Q3-Q8'!G45</f>
        <v/>
      </c>
      <c r="K31" s="0">
        <f>$A31*'Optimal_Portfolio_Q3-Q8'!H34+(1-$A31)*'Optimal_Portfolio_Q3-Q8'!H45</f>
        <v/>
      </c>
      <c r="L31" s="0">
        <f>$A31*'Optimal_Portfolio_Q3-Q8'!I34+(1-$A31)*'Optimal_Portfolio_Q3-Q8'!I45</f>
        <v/>
      </c>
      <c r="M31" s="0">
        <f>$A31*'Optimal_Portfolio_Q3-Q8'!J34+(1-$A31)*'Optimal_Portfolio_Q3-Q8'!J45</f>
        <v/>
      </c>
      <c r="N31" s="0">
        <f>$A31*'Optimal_Portfolio_Q3-Q8'!K34+(1-$A31)*'Optimal_Portfolio_Q3-Q8'!K45</f>
        <v/>
      </c>
      <c r="O31" s="0">
        <f>$A31*'Optimal_Portfolio_Q3-Q8'!L34+(1-$A31)*'Optimal_Portfolio_Q3-Q8'!L45</f>
        <v/>
      </c>
      <c r="P31" s="0">
        <f>$A31*'Optimal_Portfolio_Q3-Q8'!M34+(1-$A31)*'Optimal_Portfolio_Q3-Q8'!M45</f>
        <v/>
      </c>
      <c r="Q31" s="0">
        <f>$A31*'Optimal_Portfolio_Q3-Q8'!N34+(1-$A31)*'Optimal_Portfolio_Q3-Q8'!N45</f>
        <v/>
      </c>
      <c r="R31" s="0">
        <f>$A31*'Optimal_Portfolio_Q3-Q8'!O34+(1-$A31)*'Optimal_Portfolio_Q3-Q8'!O45</f>
        <v/>
      </c>
      <c r="S31" s="0">
        <f>$A31*'Optimal_Portfolio_Q3-Q8'!P34+(1-$A31)*'Optimal_Portfolio_Q3-Q8'!P45</f>
        <v/>
      </c>
      <c r="T31" s="0">
        <f>$A31*'Optimal_Portfolio_Q3-Q8'!Q34+(1-$A31)*'Optimal_Portfolio_Q3-Q8'!Q45</f>
        <v/>
      </c>
      <c r="U31" s="0">
        <f>$A31*'Optimal_Portfolio_Q3-Q8'!R34+(1-$A31)*'Optimal_Portfolio_Q3-Q8'!R45</f>
        <v/>
      </c>
      <c r="V31" s="0">
        <f>$A31*'Optimal_Portfolio_Q3-Q8'!S34+(1-$A31)*'Optimal_Portfolio_Q3-Q8'!S45</f>
        <v/>
      </c>
      <c r="W31" s="0">
        <f>$A31*'Optimal_Portfolio_Q3-Q8'!T34+(1-$A31)*'Optimal_Portfolio_Q3-Q8'!T45</f>
        <v/>
      </c>
      <c r="X31" s="0">
        <f>$A31*'Optimal_Portfolio_Q3-Q8'!U34+(1-$A31)*'Optimal_Portfolio_Q3-Q8'!U45</f>
        <v/>
      </c>
      <c r="Y31" s="0">
        <f>$A31*'Optimal_Portfolio_Q3-Q8'!V34+(1-$A31)*'Optimal_Portfolio_Q3-Q8'!V45</f>
        <v/>
      </c>
      <c r="Z31" s="0">
        <f>$A31*'Optimal_Portfolio_Q3-Q8'!W34+(1-$A31)*'Optimal_Portfolio_Q3-Q8'!W45</f>
        <v/>
      </c>
      <c r="AA31" s="0">
        <f>$A31*'Optimal_Portfolio_Q3-Q8'!X34+(1-$A31)*'Optimal_Portfolio_Q3-Q8'!X45</f>
        <v/>
      </c>
    </row>
    <row r="32">
      <c r="A32" s="0" t="n">
        <v>0.7</v>
      </c>
      <c r="B32" s="0">
        <f>SUMPRODUCT(E32:AA32,'Optimal_Portfolio_Q3-Q8'!B31:X31)</f>
        <v/>
      </c>
      <c r="C32" s="0">
        <f>SUMPRODUCT(E32:AA32,MMULT(E32:AA32,'Optimal_Portfolio_Q3-Q8'!B4:X26))</f>
        <v/>
      </c>
      <c r="E32" s="0">
        <f>$A32*'Optimal_Portfolio_Q3-Q8'!B34+(1-$A32)*'Optimal_Portfolio_Q3-Q8'!B45</f>
        <v/>
      </c>
      <c r="F32" s="0">
        <f>$A32*'Optimal_Portfolio_Q3-Q8'!C34+(1-$A32)*'Optimal_Portfolio_Q3-Q8'!C45</f>
        <v/>
      </c>
      <c r="G32" s="0">
        <f>$A32*'Optimal_Portfolio_Q3-Q8'!D34+(1-$A32)*'Optimal_Portfolio_Q3-Q8'!D45</f>
        <v/>
      </c>
      <c r="H32" s="0">
        <f>$A32*'Optimal_Portfolio_Q3-Q8'!E34+(1-$A32)*'Optimal_Portfolio_Q3-Q8'!E45</f>
        <v/>
      </c>
      <c r="I32" s="0">
        <f>$A32*'Optimal_Portfolio_Q3-Q8'!F34+(1-$A32)*'Optimal_Portfolio_Q3-Q8'!F45</f>
        <v/>
      </c>
      <c r="J32" s="0">
        <f>$A32*'Optimal_Portfolio_Q3-Q8'!G34+(1-$A32)*'Optimal_Portfolio_Q3-Q8'!G45</f>
        <v/>
      </c>
      <c r="K32" s="0">
        <f>$A32*'Optimal_Portfolio_Q3-Q8'!H34+(1-$A32)*'Optimal_Portfolio_Q3-Q8'!H45</f>
        <v/>
      </c>
      <c r="L32" s="0">
        <f>$A32*'Optimal_Portfolio_Q3-Q8'!I34+(1-$A32)*'Optimal_Portfolio_Q3-Q8'!I45</f>
        <v/>
      </c>
      <c r="M32" s="0">
        <f>$A32*'Optimal_Portfolio_Q3-Q8'!J34+(1-$A32)*'Optimal_Portfolio_Q3-Q8'!J45</f>
        <v/>
      </c>
      <c r="N32" s="0">
        <f>$A32*'Optimal_Portfolio_Q3-Q8'!K34+(1-$A32)*'Optimal_Portfolio_Q3-Q8'!K45</f>
        <v/>
      </c>
      <c r="O32" s="0">
        <f>$A32*'Optimal_Portfolio_Q3-Q8'!L34+(1-$A32)*'Optimal_Portfolio_Q3-Q8'!L45</f>
        <v/>
      </c>
      <c r="P32" s="0">
        <f>$A32*'Optimal_Portfolio_Q3-Q8'!M34+(1-$A32)*'Optimal_Portfolio_Q3-Q8'!M45</f>
        <v/>
      </c>
      <c r="Q32" s="0">
        <f>$A32*'Optimal_Portfolio_Q3-Q8'!N34+(1-$A32)*'Optimal_Portfolio_Q3-Q8'!N45</f>
        <v/>
      </c>
      <c r="R32" s="0">
        <f>$A32*'Optimal_Portfolio_Q3-Q8'!O34+(1-$A32)*'Optimal_Portfolio_Q3-Q8'!O45</f>
        <v/>
      </c>
      <c r="S32" s="0">
        <f>$A32*'Optimal_Portfolio_Q3-Q8'!P34+(1-$A32)*'Optimal_Portfolio_Q3-Q8'!P45</f>
        <v/>
      </c>
      <c r="T32" s="0">
        <f>$A32*'Optimal_Portfolio_Q3-Q8'!Q34+(1-$A32)*'Optimal_Portfolio_Q3-Q8'!Q45</f>
        <v/>
      </c>
      <c r="U32" s="0">
        <f>$A32*'Optimal_Portfolio_Q3-Q8'!R34+(1-$A32)*'Optimal_Portfolio_Q3-Q8'!R45</f>
        <v/>
      </c>
      <c r="V32" s="0">
        <f>$A32*'Optimal_Portfolio_Q3-Q8'!S34+(1-$A32)*'Optimal_Portfolio_Q3-Q8'!S45</f>
        <v/>
      </c>
      <c r="W32" s="0">
        <f>$A32*'Optimal_Portfolio_Q3-Q8'!T34+(1-$A32)*'Optimal_Portfolio_Q3-Q8'!T45</f>
        <v/>
      </c>
      <c r="X32" s="0">
        <f>$A32*'Optimal_Portfolio_Q3-Q8'!U34+(1-$A32)*'Optimal_Portfolio_Q3-Q8'!U45</f>
        <v/>
      </c>
      <c r="Y32" s="0">
        <f>$A32*'Optimal_Portfolio_Q3-Q8'!V34+(1-$A32)*'Optimal_Portfolio_Q3-Q8'!V45</f>
        <v/>
      </c>
      <c r="Z32" s="0">
        <f>$A32*'Optimal_Portfolio_Q3-Q8'!W34+(1-$A32)*'Optimal_Portfolio_Q3-Q8'!W45</f>
        <v/>
      </c>
      <c r="AA32" s="0">
        <f>$A32*'Optimal_Portfolio_Q3-Q8'!X34+(1-$A32)*'Optimal_Portfolio_Q3-Q8'!X45</f>
        <v/>
      </c>
    </row>
    <row r="33">
      <c r="A33" s="0" t="n">
        <v>0.8</v>
      </c>
      <c r="B33" s="0">
        <f>SUMPRODUCT(E33:AA33,'Optimal_Portfolio_Q3-Q8'!B31:X31)</f>
        <v/>
      </c>
      <c r="C33" s="0">
        <f>SUMPRODUCT(E33:AA33,MMULT(E33:AA33,'Optimal_Portfolio_Q3-Q8'!B4:X26))</f>
        <v/>
      </c>
      <c r="E33" s="0">
        <f>$A33*'Optimal_Portfolio_Q3-Q8'!B34+(1-$A33)*'Optimal_Portfolio_Q3-Q8'!B45</f>
        <v/>
      </c>
      <c r="F33" s="0">
        <f>$A33*'Optimal_Portfolio_Q3-Q8'!C34+(1-$A33)*'Optimal_Portfolio_Q3-Q8'!C45</f>
        <v/>
      </c>
      <c r="G33" s="0">
        <f>$A33*'Optimal_Portfolio_Q3-Q8'!D34+(1-$A33)*'Optimal_Portfolio_Q3-Q8'!D45</f>
        <v/>
      </c>
      <c r="H33" s="0">
        <f>$A33*'Optimal_Portfolio_Q3-Q8'!E34+(1-$A33)*'Optimal_Portfolio_Q3-Q8'!E45</f>
        <v/>
      </c>
      <c r="I33" s="0">
        <f>$A33*'Optimal_Portfolio_Q3-Q8'!F34+(1-$A33)*'Optimal_Portfolio_Q3-Q8'!F45</f>
        <v/>
      </c>
      <c r="J33" s="0">
        <f>$A33*'Optimal_Portfolio_Q3-Q8'!G34+(1-$A33)*'Optimal_Portfolio_Q3-Q8'!G45</f>
        <v/>
      </c>
      <c r="K33" s="0">
        <f>$A33*'Optimal_Portfolio_Q3-Q8'!H34+(1-$A33)*'Optimal_Portfolio_Q3-Q8'!H45</f>
        <v/>
      </c>
      <c r="L33" s="0">
        <f>$A33*'Optimal_Portfolio_Q3-Q8'!I34+(1-$A33)*'Optimal_Portfolio_Q3-Q8'!I45</f>
        <v/>
      </c>
      <c r="M33" s="0">
        <f>$A33*'Optimal_Portfolio_Q3-Q8'!J34+(1-$A33)*'Optimal_Portfolio_Q3-Q8'!J45</f>
        <v/>
      </c>
      <c r="N33" s="0">
        <f>$A33*'Optimal_Portfolio_Q3-Q8'!K34+(1-$A33)*'Optimal_Portfolio_Q3-Q8'!K45</f>
        <v/>
      </c>
      <c r="O33" s="0">
        <f>$A33*'Optimal_Portfolio_Q3-Q8'!L34+(1-$A33)*'Optimal_Portfolio_Q3-Q8'!L45</f>
        <v/>
      </c>
      <c r="P33" s="0">
        <f>$A33*'Optimal_Portfolio_Q3-Q8'!M34+(1-$A33)*'Optimal_Portfolio_Q3-Q8'!M45</f>
        <v/>
      </c>
      <c r="Q33" s="0">
        <f>$A33*'Optimal_Portfolio_Q3-Q8'!N34+(1-$A33)*'Optimal_Portfolio_Q3-Q8'!N45</f>
        <v/>
      </c>
      <c r="R33" s="0">
        <f>$A33*'Optimal_Portfolio_Q3-Q8'!O34+(1-$A33)*'Optimal_Portfolio_Q3-Q8'!O45</f>
        <v/>
      </c>
      <c r="S33" s="0">
        <f>$A33*'Optimal_Portfolio_Q3-Q8'!P34+(1-$A33)*'Optimal_Portfolio_Q3-Q8'!P45</f>
        <v/>
      </c>
      <c r="T33" s="0">
        <f>$A33*'Optimal_Portfolio_Q3-Q8'!Q34+(1-$A33)*'Optimal_Portfolio_Q3-Q8'!Q45</f>
        <v/>
      </c>
      <c r="U33" s="0">
        <f>$A33*'Optimal_Portfolio_Q3-Q8'!R34+(1-$A33)*'Optimal_Portfolio_Q3-Q8'!R45</f>
        <v/>
      </c>
      <c r="V33" s="0">
        <f>$A33*'Optimal_Portfolio_Q3-Q8'!S34+(1-$A33)*'Optimal_Portfolio_Q3-Q8'!S45</f>
        <v/>
      </c>
      <c r="W33" s="0">
        <f>$A33*'Optimal_Portfolio_Q3-Q8'!T34+(1-$A33)*'Optimal_Portfolio_Q3-Q8'!T45</f>
        <v/>
      </c>
      <c r="X33" s="0">
        <f>$A33*'Optimal_Portfolio_Q3-Q8'!U34+(1-$A33)*'Optimal_Portfolio_Q3-Q8'!U45</f>
        <v/>
      </c>
      <c r="Y33" s="0">
        <f>$A33*'Optimal_Portfolio_Q3-Q8'!V34+(1-$A33)*'Optimal_Portfolio_Q3-Q8'!V45</f>
        <v/>
      </c>
      <c r="Z33" s="0">
        <f>$A33*'Optimal_Portfolio_Q3-Q8'!W34+(1-$A33)*'Optimal_Portfolio_Q3-Q8'!W45</f>
        <v/>
      </c>
      <c r="AA33" s="0">
        <f>$A33*'Optimal_Portfolio_Q3-Q8'!X34+(1-$A33)*'Optimal_Portfolio_Q3-Q8'!X45</f>
        <v/>
      </c>
    </row>
    <row r="34">
      <c r="A34" s="0" t="n">
        <v>0.9</v>
      </c>
      <c r="B34" s="0">
        <f>SUMPRODUCT(E34:AA34,'Optimal_Portfolio_Q3-Q8'!B31:X31)</f>
        <v/>
      </c>
      <c r="C34" s="0">
        <f>SUMPRODUCT(E34:AA34,MMULT(E34:AA34,'Optimal_Portfolio_Q3-Q8'!B4:X26))</f>
        <v/>
      </c>
      <c r="E34" s="0">
        <f>$A34*'Optimal_Portfolio_Q3-Q8'!B34+(1-$A34)*'Optimal_Portfolio_Q3-Q8'!B45</f>
        <v/>
      </c>
      <c r="F34" s="0">
        <f>$A34*'Optimal_Portfolio_Q3-Q8'!C34+(1-$A34)*'Optimal_Portfolio_Q3-Q8'!C45</f>
        <v/>
      </c>
      <c r="G34" s="0">
        <f>$A34*'Optimal_Portfolio_Q3-Q8'!D34+(1-$A34)*'Optimal_Portfolio_Q3-Q8'!D45</f>
        <v/>
      </c>
      <c r="H34" s="0">
        <f>$A34*'Optimal_Portfolio_Q3-Q8'!E34+(1-$A34)*'Optimal_Portfolio_Q3-Q8'!E45</f>
        <v/>
      </c>
      <c r="I34" s="0">
        <f>$A34*'Optimal_Portfolio_Q3-Q8'!F34+(1-$A34)*'Optimal_Portfolio_Q3-Q8'!F45</f>
        <v/>
      </c>
      <c r="J34" s="0">
        <f>$A34*'Optimal_Portfolio_Q3-Q8'!G34+(1-$A34)*'Optimal_Portfolio_Q3-Q8'!G45</f>
        <v/>
      </c>
      <c r="K34" s="0">
        <f>$A34*'Optimal_Portfolio_Q3-Q8'!H34+(1-$A34)*'Optimal_Portfolio_Q3-Q8'!H45</f>
        <v/>
      </c>
      <c r="L34" s="0">
        <f>$A34*'Optimal_Portfolio_Q3-Q8'!I34+(1-$A34)*'Optimal_Portfolio_Q3-Q8'!I45</f>
        <v/>
      </c>
      <c r="M34" s="0">
        <f>$A34*'Optimal_Portfolio_Q3-Q8'!J34+(1-$A34)*'Optimal_Portfolio_Q3-Q8'!J45</f>
        <v/>
      </c>
      <c r="N34" s="0">
        <f>$A34*'Optimal_Portfolio_Q3-Q8'!K34+(1-$A34)*'Optimal_Portfolio_Q3-Q8'!K45</f>
        <v/>
      </c>
      <c r="O34" s="0">
        <f>$A34*'Optimal_Portfolio_Q3-Q8'!L34+(1-$A34)*'Optimal_Portfolio_Q3-Q8'!L45</f>
        <v/>
      </c>
      <c r="P34" s="0">
        <f>$A34*'Optimal_Portfolio_Q3-Q8'!M34+(1-$A34)*'Optimal_Portfolio_Q3-Q8'!M45</f>
        <v/>
      </c>
      <c r="Q34" s="0">
        <f>$A34*'Optimal_Portfolio_Q3-Q8'!N34+(1-$A34)*'Optimal_Portfolio_Q3-Q8'!N45</f>
        <v/>
      </c>
      <c r="R34" s="0">
        <f>$A34*'Optimal_Portfolio_Q3-Q8'!O34+(1-$A34)*'Optimal_Portfolio_Q3-Q8'!O45</f>
        <v/>
      </c>
      <c r="S34" s="0">
        <f>$A34*'Optimal_Portfolio_Q3-Q8'!P34+(1-$A34)*'Optimal_Portfolio_Q3-Q8'!P45</f>
        <v/>
      </c>
      <c r="T34" s="0">
        <f>$A34*'Optimal_Portfolio_Q3-Q8'!Q34+(1-$A34)*'Optimal_Portfolio_Q3-Q8'!Q45</f>
        <v/>
      </c>
      <c r="U34" s="0">
        <f>$A34*'Optimal_Portfolio_Q3-Q8'!R34+(1-$A34)*'Optimal_Portfolio_Q3-Q8'!R45</f>
        <v/>
      </c>
      <c r="V34" s="0">
        <f>$A34*'Optimal_Portfolio_Q3-Q8'!S34+(1-$A34)*'Optimal_Portfolio_Q3-Q8'!S45</f>
        <v/>
      </c>
      <c r="W34" s="0">
        <f>$A34*'Optimal_Portfolio_Q3-Q8'!T34+(1-$A34)*'Optimal_Portfolio_Q3-Q8'!T45</f>
        <v/>
      </c>
      <c r="X34" s="0">
        <f>$A34*'Optimal_Portfolio_Q3-Q8'!U34+(1-$A34)*'Optimal_Portfolio_Q3-Q8'!U45</f>
        <v/>
      </c>
      <c r="Y34" s="0">
        <f>$A34*'Optimal_Portfolio_Q3-Q8'!V34+(1-$A34)*'Optimal_Portfolio_Q3-Q8'!V45</f>
        <v/>
      </c>
      <c r="Z34" s="0">
        <f>$A34*'Optimal_Portfolio_Q3-Q8'!W34+(1-$A34)*'Optimal_Portfolio_Q3-Q8'!W45</f>
        <v/>
      </c>
      <c r="AA34" s="0">
        <f>$A34*'Optimal_Portfolio_Q3-Q8'!X34+(1-$A34)*'Optimal_Portfolio_Q3-Q8'!X45</f>
        <v/>
      </c>
    </row>
    <row r="35">
      <c r="A35" s="0" t="n">
        <v>1</v>
      </c>
      <c r="B35" s="0">
        <f>SUMPRODUCT(E35:AA35,'Optimal_Portfolio_Q3-Q8'!B31:X31)</f>
        <v/>
      </c>
      <c r="C35" s="0">
        <f>SUMPRODUCT(E35:AA35,MMULT(E35:AA35,'Optimal_Portfolio_Q3-Q8'!B4:X26))</f>
        <v/>
      </c>
      <c r="E35" s="0">
        <f>$A35*'Optimal_Portfolio_Q3-Q8'!B34+(1-$A35)*'Optimal_Portfolio_Q3-Q8'!B45</f>
        <v/>
      </c>
      <c r="F35" s="0">
        <f>$A35*'Optimal_Portfolio_Q3-Q8'!C34+(1-$A35)*'Optimal_Portfolio_Q3-Q8'!C45</f>
        <v/>
      </c>
      <c r="G35" s="0">
        <f>$A35*'Optimal_Portfolio_Q3-Q8'!D34+(1-$A35)*'Optimal_Portfolio_Q3-Q8'!D45</f>
        <v/>
      </c>
      <c r="H35" s="0">
        <f>$A35*'Optimal_Portfolio_Q3-Q8'!E34+(1-$A35)*'Optimal_Portfolio_Q3-Q8'!E45</f>
        <v/>
      </c>
      <c r="I35" s="0">
        <f>$A35*'Optimal_Portfolio_Q3-Q8'!F34+(1-$A35)*'Optimal_Portfolio_Q3-Q8'!F45</f>
        <v/>
      </c>
      <c r="J35" s="0">
        <f>$A35*'Optimal_Portfolio_Q3-Q8'!G34+(1-$A35)*'Optimal_Portfolio_Q3-Q8'!G45</f>
        <v/>
      </c>
      <c r="K35" s="0">
        <f>$A35*'Optimal_Portfolio_Q3-Q8'!H34+(1-$A35)*'Optimal_Portfolio_Q3-Q8'!H45</f>
        <v/>
      </c>
      <c r="L35" s="0">
        <f>$A35*'Optimal_Portfolio_Q3-Q8'!I34+(1-$A35)*'Optimal_Portfolio_Q3-Q8'!I45</f>
        <v/>
      </c>
      <c r="M35" s="0">
        <f>$A35*'Optimal_Portfolio_Q3-Q8'!J34+(1-$A35)*'Optimal_Portfolio_Q3-Q8'!J45</f>
        <v/>
      </c>
      <c r="N35" s="0">
        <f>$A35*'Optimal_Portfolio_Q3-Q8'!K34+(1-$A35)*'Optimal_Portfolio_Q3-Q8'!K45</f>
        <v/>
      </c>
      <c r="O35" s="0">
        <f>$A35*'Optimal_Portfolio_Q3-Q8'!L34+(1-$A35)*'Optimal_Portfolio_Q3-Q8'!L45</f>
        <v/>
      </c>
      <c r="P35" s="0">
        <f>$A35*'Optimal_Portfolio_Q3-Q8'!M34+(1-$A35)*'Optimal_Portfolio_Q3-Q8'!M45</f>
        <v/>
      </c>
      <c r="Q35" s="0">
        <f>$A35*'Optimal_Portfolio_Q3-Q8'!N34+(1-$A35)*'Optimal_Portfolio_Q3-Q8'!N45</f>
        <v/>
      </c>
      <c r="R35" s="0">
        <f>$A35*'Optimal_Portfolio_Q3-Q8'!O34+(1-$A35)*'Optimal_Portfolio_Q3-Q8'!O45</f>
        <v/>
      </c>
      <c r="S35" s="0">
        <f>$A35*'Optimal_Portfolio_Q3-Q8'!P34+(1-$A35)*'Optimal_Portfolio_Q3-Q8'!P45</f>
        <v/>
      </c>
      <c r="T35" s="0">
        <f>$A35*'Optimal_Portfolio_Q3-Q8'!Q34+(1-$A35)*'Optimal_Portfolio_Q3-Q8'!Q45</f>
        <v/>
      </c>
      <c r="U35" s="0">
        <f>$A35*'Optimal_Portfolio_Q3-Q8'!R34+(1-$A35)*'Optimal_Portfolio_Q3-Q8'!R45</f>
        <v/>
      </c>
      <c r="V35" s="0">
        <f>$A35*'Optimal_Portfolio_Q3-Q8'!S34+(1-$A35)*'Optimal_Portfolio_Q3-Q8'!S45</f>
        <v/>
      </c>
      <c r="W35" s="0">
        <f>$A35*'Optimal_Portfolio_Q3-Q8'!T34+(1-$A35)*'Optimal_Portfolio_Q3-Q8'!T45</f>
        <v/>
      </c>
      <c r="X35" s="0">
        <f>$A35*'Optimal_Portfolio_Q3-Q8'!U34+(1-$A35)*'Optimal_Portfolio_Q3-Q8'!U45</f>
        <v/>
      </c>
      <c r="Y35" s="0">
        <f>$A35*'Optimal_Portfolio_Q3-Q8'!V34+(1-$A35)*'Optimal_Portfolio_Q3-Q8'!V45</f>
        <v/>
      </c>
      <c r="Z35" s="0">
        <f>$A35*'Optimal_Portfolio_Q3-Q8'!W34+(1-$A35)*'Optimal_Portfolio_Q3-Q8'!W45</f>
        <v/>
      </c>
      <c r="AA35" s="0">
        <f>$A35*'Optimal_Portfolio_Q3-Q8'!X34+(1-$A35)*'Optimal_Portfolio_Q3-Q8'!X45</f>
        <v/>
      </c>
    </row>
    <row r="36">
      <c r="A36" s="0" t="n">
        <v>1.1</v>
      </c>
      <c r="B36" s="0">
        <f>SUMPRODUCT(E36:AA36,'Optimal_Portfolio_Q3-Q8'!B31:X31)</f>
        <v/>
      </c>
      <c r="C36" s="0">
        <f>SUMPRODUCT(E36:AA36,MMULT(E36:AA36,'Optimal_Portfolio_Q3-Q8'!B4:X26))</f>
        <v/>
      </c>
      <c r="E36" s="0">
        <f>$A36*'Optimal_Portfolio_Q3-Q8'!B34+(1-$A36)*'Optimal_Portfolio_Q3-Q8'!B45</f>
        <v/>
      </c>
      <c r="F36" s="0">
        <f>$A36*'Optimal_Portfolio_Q3-Q8'!C34+(1-$A36)*'Optimal_Portfolio_Q3-Q8'!C45</f>
        <v/>
      </c>
      <c r="G36" s="0">
        <f>$A36*'Optimal_Portfolio_Q3-Q8'!D34+(1-$A36)*'Optimal_Portfolio_Q3-Q8'!D45</f>
        <v/>
      </c>
      <c r="H36" s="0">
        <f>$A36*'Optimal_Portfolio_Q3-Q8'!E34+(1-$A36)*'Optimal_Portfolio_Q3-Q8'!E45</f>
        <v/>
      </c>
      <c r="I36" s="0">
        <f>$A36*'Optimal_Portfolio_Q3-Q8'!F34+(1-$A36)*'Optimal_Portfolio_Q3-Q8'!F45</f>
        <v/>
      </c>
      <c r="J36" s="0">
        <f>$A36*'Optimal_Portfolio_Q3-Q8'!G34+(1-$A36)*'Optimal_Portfolio_Q3-Q8'!G45</f>
        <v/>
      </c>
      <c r="K36" s="0">
        <f>$A36*'Optimal_Portfolio_Q3-Q8'!H34+(1-$A36)*'Optimal_Portfolio_Q3-Q8'!H45</f>
        <v/>
      </c>
      <c r="L36" s="0">
        <f>$A36*'Optimal_Portfolio_Q3-Q8'!I34+(1-$A36)*'Optimal_Portfolio_Q3-Q8'!I45</f>
        <v/>
      </c>
      <c r="M36" s="0">
        <f>$A36*'Optimal_Portfolio_Q3-Q8'!J34+(1-$A36)*'Optimal_Portfolio_Q3-Q8'!J45</f>
        <v/>
      </c>
      <c r="N36" s="0">
        <f>$A36*'Optimal_Portfolio_Q3-Q8'!K34+(1-$A36)*'Optimal_Portfolio_Q3-Q8'!K45</f>
        <v/>
      </c>
      <c r="O36" s="0">
        <f>$A36*'Optimal_Portfolio_Q3-Q8'!L34+(1-$A36)*'Optimal_Portfolio_Q3-Q8'!L45</f>
        <v/>
      </c>
      <c r="P36" s="0">
        <f>$A36*'Optimal_Portfolio_Q3-Q8'!M34+(1-$A36)*'Optimal_Portfolio_Q3-Q8'!M45</f>
        <v/>
      </c>
      <c r="Q36" s="0">
        <f>$A36*'Optimal_Portfolio_Q3-Q8'!N34+(1-$A36)*'Optimal_Portfolio_Q3-Q8'!N45</f>
        <v/>
      </c>
      <c r="R36" s="0">
        <f>$A36*'Optimal_Portfolio_Q3-Q8'!O34+(1-$A36)*'Optimal_Portfolio_Q3-Q8'!O45</f>
        <v/>
      </c>
      <c r="S36" s="0">
        <f>$A36*'Optimal_Portfolio_Q3-Q8'!P34+(1-$A36)*'Optimal_Portfolio_Q3-Q8'!P45</f>
        <v/>
      </c>
      <c r="T36" s="0">
        <f>$A36*'Optimal_Portfolio_Q3-Q8'!Q34+(1-$A36)*'Optimal_Portfolio_Q3-Q8'!Q45</f>
        <v/>
      </c>
      <c r="U36" s="0">
        <f>$A36*'Optimal_Portfolio_Q3-Q8'!R34+(1-$A36)*'Optimal_Portfolio_Q3-Q8'!R45</f>
        <v/>
      </c>
      <c r="V36" s="0">
        <f>$A36*'Optimal_Portfolio_Q3-Q8'!S34+(1-$A36)*'Optimal_Portfolio_Q3-Q8'!S45</f>
        <v/>
      </c>
      <c r="W36" s="0">
        <f>$A36*'Optimal_Portfolio_Q3-Q8'!T34+(1-$A36)*'Optimal_Portfolio_Q3-Q8'!T45</f>
        <v/>
      </c>
      <c r="X36" s="0">
        <f>$A36*'Optimal_Portfolio_Q3-Q8'!U34+(1-$A36)*'Optimal_Portfolio_Q3-Q8'!U45</f>
        <v/>
      </c>
      <c r="Y36" s="0">
        <f>$A36*'Optimal_Portfolio_Q3-Q8'!V34+(1-$A36)*'Optimal_Portfolio_Q3-Q8'!V45</f>
        <v/>
      </c>
      <c r="Z36" s="0">
        <f>$A36*'Optimal_Portfolio_Q3-Q8'!W34+(1-$A36)*'Optimal_Portfolio_Q3-Q8'!W45</f>
        <v/>
      </c>
      <c r="AA36" s="0">
        <f>$A36*'Optimal_Portfolio_Q3-Q8'!X34+(1-$A36)*'Optimal_Portfolio_Q3-Q8'!X45</f>
        <v/>
      </c>
    </row>
    <row r="37">
      <c r="A37" s="0" t="n">
        <v>1.2</v>
      </c>
      <c r="B37" s="0">
        <f>SUMPRODUCT(E37:AA37,'Optimal_Portfolio_Q3-Q8'!B31:X31)</f>
        <v/>
      </c>
      <c r="C37" s="0">
        <f>SUMPRODUCT(E37:AA37,MMULT(E37:AA37,'Optimal_Portfolio_Q3-Q8'!B4:X26))</f>
        <v/>
      </c>
      <c r="E37" s="0">
        <f>$A37*'Optimal_Portfolio_Q3-Q8'!B34+(1-$A37)*'Optimal_Portfolio_Q3-Q8'!B45</f>
        <v/>
      </c>
      <c r="F37" s="0">
        <f>$A37*'Optimal_Portfolio_Q3-Q8'!C34+(1-$A37)*'Optimal_Portfolio_Q3-Q8'!C45</f>
        <v/>
      </c>
      <c r="G37" s="0">
        <f>$A37*'Optimal_Portfolio_Q3-Q8'!D34+(1-$A37)*'Optimal_Portfolio_Q3-Q8'!D45</f>
        <v/>
      </c>
      <c r="H37" s="0">
        <f>$A37*'Optimal_Portfolio_Q3-Q8'!E34+(1-$A37)*'Optimal_Portfolio_Q3-Q8'!E45</f>
        <v/>
      </c>
      <c r="I37" s="0">
        <f>$A37*'Optimal_Portfolio_Q3-Q8'!F34+(1-$A37)*'Optimal_Portfolio_Q3-Q8'!F45</f>
        <v/>
      </c>
      <c r="J37" s="0">
        <f>$A37*'Optimal_Portfolio_Q3-Q8'!G34+(1-$A37)*'Optimal_Portfolio_Q3-Q8'!G45</f>
        <v/>
      </c>
      <c r="K37" s="0">
        <f>$A37*'Optimal_Portfolio_Q3-Q8'!H34+(1-$A37)*'Optimal_Portfolio_Q3-Q8'!H45</f>
        <v/>
      </c>
      <c r="L37" s="0">
        <f>$A37*'Optimal_Portfolio_Q3-Q8'!I34+(1-$A37)*'Optimal_Portfolio_Q3-Q8'!I45</f>
        <v/>
      </c>
      <c r="M37" s="0">
        <f>$A37*'Optimal_Portfolio_Q3-Q8'!J34+(1-$A37)*'Optimal_Portfolio_Q3-Q8'!J45</f>
        <v/>
      </c>
      <c r="N37" s="0">
        <f>$A37*'Optimal_Portfolio_Q3-Q8'!K34+(1-$A37)*'Optimal_Portfolio_Q3-Q8'!K45</f>
        <v/>
      </c>
      <c r="O37" s="0">
        <f>$A37*'Optimal_Portfolio_Q3-Q8'!L34+(1-$A37)*'Optimal_Portfolio_Q3-Q8'!L45</f>
        <v/>
      </c>
      <c r="P37" s="0">
        <f>$A37*'Optimal_Portfolio_Q3-Q8'!M34+(1-$A37)*'Optimal_Portfolio_Q3-Q8'!M45</f>
        <v/>
      </c>
      <c r="Q37" s="0">
        <f>$A37*'Optimal_Portfolio_Q3-Q8'!N34+(1-$A37)*'Optimal_Portfolio_Q3-Q8'!N45</f>
        <v/>
      </c>
      <c r="R37" s="0">
        <f>$A37*'Optimal_Portfolio_Q3-Q8'!O34+(1-$A37)*'Optimal_Portfolio_Q3-Q8'!O45</f>
        <v/>
      </c>
      <c r="S37" s="0">
        <f>$A37*'Optimal_Portfolio_Q3-Q8'!P34+(1-$A37)*'Optimal_Portfolio_Q3-Q8'!P45</f>
        <v/>
      </c>
      <c r="T37" s="0">
        <f>$A37*'Optimal_Portfolio_Q3-Q8'!Q34+(1-$A37)*'Optimal_Portfolio_Q3-Q8'!Q45</f>
        <v/>
      </c>
      <c r="U37" s="0">
        <f>$A37*'Optimal_Portfolio_Q3-Q8'!R34+(1-$A37)*'Optimal_Portfolio_Q3-Q8'!R45</f>
        <v/>
      </c>
      <c r="V37" s="0">
        <f>$A37*'Optimal_Portfolio_Q3-Q8'!S34+(1-$A37)*'Optimal_Portfolio_Q3-Q8'!S45</f>
        <v/>
      </c>
      <c r="W37" s="0">
        <f>$A37*'Optimal_Portfolio_Q3-Q8'!T34+(1-$A37)*'Optimal_Portfolio_Q3-Q8'!T45</f>
        <v/>
      </c>
      <c r="X37" s="0">
        <f>$A37*'Optimal_Portfolio_Q3-Q8'!U34+(1-$A37)*'Optimal_Portfolio_Q3-Q8'!U45</f>
        <v/>
      </c>
      <c r="Y37" s="0">
        <f>$A37*'Optimal_Portfolio_Q3-Q8'!V34+(1-$A37)*'Optimal_Portfolio_Q3-Q8'!V45</f>
        <v/>
      </c>
      <c r="Z37" s="0">
        <f>$A37*'Optimal_Portfolio_Q3-Q8'!W34+(1-$A37)*'Optimal_Portfolio_Q3-Q8'!W45</f>
        <v/>
      </c>
      <c r="AA37" s="0">
        <f>$A37*'Optimal_Portfolio_Q3-Q8'!X34+(1-$A37)*'Optimal_Portfolio_Q3-Q8'!X45</f>
        <v/>
      </c>
    </row>
    <row r="38">
      <c r="A38" s="0" t="n">
        <v>1.3</v>
      </c>
      <c r="B38" s="0">
        <f>SUMPRODUCT(E38:AA38,'Optimal_Portfolio_Q3-Q8'!B31:X31)</f>
        <v/>
      </c>
      <c r="C38" s="0">
        <f>SUMPRODUCT(E38:AA38,MMULT(E38:AA38,'Optimal_Portfolio_Q3-Q8'!B4:X26))</f>
        <v/>
      </c>
      <c r="E38" s="0">
        <f>$A38*'Optimal_Portfolio_Q3-Q8'!B34+(1-$A38)*'Optimal_Portfolio_Q3-Q8'!B45</f>
        <v/>
      </c>
      <c r="F38" s="0">
        <f>$A38*'Optimal_Portfolio_Q3-Q8'!C34+(1-$A38)*'Optimal_Portfolio_Q3-Q8'!C45</f>
        <v/>
      </c>
      <c r="G38" s="0">
        <f>$A38*'Optimal_Portfolio_Q3-Q8'!D34+(1-$A38)*'Optimal_Portfolio_Q3-Q8'!D45</f>
        <v/>
      </c>
      <c r="H38" s="0">
        <f>$A38*'Optimal_Portfolio_Q3-Q8'!E34+(1-$A38)*'Optimal_Portfolio_Q3-Q8'!E45</f>
        <v/>
      </c>
      <c r="I38" s="0">
        <f>$A38*'Optimal_Portfolio_Q3-Q8'!F34+(1-$A38)*'Optimal_Portfolio_Q3-Q8'!F45</f>
        <v/>
      </c>
      <c r="J38" s="0">
        <f>$A38*'Optimal_Portfolio_Q3-Q8'!G34+(1-$A38)*'Optimal_Portfolio_Q3-Q8'!G45</f>
        <v/>
      </c>
      <c r="K38" s="0">
        <f>$A38*'Optimal_Portfolio_Q3-Q8'!H34+(1-$A38)*'Optimal_Portfolio_Q3-Q8'!H45</f>
        <v/>
      </c>
      <c r="L38" s="0">
        <f>$A38*'Optimal_Portfolio_Q3-Q8'!I34+(1-$A38)*'Optimal_Portfolio_Q3-Q8'!I45</f>
        <v/>
      </c>
      <c r="M38" s="0">
        <f>$A38*'Optimal_Portfolio_Q3-Q8'!J34+(1-$A38)*'Optimal_Portfolio_Q3-Q8'!J45</f>
        <v/>
      </c>
      <c r="N38" s="0">
        <f>$A38*'Optimal_Portfolio_Q3-Q8'!K34+(1-$A38)*'Optimal_Portfolio_Q3-Q8'!K45</f>
        <v/>
      </c>
      <c r="O38" s="0">
        <f>$A38*'Optimal_Portfolio_Q3-Q8'!L34+(1-$A38)*'Optimal_Portfolio_Q3-Q8'!L45</f>
        <v/>
      </c>
      <c r="P38" s="0">
        <f>$A38*'Optimal_Portfolio_Q3-Q8'!M34+(1-$A38)*'Optimal_Portfolio_Q3-Q8'!M45</f>
        <v/>
      </c>
      <c r="Q38" s="0">
        <f>$A38*'Optimal_Portfolio_Q3-Q8'!N34+(1-$A38)*'Optimal_Portfolio_Q3-Q8'!N45</f>
        <v/>
      </c>
      <c r="R38" s="0">
        <f>$A38*'Optimal_Portfolio_Q3-Q8'!O34+(1-$A38)*'Optimal_Portfolio_Q3-Q8'!O45</f>
        <v/>
      </c>
      <c r="S38" s="0">
        <f>$A38*'Optimal_Portfolio_Q3-Q8'!P34+(1-$A38)*'Optimal_Portfolio_Q3-Q8'!P45</f>
        <v/>
      </c>
      <c r="T38" s="0">
        <f>$A38*'Optimal_Portfolio_Q3-Q8'!Q34+(1-$A38)*'Optimal_Portfolio_Q3-Q8'!Q45</f>
        <v/>
      </c>
      <c r="U38" s="0">
        <f>$A38*'Optimal_Portfolio_Q3-Q8'!R34+(1-$A38)*'Optimal_Portfolio_Q3-Q8'!R45</f>
        <v/>
      </c>
      <c r="V38" s="0">
        <f>$A38*'Optimal_Portfolio_Q3-Q8'!S34+(1-$A38)*'Optimal_Portfolio_Q3-Q8'!S45</f>
        <v/>
      </c>
      <c r="W38" s="0">
        <f>$A38*'Optimal_Portfolio_Q3-Q8'!T34+(1-$A38)*'Optimal_Portfolio_Q3-Q8'!T45</f>
        <v/>
      </c>
      <c r="X38" s="0">
        <f>$A38*'Optimal_Portfolio_Q3-Q8'!U34+(1-$A38)*'Optimal_Portfolio_Q3-Q8'!U45</f>
        <v/>
      </c>
      <c r="Y38" s="0">
        <f>$A38*'Optimal_Portfolio_Q3-Q8'!V34+(1-$A38)*'Optimal_Portfolio_Q3-Q8'!V45</f>
        <v/>
      </c>
      <c r="Z38" s="0">
        <f>$A38*'Optimal_Portfolio_Q3-Q8'!W34+(1-$A38)*'Optimal_Portfolio_Q3-Q8'!W45</f>
        <v/>
      </c>
      <c r="AA38" s="0">
        <f>$A38*'Optimal_Portfolio_Q3-Q8'!X34+(1-$A38)*'Optimal_Portfolio_Q3-Q8'!X45</f>
        <v/>
      </c>
    </row>
    <row r="39">
      <c r="A39" s="0" t="n">
        <v>1.4</v>
      </c>
      <c r="B39" s="0">
        <f>SUMPRODUCT(E39:AA39,'Optimal_Portfolio_Q3-Q8'!B31:X31)</f>
        <v/>
      </c>
      <c r="C39" s="0">
        <f>SUMPRODUCT(E39:AA39,MMULT(E39:AA39,'Optimal_Portfolio_Q3-Q8'!B4:X26))</f>
        <v/>
      </c>
      <c r="E39" s="0">
        <f>$A39*'Optimal_Portfolio_Q3-Q8'!B34+(1-$A39)*'Optimal_Portfolio_Q3-Q8'!B45</f>
        <v/>
      </c>
      <c r="F39" s="0">
        <f>$A39*'Optimal_Portfolio_Q3-Q8'!C34+(1-$A39)*'Optimal_Portfolio_Q3-Q8'!C45</f>
        <v/>
      </c>
      <c r="G39" s="0">
        <f>$A39*'Optimal_Portfolio_Q3-Q8'!D34+(1-$A39)*'Optimal_Portfolio_Q3-Q8'!D45</f>
        <v/>
      </c>
      <c r="H39" s="0">
        <f>$A39*'Optimal_Portfolio_Q3-Q8'!E34+(1-$A39)*'Optimal_Portfolio_Q3-Q8'!E45</f>
        <v/>
      </c>
      <c r="I39" s="0">
        <f>$A39*'Optimal_Portfolio_Q3-Q8'!F34+(1-$A39)*'Optimal_Portfolio_Q3-Q8'!F45</f>
        <v/>
      </c>
      <c r="J39" s="0">
        <f>$A39*'Optimal_Portfolio_Q3-Q8'!G34+(1-$A39)*'Optimal_Portfolio_Q3-Q8'!G45</f>
        <v/>
      </c>
      <c r="K39" s="0">
        <f>$A39*'Optimal_Portfolio_Q3-Q8'!H34+(1-$A39)*'Optimal_Portfolio_Q3-Q8'!H45</f>
        <v/>
      </c>
      <c r="L39" s="0">
        <f>$A39*'Optimal_Portfolio_Q3-Q8'!I34+(1-$A39)*'Optimal_Portfolio_Q3-Q8'!I45</f>
        <v/>
      </c>
      <c r="M39" s="0">
        <f>$A39*'Optimal_Portfolio_Q3-Q8'!J34+(1-$A39)*'Optimal_Portfolio_Q3-Q8'!J45</f>
        <v/>
      </c>
      <c r="N39" s="0">
        <f>$A39*'Optimal_Portfolio_Q3-Q8'!K34+(1-$A39)*'Optimal_Portfolio_Q3-Q8'!K45</f>
        <v/>
      </c>
      <c r="O39" s="0">
        <f>$A39*'Optimal_Portfolio_Q3-Q8'!L34+(1-$A39)*'Optimal_Portfolio_Q3-Q8'!L45</f>
        <v/>
      </c>
      <c r="P39" s="0">
        <f>$A39*'Optimal_Portfolio_Q3-Q8'!M34+(1-$A39)*'Optimal_Portfolio_Q3-Q8'!M45</f>
        <v/>
      </c>
      <c r="Q39" s="0">
        <f>$A39*'Optimal_Portfolio_Q3-Q8'!N34+(1-$A39)*'Optimal_Portfolio_Q3-Q8'!N45</f>
        <v/>
      </c>
      <c r="R39" s="0">
        <f>$A39*'Optimal_Portfolio_Q3-Q8'!O34+(1-$A39)*'Optimal_Portfolio_Q3-Q8'!O45</f>
        <v/>
      </c>
      <c r="S39" s="0">
        <f>$A39*'Optimal_Portfolio_Q3-Q8'!P34+(1-$A39)*'Optimal_Portfolio_Q3-Q8'!P45</f>
        <v/>
      </c>
      <c r="T39" s="0">
        <f>$A39*'Optimal_Portfolio_Q3-Q8'!Q34+(1-$A39)*'Optimal_Portfolio_Q3-Q8'!Q45</f>
        <v/>
      </c>
      <c r="U39" s="0">
        <f>$A39*'Optimal_Portfolio_Q3-Q8'!R34+(1-$A39)*'Optimal_Portfolio_Q3-Q8'!R45</f>
        <v/>
      </c>
      <c r="V39" s="0">
        <f>$A39*'Optimal_Portfolio_Q3-Q8'!S34+(1-$A39)*'Optimal_Portfolio_Q3-Q8'!S45</f>
        <v/>
      </c>
      <c r="W39" s="0">
        <f>$A39*'Optimal_Portfolio_Q3-Q8'!T34+(1-$A39)*'Optimal_Portfolio_Q3-Q8'!T45</f>
        <v/>
      </c>
      <c r="X39" s="0">
        <f>$A39*'Optimal_Portfolio_Q3-Q8'!U34+(1-$A39)*'Optimal_Portfolio_Q3-Q8'!U45</f>
        <v/>
      </c>
      <c r="Y39" s="0">
        <f>$A39*'Optimal_Portfolio_Q3-Q8'!V34+(1-$A39)*'Optimal_Portfolio_Q3-Q8'!V45</f>
        <v/>
      </c>
      <c r="Z39" s="0">
        <f>$A39*'Optimal_Portfolio_Q3-Q8'!W34+(1-$A39)*'Optimal_Portfolio_Q3-Q8'!W45</f>
        <v/>
      </c>
      <c r="AA39" s="0">
        <f>$A39*'Optimal_Portfolio_Q3-Q8'!X34+(1-$A39)*'Optimal_Portfolio_Q3-Q8'!X45</f>
        <v/>
      </c>
    </row>
    <row r="40">
      <c r="A40" s="0" t="n">
        <v>1.5</v>
      </c>
      <c r="B40" s="0">
        <f>SUMPRODUCT(E40:AA40,'Optimal_Portfolio_Q3-Q8'!B31:X31)</f>
        <v/>
      </c>
      <c r="C40" s="0">
        <f>SUMPRODUCT(E40:AA40,MMULT(E40:AA40,'Optimal_Portfolio_Q3-Q8'!B4:X26))</f>
        <v/>
      </c>
      <c r="E40" s="0">
        <f>$A40*'Optimal_Portfolio_Q3-Q8'!B34+(1-$A40)*'Optimal_Portfolio_Q3-Q8'!B45</f>
        <v/>
      </c>
      <c r="F40" s="0">
        <f>$A40*'Optimal_Portfolio_Q3-Q8'!C34+(1-$A40)*'Optimal_Portfolio_Q3-Q8'!C45</f>
        <v/>
      </c>
      <c r="G40" s="0">
        <f>$A40*'Optimal_Portfolio_Q3-Q8'!D34+(1-$A40)*'Optimal_Portfolio_Q3-Q8'!D45</f>
        <v/>
      </c>
      <c r="H40" s="0">
        <f>$A40*'Optimal_Portfolio_Q3-Q8'!E34+(1-$A40)*'Optimal_Portfolio_Q3-Q8'!E45</f>
        <v/>
      </c>
      <c r="I40" s="0">
        <f>$A40*'Optimal_Portfolio_Q3-Q8'!F34+(1-$A40)*'Optimal_Portfolio_Q3-Q8'!F45</f>
        <v/>
      </c>
      <c r="J40" s="0">
        <f>$A40*'Optimal_Portfolio_Q3-Q8'!G34+(1-$A40)*'Optimal_Portfolio_Q3-Q8'!G45</f>
        <v/>
      </c>
      <c r="K40" s="0">
        <f>$A40*'Optimal_Portfolio_Q3-Q8'!H34+(1-$A40)*'Optimal_Portfolio_Q3-Q8'!H45</f>
        <v/>
      </c>
      <c r="L40" s="0">
        <f>$A40*'Optimal_Portfolio_Q3-Q8'!I34+(1-$A40)*'Optimal_Portfolio_Q3-Q8'!I45</f>
        <v/>
      </c>
      <c r="M40" s="0">
        <f>$A40*'Optimal_Portfolio_Q3-Q8'!J34+(1-$A40)*'Optimal_Portfolio_Q3-Q8'!J45</f>
        <v/>
      </c>
      <c r="N40" s="0">
        <f>$A40*'Optimal_Portfolio_Q3-Q8'!K34+(1-$A40)*'Optimal_Portfolio_Q3-Q8'!K45</f>
        <v/>
      </c>
      <c r="O40" s="0">
        <f>$A40*'Optimal_Portfolio_Q3-Q8'!L34+(1-$A40)*'Optimal_Portfolio_Q3-Q8'!L45</f>
        <v/>
      </c>
      <c r="P40" s="0">
        <f>$A40*'Optimal_Portfolio_Q3-Q8'!M34+(1-$A40)*'Optimal_Portfolio_Q3-Q8'!M45</f>
        <v/>
      </c>
      <c r="Q40" s="0">
        <f>$A40*'Optimal_Portfolio_Q3-Q8'!N34+(1-$A40)*'Optimal_Portfolio_Q3-Q8'!N45</f>
        <v/>
      </c>
      <c r="R40" s="0">
        <f>$A40*'Optimal_Portfolio_Q3-Q8'!O34+(1-$A40)*'Optimal_Portfolio_Q3-Q8'!O45</f>
        <v/>
      </c>
      <c r="S40" s="0">
        <f>$A40*'Optimal_Portfolio_Q3-Q8'!P34+(1-$A40)*'Optimal_Portfolio_Q3-Q8'!P45</f>
        <v/>
      </c>
      <c r="T40" s="0">
        <f>$A40*'Optimal_Portfolio_Q3-Q8'!Q34+(1-$A40)*'Optimal_Portfolio_Q3-Q8'!Q45</f>
        <v/>
      </c>
      <c r="U40" s="0">
        <f>$A40*'Optimal_Portfolio_Q3-Q8'!R34+(1-$A40)*'Optimal_Portfolio_Q3-Q8'!R45</f>
        <v/>
      </c>
      <c r="V40" s="0">
        <f>$A40*'Optimal_Portfolio_Q3-Q8'!S34+(1-$A40)*'Optimal_Portfolio_Q3-Q8'!S45</f>
        <v/>
      </c>
      <c r="W40" s="0">
        <f>$A40*'Optimal_Portfolio_Q3-Q8'!T34+(1-$A40)*'Optimal_Portfolio_Q3-Q8'!T45</f>
        <v/>
      </c>
      <c r="X40" s="0">
        <f>$A40*'Optimal_Portfolio_Q3-Q8'!U34+(1-$A40)*'Optimal_Portfolio_Q3-Q8'!U45</f>
        <v/>
      </c>
      <c r="Y40" s="0">
        <f>$A40*'Optimal_Portfolio_Q3-Q8'!V34+(1-$A40)*'Optimal_Portfolio_Q3-Q8'!V45</f>
        <v/>
      </c>
      <c r="Z40" s="0">
        <f>$A40*'Optimal_Portfolio_Q3-Q8'!W34+(1-$A40)*'Optimal_Portfolio_Q3-Q8'!W45</f>
        <v/>
      </c>
      <c r="AA40" s="0">
        <f>$A40*'Optimal_Portfolio_Q3-Q8'!X34+(1-$A40)*'Optimal_Portfolio_Q3-Q8'!X45</f>
        <v/>
      </c>
    </row>
    <row r="41">
      <c r="A41" s="0" t="n">
        <v>1.6</v>
      </c>
      <c r="B41" s="0">
        <f>SUMPRODUCT(E41:AA41,'Optimal_Portfolio_Q3-Q8'!B31:X31)</f>
        <v/>
      </c>
      <c r="C41" s="0">
        <f>SUMPRODUCT(E41:AA41,MMULT(E41:AA41,'Optimal_Portfolio_Q3-Q8'!B4:X26))</f>
        <v/>
      </c>
      <c r="E41" s="0">
        <f>$A41*'Optimal_Portfolio_Q3-Q8'!B34+(1-$A41)*'Optimal_Portfolio_Q3-Q8'!B45</f>
        <v/>
      </c>
      <c r="F41" s="0">
        <f>$A41*'Optimal_Portfolio_Q3-Q8'!C34+(1-$A41)*'Optimal_Portfolio_Q3-Q8'!C45</f>
        <v/>
      </c>
      <c r="G41" s="0">
        <f>$A41*'Optimal_Portfolio_Q3-Q8'!D34+(1-$A41)*'Optimal_Portfolio_Q3-Q8'!D45</f>
        <v/>
      </c>
      <c r="H41" s="0">
        <f>$A41*'Optimal_Portfolio_Q3-Q8'!E34+(1-$A41)*'Optimal_Portfolio_Q3-Q8'!E45</f>
        <v/>
      </c>
      <c r="I41" s="0">
        <f>$A41*'Optimal_Portfolio_Q3-Q8'!F34+(1-$A41)*'Optimal_Portfolio_Q3-Q8'!F45</f>
        <v/>
      </c>
      <c r="J41" s="0">
        <f>$A41*'Optimal_Portfolio_Q3-Q8'!G34+(1-$A41)*'Optimal_Portfolio_Q3-Q8'!G45</f>
        <v/>
      </c>
      <c r="K41" s="0">
        <f>$A41*'Optimal_Portfolio_Q3-Q8'!H34+(1-$A41)*'Optimal_Portfolio_Q3-Q8'!H45</f>
        <v/>
      </c>
      <c r="L41" s="0">
        <f>$A41*'Optimal_Portfolio_Q3-Q8'!I34+(1-$A41)*'Optimal_Portfolio_Q3-Q8'!I45</f>
        <v/>
      </c>
      <c r="M41" s="0">
        <f>$A41*'Optimal_Portfolio_Q3-Q8'!J34+(1-$A41)*'Optimal_Portfolio_Q3-Q8'!J45</f>
        <v/>
      </c>
      <c r="N41" s="0">
        <f>$A41*'Optimal_Portfolio_Q3-Q8'!K34+(1-$A41)*'Optimal_Portfolio_Q3-Q8'!K45</f>
        <v/>
      </c>
      <c r="O41" s="0">
        <f>$A41*'Optimal_Portfolio_Q3-Q8'!L34+(1-$A41)*'Optimal_Portfolio_Q3-Q8'!L45</f>
        <v/>
      </c>
      <c r="P41" s="0">
        <f>$A41*'Optimal_Portfolio_Q3-Q8'!M34+(1-$A41)*'Optimal_Portfolio_Q3-Q8'!M45</f>
        <v/>
      </c>
      <c r="Q41" s="0">
        <f>$A41*'Optimal_Portfolio_Q3-Q8'!N34+(1-$A41)*'Optimal_Portfolio_Q3-Q8'!N45</f>
        <v/>
      </c>
      <c r="R41" s="0">
        <f>$A41*'Optimal_Portfolio_Q3-Q8'!O34+(1-$A41)*'Optimal_Portfolio_Q3-Q8'!O45</f>
        <v/>
      </c>
      <c r="S41" s="0">
        <f>$A41*'Optimal_Portfolio_Q3-Q8'!P34+(1-$A41)*'Optimal_Portfolio_Q3-Q8'!P45</f>
        <v/>
      </c>
      <c r="T41" s="0">
        <f>$A41*'Optimal_Portfolio_Q3-Q8'!Q34+(1-$A41)*'Optimal_Portfolio_Q3-Q8'!Q45</f>
        <v/>
      </c>
      <c r="U41" s="0">
        <f>$A41*'Optimal_Portfolio_Q3-Q8'!R34+(1-$A41)*'Optimal_Portfolio_Q3-Q8'!R45</f>
        <v/>
      </c>
      <c r="V41" s="0">
        <f>$A41*'Optimal_Portfolio_Q3-Q8'!S34+(1-$A41)*'Optimal_Portfolio_Q3-Q8'!S45</f>
        <v/>
      </c>
      <c r="W41" s="0">
        <f>$A41*'Optimal_Portfolio_Q3-Q8'!T34+(1-$A41)*'Optimal_Portfolio_Q3-Q8'!T45</f>
        <v/>
      </c>
      <c r="X41" s="0">
        <f>$A41*'Optimal_Portfolio_Q3-Q8'!U34+(1-$A41)*'Optimal_Portfolio_Q3-Q8'!U45</f>
        <v/>
      </c>
      <c r="Y41" s="0">
        <f>$A41*'Optimal_Portfolio_Q3-Q8'!V34+(1-$A41)*'Optimal_Portfolio_Q3-Q8'!V45</f>
        <v/>
      </c>
      <c r="Z41" s="0">
        <f>$A41*'Optimal_Portfolio_Q3-Q8'!W34+(1-$A41)*'Optimal_Portfolio_Q3-Q8'!W45</f>
        <v/>
      </c>
      <c r="AA41" s="0">
        <f>$A41*'Optimal_Portfolio_Q3-Q8'!X34+(1-$A41)*'Optimal_Portfolio_Q3-Q8'!X45</f>
        <v/>
      </c>
    </row>
    <row r="42">
      <c r="A42" s="0" t="n">
        <v>1.7</v>
      </c>
      <c r="B42" s="0">
        <f>SUMPRODUCT(E42:AA42,'Optimal_Portfolio_Q3-Q8'!B31:X31)</f>
        <v/>
      </c>
      <c r="C42" s="0">
        <f>SUMPRODUCT(E42:AA42,MMULT(E42:AA42,'Optimal_Portfolio_Q3-Q8'!B4:X26))</f>
        <v/>
      </c>
      <c r="E42" s="0">
        <f>$A42*'Optimal_Portfolio_Q3-Q8'!B34+(1-$A42)*'Optimal_Portfolio_Q3-Q8'!B45</f>
        <v/>
      </c>
      <c r="F42" s="0">
        <f>$A42*'Optimal_Portfolio_Q3-Q8'!C34+(1-$A42)*'Optimal_Portfolio_Q3-Q8'!C45</f>
        <v/>
      </c>
      <c r="G42" s="0">
        <f>$A42*'Optimal_Portfolio_Q3-Q8'!D34+(1-$A42)*'Optimal_Portfolio_Q3-Q8'!D45</f>
        <v/>
      </c>
      <c r="H42" s="0">
        <f>$A42*'Optimal_Portfolio_Q3-Q8'!E34+(1-$A42)*'Optimal_Portfolio_Q3-Q8'!E45</f>
        <v/>
      </c>
      <c r="I42" s="0">
        <f>$A42*'Optimal_Portfolio_Q3-Q8'!F34+(1-$A42)*'Optimal_Portfolio_Q3-Q8'!F45</f>
        <v/>
      </c>
      <c r="J42" s="0">
        <f>$A42*'Optimal_Portfolio_Q3-Q8'!G34+(1-$A42)*'Optimal_Portfolio_Q3-Q8'!G45</f>
        <v/>
      </c>
      <c r="K42" s="0">
        <f>$A42*'Optimal_Portfolio_Q3-Q8'!H34+(1-$A42)*'Optimal_Portfolio_Q3-Q8'!H45</f>
        <v/>
      </c>
      <c r="L42" s="0">
        <f>$A42*'Optimal_Portfolio_Q3-Q8'!I34+(1-$A42)*'Optimal_Portfolio_Q3-Q8'!I45</f>
        <v/>
      </c>
      <c r="M42" s="0">
        <f>$A42*'Optimal_Portfolio_Q3-Q8'!J34+(1-$A42)*'Optimal_Portfolio_Q3-Q8'!J45</f>
        <v/>
      </c>
      <c r="N42" s="0">
        <f>$A42*'Optimal_Portfolio_Q3-Q8'!K34+(1-$A42)*'Optimal_Portfolio_Q3-Q8'!K45</f>
        <v/>
      </c>
      <c r="O42" s="0">
        <f>$A42*'Optimal_Portfolio_Q3-Q8'!L34+(1-$A42)*'Optimal_Portfolio_Q3-Q8'!L45</f>
        <v/>
      </c>
      <c r="P42" s="0">
        <f>$A42*'Optimal_Portfolio_Q3-Q8'!M34+(1-$A42)*'Optimal_Portfolio_Q3-Q8'!M45</f>
        <v/>
      </c>
      <c r="Q42" s="0">
        <f>$A42*'Optimal_Portfolio_Q3-Q8'!N34+(1-$A42)*'Optimal_Portfolio_Q3-Q8'!N45</f>
        <v/>
      </c>
      <c r="R42" s="0">
        <f>$A42*'Optimal_Portfolio_Q3-Q8'!O34+(1-$A42)*'Optimal_Portfolio_Q3-Q8'!O45</f>
        <v/>
      </c>
      <c r="S42" s="0">
        <f>$A42*'Optimal_Portfolio_Q3-Q8'!P34+(1-$A42)*'Optimal_Portfolio_Q3-Q8'!P45</f>
        <v/>
      </c>
      <c r="T42" s="0">
        <f>$A42*'Optimal_Portfolio_Q3-Q8'!Q34+(1-$A42)*'Optimal_Portfolio_Q3-Q8'!Q45</f>
        <v/>
      </c>
      <c r="U42" s="0">
        <f>$A42*'Optimal_Portfolio_Q3-Q8'!R34+(1-$A42)*'Optimal_Portfolio_Q3-Q8'!R45</f>
        <v/>
      </c>
      <c r="V42" s="0">
        <f>$A42*'Optimal_Portfolio_Q3-Q8'!S34+(1-$A42)*'Optimal_Portfolio_Q3-Q8'!S45</f>
        <v/>
      </c>
      <c r="W42" s="0">
        <f>$A42*'Optimal_Portfolio_Q3-Q8'!T34+(1-$A42)*'Optimal_Portfolio_Q3-Q8'!T45</f>
        <v/>
      </c>
      <c r="X42" s="0">
        <f>$A42*'Optimal_Portfolio_Q3-Q8'!U34+(1-$A42)*'Optimal_Portfolio_Q3-Q8'!U45</f>
        <v/>
      </c>
      <c r="Y42" s="0">
        <f>$A42*'Optimal_Portfolio_Q3-Q8'!V34+(1-$A42)*'Optimal_Portfolio_Q3-Q8'!V45</f>
        <v/>
      </c>
      <c r="Z42" s="0">
        <f>$A42*'Optimal_Portfolio_Q3-Q8'!W34+(1-$A42)*'Optimal_Portfolio_Q3-Q8'!W45</f>
        <v/>
      </c>
      <c r="AA42" s="0">
        <f>$A42*'Optimal_Portfolio_Q3-Q8'!X34+(1-$A42)*'Optimal_Portfolio_Q3-Q8'!X45</f>
        <v/>
      </c>
    </row>
    <row r="43">
      <c r="A43" s="0" t="n">
        <v>1.8</v>
      </c>
      <c r="B43" s="0">
        <f>SUMPRODUCT(E43:AA43,'Optimal_Portfolio_Q3-Q8'!B31:X31)</f>
        <v/>
      </c>
      <c r="C43" s="0">
        <f>SUMPRODUCT(E43:AA43,MMULT(E43:AA43,'Optimal_Portfolio_Q3-Q8'!B4:X26))</f>
        <v/>
      </c>
      <c r="E43" s="0">
        <f>$A43*'Optimal_Portfolio_Q3-Q8'!B34+(1-$A43)*'Optimal_Portfolio_Q3-Q8'!B45</f>
        <v/>
      </c>
      <c r="F43" s="0">
        <f>$A43*'Optimal_Portfolio_Q3-Q8'!C34+(1-$A43)*'Optimal_Portfolio_Q3-Q8'!C45</f>
        <v/>
      </c>
      <c r="G43" s="0">
        <f>$A43*'Optimal_Portfolio_Q3-Q8'!D34+(1-$A43)*'Optimal_Portfolio_Q3-Q8'!D45</f>
        <v/>
      </c>
      <c r="H43" s="0">
        <f>$A43*'Optimal_Portfolio_Q3-Q8'!E34+(1-$A43)*'Optimal_Portfolio_Q3-Q8'!E45</f>
        <v/>
      </c>
      <c r="I43" s="0">
        <f>$A43*'Optimal_Portfolio_Q3-Q8'!F34+(1-$A43)*'Optimal_Portfolio_Q3-Q8'!F45</f>
        <v/>
      </c>
      <c r="J43" s="0">
        <f>$A43*'Optimal_Portfolio_Q3-Q8'!G34+(1-$A43)*'Optimal_Portfolio_Q3-Q8'!G45</f>
        <v/>
      </c>
      <c r="K43" s="0">
        <f>$A43*'Optimal_Portfolio_Q3-Q8'!H34+(1-$A43)*'Optimal_Portfolio_Q3-Q8'!H45</f>
        <v/>
      </c>
      <c r="L43" s="0">
        <f>$A43*'Optimal_Portfolio_Q3-Q8'!I34+(1-$A43)*'Optimal_Portfolio_Q3-Q8'!I45</f>
        <v/>
      </c>
      <c r="M43" s="0">
        <f>$A43*'Optimal_Portfolio_Q3-Q8'!J34+(1-$A43)*'Optimal_Portfolio_Q3-Q8'!J45</f>
        <v/>
      </c>
      <c r="N43" s="0">
        <f>$A43*'Optimal_Portfolio_Q3-Q8'!K34+(1-$A43)*'Optimal_Portfolio_Q3-Q8'!K45</f>
        <v/>
      </c>
      <c r="O43" s="0">
        <f>$A43*'Optimal_Portfolio_Q3-Q8'!L34+(1-$A43)*'Optimal_Portfolio_Q3-Q8'!L45</f>
        <v/>
      </c>
      <c r="P43" s="0">
        <f>$A43*'Optimal_Portfolio_Q3-Q8'!M34+(1-$A43)*'Optimal_Portfolio_Q3-Q8'!M45</f>
        <v/>
      </c>
      <c r="Q43" s="0">
        <f>$A43*'Optimal_Portfolio_Q3-Q8'!N34+(1-$A43)*'Optimal_Portfolio_Q3-Q8'!N45</f>
        <v/>
      </c>
      <c r="R43" s="0">
        <f>$A43*'Optimal_Portfolio_Q3-Q8'!O34+(1-$A43)*'Optimal_Portfolio_Q3-Q8'!O45</f>
        <v/>
      </c>
      <c r="S43" s="0">
        <f>$A43*'Optimal_Portfolio_Q3-Q8'!P34+(1-$A43)*'Optimal_Portfolio_Q3-Q8'!P45</f>
        <v/>
      </c>
      <c r="T43" s="0">
        <f>$A43*'Optimal_Portfolio_Q3-Q8'!Q34+(1-$A43)*'Optimal_Portfolio_Q3-Q8'!Q45</f>
        <v/>
      </c>
      <c r="U43" s="0">
        <f>$A43*'Optimal_Portfolio_Q3-Q8'!R34+(1-$A43)*'Optimal_Portfolio_Q3-Q8'!R45</f>
        <v/>
      </c>
      <c r="V43" s="0">
        <f>$A43*'Optimal_Portfolio_Q3-Q8'!S34+(1-$A43)*'Optimal_Portfolio_Q3-Q8'!S45</f>
        <v/>
      </c>
      <c r="W43" s="0">
        <f>$A43*'Optimal_Portfolio_Q3-Q8'!T34+(1-$A43)*'Optimal_Portfolio_Q3-Q8'!T45</f>
        <v/>
      </c>
      <c r="X43" s="0">
        <f>$A43*'Optimal_Portfolio_Q3-Q8'!U34+(1-$A43)*'Optimal_Portfolio_Q3-Q8'!U45</f>
        <v/>
      </c>
      <c r="Y43" s="0">
        <f>$A43*'Optimal_Portfolio_Q3-Q8'!V34+(1-$A43)*'Optimal_Portfolio_Q3-Q8'!V45</f>
        <v/>
      </c>
      <c r="Z43" s="0">
        <f>$A43*'Optimal_Portfolio_Q3-Q8'!W34+(1-$A43)*'Optimal_Portfolio_Q3-Q8'!W45</f>
        <v/>
      </c>
      <c r="AA43" s="0">
        <f>$A43*'Optimal_Portfolio_Q3-Q8'!X34+(1-$A43)*'Optimal_Portfolio_Q3-Q8'!X45</f>
        <v/>
      </c>
    </row>
    <row r="44">
      <c r="A44" s="0" t="n">
        <v>1.9</v>
      </c>
      <c r="B44" s="0">
        <f>SUMPRODUCT(E44:AA44,'Optimal_Portfolio_Q3-Q8'!B31:X31)</f>
        <v/>
      </c>
      <c r="C44" s="0">
        <f>SUMPRODUCT(E44:AA44,MMULT(E44:AA44,'Optimal_Portfolio_Q3-Q8'!B4:X26))</f>
        <v/>
      </c>
      <c r="E44" s="0">
        <f>$A44*'Optimal_Portfolio_Q3-Q8'!B34+(1-$A44)*'Optimal_Portfolio_Q3-Q8'!B45</f>
        <v/>
      </c>
      <c r="F44" s="0">
        <f>$A44*'Optimal_Portfolio_Q3-Q8'!C34+(1-$A44)*'Optimal_Portfolio_Q3-Q8'!C45</f>
        <v/>
      </c>
      <c r="G44" s="0">
        <f>$A44*'Optimal_Portfolio_Q3-Q8'!D34+(1-$A44)*'Optimal_Portfolio_Q3-Q8'!D45</f>
        <v/>
      </c>
      <c r="H44" s="0">
        <f>$A44*'Optimal_Portfolio_Q3-Q8'!E34+(1-$A44)*'Optimal_Portfolio_Q3-Q8'!E45</f>
        <v/>
      </c>
      <c r="I44" s="0">
        <f>$A44*'Optimal_Portfolio_Q3-Q8'!F34+(1-$A44)*'Optimal_Portfolio_Q3-Q8'!F45</f>
        <v/>
      </c>
      <c r="J44" s="0">
        <f>$A44*'Optimal_Portfolio_Q3-Q8'!G34+(1-$A44)*'Optimal_Portfolio_Q3-Q8'!G45</f>
        <v/>
      </c>
      <c r="K44" s="0">
        <f>$A44*'Optimal_Portfolio_Q3-Q8'!H34+(1-$A44)*'Optimal_Portfolio_Q3-Q8'!H45</f>
        <v/>
      </c>
      <c r="L44" s="0">
        <f>$A44*'Optimal_Portfolio_Q3-Q8'!I34+(1-$A44)*'Optimal_Portfolio_Q3-Q8'!I45</f>
        <v/>
      </c>
      <c r="M44" s="0">
        <f>$A44*'Optimal_Portfolio_Q3-Q8'!J34+(1-$A44)*'Optimal_Portfolio_Q3-Q8'!J45</f>
        <v/>
      </c>
      <c r="N44" s="0">
        <f>$A44*'Optimal_Portfolio_Q3-Q8'!K34+(1-$A44)*'Optimal_Portfolio_Q3-Q8'!K45</f>
        <v/>
      </c>
      <c r="O44" s="0">
        <f>$A44*'Optimal_Portfolio_Q3-Q8'!L34+(1-$A44)*'Optimal_Portfolio_Q3-Q8'!L45</f>
        <v/>
      </c>
      <c r="P44" s="0">
        <f>$A44*'Optimal_Portfolio_Q3-Q8'!M34+(1-$A44)*'Optimal_Portfolio_Q3-Q8'!M45</f>
        <v/>
      </c>
      <c r="Q44" s="0">
        <f>$A44*'Optimal_Portfolio_Q3-Q8'!N34+(1-$A44)*'Optimal_Portfolio_Q3-Q8'!N45</f>
        <v/>
      </c>
      <c r="R44" s="0">
        <f>$A44*'Optimal_Portfolio_Q3-Q8'!O34+(1-$A44)*'Optimal_Portfolio_Q3-Q8'!O45</f>
        <v/>
      </c>
      <c r="S44" s="0">
        <f>$A44*'Optimal_Portfolio_Q3-Q8'!P34+(1-$A44)*'Optimal_Portfolio_Q3-Q8'!P45</f>
        <v/>
      </c>
      <c r="T44" s="0">
        <f>$A44*'Optimal_Portfolio_Q3-Q8'!Q34+(1-$A44)*'Optimal_Portfolio_Q3-Q8'!Q45</f>
        <v/>
      </c>
      <c r="U44" s="0">
        <f>$A44*'Optimal_Portfolio_Q3-Q8'!R34+(1-$A44)*'Optimal_Portfolio_Q3-Q8'!R45</f>
        <v/>
      </c>
      <c r="V44" s="0">
        <f>$A44*'Optimal_Portfolio_Q3-Q8'!S34+(1-$A44)*'Optimal_Portfolio_Q3-Q8'!S45</f>
        <v/>
      </c>
      <c r="W44" s="0">
        <f>$A44*'Optimal_Portfolio_Q3-Q8'!T34+(1-$A44)*'Optimal_Portfolio_Q3-Q8'!T45</f>
        <v/>
      </c>
      <c r="X44" s="0">
        <f>$A44*'Optimal_Portfolio_Q3-Q8'!U34+(1-$A44)*'Optimal_Portfolio_Q3-Q8'!U45</f>
        <v/>
      </c>
      <c r="Y44" s="0">
        <f>$A44*'Optimal_Portfolio_Q3-Q8'!V34+(1-$A44)*'Optimal_Portfolio_Q3-Q8'!V45</f>
        <v/>
      </c>
      <c r="Z44" s="0">
        <f>$A44*'Optimal_Portfolio_Q3-Q8'!W34+(1-$A44)*'Optimal_Portfolio_Q3-Q8'!W45</f>
        <v/>
      </c>
      <c r="AA44" s="0">
        <f>$A44*'Optimal_Portfolio_Q3-Q8'!X34+(1-$A44)*'Optimal_Portfolio_Q3-Q8'!X45</f>
        <v/>
      </c>
    </row>
    <row r="45">
      <c r="A45" s="0" t="n">
        <v>2</v>
      </c>
      <c r="B45" s="0">
        <f>SUMPRODUCT(E45:AA45,'Optimal_Portfolio_Q3-Q8'!B31:X31)</f>
        <v/>
      </c>
      <c r="C45" s="0">
        <f>SUMPRODUCT(E45:AA45,MMULT(E45:AA45,'Optimal_Portfolio_Q3-Q8'!B4:X26))</f>
        <v/>
      </c>
      <c r="E45" s="0">
        <f>$A45*'Optimal_Portfolio_Q3-Q8'!B34+(1-$A45)*'Optimal_Portfolio_Q3-Q8'!B45</f>
        <v/>
      </c>
      <c r="F45" s="0">
        <f>$A45*'Optimal_Portfolio_Q3-Q8'!C34+(1-$A45)*'Optimal_Portfolio_Q3-Q8'!C45</f>
        <v/>
      </c>
      <c r="G45" s="0">
        <f>$A45*'Optimal_Portfolio_Q3-Q8'!D34+(1-$A45)*'Optimal_Portfolio_Q3-Q8'!D45</f>
        <v/>
      </c>
      <c r="H45" s="0">
        <f>$A45*'Optimal_Portfolio_Q3-Q8'!E34+(1-$A45)*'Optimal_Portfolio_Q3-Q8'!E45</f>
        <v/>
      </c>
      <c r="I45" s="0">
        <f>$A45*'Optimal_Portfolio_Q3-Q8'!F34+(1-$A45)*'Optimal_Portfolio_Q3-Q8'!F45</f>
        <v/>
      </c>
      <c r="J45" s="0">
        <f>$A45*'Optimal_Portfolio_Q3-Q8'!G34+(1-$A45)*'Optimal_Portfolio_Q3-Q8'!G45</f>
        <v/>
      </c>
      <c r="K45" s="0">
        <f>$A45*'Optimal_Portfolio_Q3-Q8'!H34+(1-$A45)*'Optimal_Portfolio_Q3-Q8'!H45</f>
        <v/>
      </c>
      <c r="L45" s="0">
        <f>$A45*'Optimal_Portfolio_Q3-Q8'!I34+(1-$A45)*'Optimal_Portfolio_Q3-Q8'!I45</f>
        <v/>
      </c>
      <c r="M45" s="0">
        <f>$A45*'Optimal_Portfolio_Q3-Q8'!J34+(1-$A45)*'Optimal_Portfolio_Q3-Q8'!J45</f>
        <v/>
      </c>
      <c r="N45" s="0">
        <f>$A45*'Optimal_Portfolio_Q3-Q8'!K34+(1-$A45)*'Optimal_Portfolio_Q3-Q8'!K45</f>
        <v/>
      </c>
      <c r="O45" s="0">
        <f>$A45*'Optimal_Portfolio_Q3-Q8'!L34+(1-$A45)*'Optimal_Portfolio_Q3-Q8'!L45</f>
        <v/>
      </c>
      <c r="P45" s="0">
        <f>$A45*'Optimal_Portfolio_Q3-Q8'!M34+(1-$A45)*'Optimal_Portfolio_Q3-Q8'!M45</f>
        <v/>
      </c>
      <c r="Q45" s="0">
        <f>$A45*'Optimal_Portfolio_Q3-Q8'!N34+(1-$A45)*'Optimal_Portfolio_Q3-Q8'!N45</f>
        <v/>
      </c>
      <c r="R45" s="0">
        <f>$A45*'Optimal_Portfolio_Q3-Q8'!O34+(1-$A45)*'Optimal_Portfolio_Q3-Q8'!O45</f>
        <v/>
      </c>
      <c r="S45" s="0">
        <f>$A45*'Optimal_Portfolio_Q3-Q8'!P34+(1-$A45)*'Optimal_Portfolio_Q3-Q8'!P45</f>
        <v/>
      </c>
      <c r="T45" s="0">
        <f>$A45*'Optimal_Portfolio_Q3-Q8'!Q34+(1-$A45)*'Optimal_Portfolio_Q3-Q8'!Q45</f>
        <v/>
      </c>
      <c r="U45" s="0">
        <f>$A45*'Optimal_Portfolio_Q3-Q8'!R34+(1-$A45)*'Optimal_Portfolio_Q3-Q8'!R45</f>
        <v/>
      </c>
      <c r="V45" s="0">
        <f>$A45*'Optimal_Portfolio_Q3-Q8'!S34+(1-$A45)*'Optimal_Portfolio_Q3-Q8'!S45</f>
        <v/>
      </c>
      <c r="W45" s="0">
        <f>$A45*'Optimal_Portfolio_Q3-Q8'!T34+(1-$A45)*'Optimal_Portfolio_Q3-Q8'!T45</f>
        <v/>
      </c>
      <c r="X45" s="0">
        <f>$A45*'Optimal_Portfolio_Q3-Q8'!U34+(1-$A45)*'Optimal_Portfolio_Q3-Q8'!U45</f>
        <v/>
      </c>
      <c r="Y45" s="0">
        <f>$A45*'Optimal_Portfolio_Q3-Q8'!V34+(1-$A45)*'Optimal_Portfolio_Q3-Q8'!V45</f>
        <v/>
      </c>
      <c r="Z45" s="0">
        <f>$A45*'Optimal_Portfolio_Q3-Q8'!W34+(1-$A45)*'Optimal_Portfolio_Q3-Q8'!W45</f>
        <v/>
      </c>
      <c r="AA45" s="0">
        <f>$A45*'Optimal_Portfolio_Q3-Q8'!X34+(1-$A45)*'Optimal_Portfolio_Q3-Q8'!X45</f>
        <v/>
      </c>
    </row>
    <row r="48">
      <c r="A48" s="15" t="inlineStr">
        <is>
          <t>Exact solve: phi on the frontier where variance = 0.00004 (quadratic: a*phi^2+b*phi+(c-target)=0)</t>
        </is>
      </c>
    </row>
    <row r="49">
      <c r="A49" s="16" t="inlineStr">
        <is>
          <t>a = (x1-x2)^T V (x1-x2)</t>
        </is>
      </c>
      <c r="B49" s="0">
        <f t="array" ref="B49">SUMPRODUCT(('Optimal_Portfolio_Q3-Q8'!B34:X34-'Optimal_Portfolio_Q3-Q8'!B45:X45),MMULT(('Optimal_Portfolio_Q3-Q8'!B34:X34-'Optimal_Portfolio_Q3-Q8'!B45:X45),'Optimal_Portfolio_Q3-Q8'!B4:X26))</f>
        <v/>
      </c>
    </row>
    <row r="50">
      <c r="A50" s="0" t="inlineStr">
        <is>
          <t>b = 2 * x2^T V (x1-x2)</t>
        </is>
      </c>
      <c r="B50" s="0">
        <f t="array" ref="B50">2*SUMPRODUCT('Optimal_Portfolio_Q3-Q8'!B45:X45,MMULT(('Optimal_Portfolio_Q3-Q8'!B34:X34-'Optimal_Portfolio_Q3-Q8'!B45:X45),'Optimal_Portfolio_Q3-Q8'!B4:X26))</f>
        <v/>
      </c>
    </row>
    <row r="51">
      <c r="A51" s="0" t="inlineStr">
        <is>
          <t>c = x2^T V x2</t>
        </is>
      </c>
      <c r="B51" s="0">
        <f t="array" ref="B51">SUMPRODUCT('Optimal_Portfolio_Q3-Q8'!B45:X45,MMULT('Optimal_Portfolio_Q3-Q8'!B45:X45,'Optimal_Portfolio_Q3-Q8'!B4:X26))</f>
        <v/>
      </c>
    </row>
    <row r="52">
      <c r="A52" s="0" t="inlineStr">
        <is>
          <t>target variance</t>
        </is>
      </c>
      <c r="B52" s="0" t="n">
        <v>4e-05</v>
      </c>
    </row>
    <row r="53">
      <c r="A53" s="0" t="inlineStr">
        <is>
          <t>phi* (root giving the efficient/upper branch)</t>
        </is>
      </c>
      <c r="B53" s="0">
        <f>(-B50-SQRT(B50^2-4*B49*(B51-B52)))/(2*B49)</f>
        <v/>
      </c>
    </row>
    <row r="54">
      <c r="A54" s="0" t="inlineStr">
        <is>
          <t>z* = phi* * x1 + (1-phi*) * x2</t>
        </is>
      </c>
      <c r="B54" s="0">
        <f t="array" ref="B54:X54">$B$53*'Optimal_Portfolio_Q3-Q8'!B34:X34+(1-$B$53)*'Optimal_Portfolio_Q3-Q8'!B45:X45</f>
        <v/>
      </c>
    </row>
    <row r="55">
      <c r="A55" s="0" t="inlineStr">
        <is>
          <t>mean return of z*  [Q7 answer]</t>
        </is>
      </c>
      <c r="B55" s="0">
        <f t="array" ref="B55">SUMPRODUCT(B54:X54,'Optimal_Portfolio_Q3-Q8'!B31:X31)</f>
        <v/>
      </c>
    </row>
    <row r="56">
      <c r="A56" s="0" t="inlineStr">
        <is>
          <t>variance of z* (sanity check, should be 0.00004)</t>
        </is>
      </c>
      <c r="B56" s="0">
        <f t="array" ref="B56">SUMPRODUCT(B54:X54,MMULT(B54:X54,'Optimal_Portfolio_Q3-Q8'!B4:X26))</f>
        <v/>
      </c>
    </row>
    <row r="59">
      <c r="A59" s="15" t="inlineStr">
        <is>
          <t>Q8: which portfolios are achievable? (approximate coordinates read off the plotted points)</t>
        </is>
      </c>
    </row>
    <row r="60">
      <c r="A60" s="16" t="inlineStr">
        <is>
          <t>For any target return r on this frontier line, phi(r) = (0.0008 - r) / 0.0003, and the minimum variance for that return is var_min(r) = a*phi(r)^2 + b*phi(r) + c. A point is achievable only if its variance &gt;= var_min(its return).</t>
        </is>
      </c>
    </row>
    <row r="62">
      <c r="A62" s="0" t="inlineStr">
        <is>
          <t>Portfolio</t>
        </is>
      </c>
      <c r="B62" s="0" t="inlineStr">
        <is>
          <t>Return (approx.)</t>
        </is>
      </c>
      <c r="C62" s="0" t="inlineStr">
        <is>
          <t>Variance (approx.)</t>
        </is>
      </c>
      <c r="D62" s="0" t="inlineStr">
        <is>
          <t>var_min(return)</t>
        </is>
      </c>
      <c r="E62" s="0" t="inlineStr">
        <is>
          <t>Achievable?</t>
        </is>
      </c>
    </row>
    <row r="63">
      <c r="A63" s="0" t="inlineStr">
        <is>
          <t>A</t>
        </is>
      </c>
      <c r="B63" s="0" t="n">
        <v>0.0005</v>
      </c>
      <c r="C63" s="0" t="n">
        <v>3.95e-05</v>
      </c>
      <c r="D63" s="0">
        <f>$B$49*((0.0008-B63)/0.0003)^2+$B$50*((0.0008-B63)/0.0003)+$B$51</f>
        <v/>
      </c>
      <c r="E63" s="0">
        <f>IF(C63&gt;=D63,"Achievable","NOT achievable")</f>
        <v/>
      </c>
    </row>
    <row r="64">
      <c r="A64" s="0" t="inlineStr">
        <is>
          <t>C</t>
        </is>
      </c>
      <c r="B64" s="0" t="n">
        <v>0.0008</v>
      </c>
      <c r="C64" s="0" t="n">
        <v>3.78e-05</v>
      </c>
      <c r="D64" s="0">
        <f>$B$49*((0.0008-B64)/0.0003)^2+$B$50*((0.0008-B64)/0.0003)+$B$51</f>
        <v/>
      </c>
      <c r="E64" s="0">
        <f>IF(C64&gt;=D64,"Achievable","NOT achievable")</f>
        <v/>
      </c>
    </row>
    <row r="65">
      <c r="A65" s="0" t="inlineStr">
        <is>
          <t>B</t>
        </is>
      </c>
      <c r="B65" s="0" t="n">
        <v>0.0009</v>
      </c>
      <c r="C65" s="0" t="n">
        <v>4.62e-05</v>
      </c>
      <c r="D65" s="0">
        <f>$B$49*((0.0008-B65)/0.0003)^2+$B$50*((0.0008-B65)/0.0003)+$B$51</f>
        <v/>
      </c>
      <c r="E65" s="0">
        <f>IF(C65&gt;=D65,"Achievable","NOT achievable")</f>
        <v/>
      </c>
    </row>
    <row r="66">
      <c r="A66" s="0" t="inlineStr">
        <is>
          <t>D</t>
        </is>
      </c>
      <c r="B66" s="0" t="n">
        <v>0.0013</v>
      </c>
      <c r="C66" s="0" t="n">
        <v>4.78e-05</v>
      </c>
      <c r="D66" s="0">
        <f>$B$49*((0.0008-B66)/0.0003)^2+$B$50*((0.0008-B66)/0.0003)+$B$51</f>
        <v/>
      </c>
      <c r="E66" s="0">
        <f>IF(C66&gt;=D66,"Achievable","NOT achievable")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5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date</t>
        </is>
      </c>
      <c r="B1" s="0" t="inlineStr">
        <is>
          <t>IBM</t>
        </is>
      </c>
      <c r="C1" s="0" t="inlineStr">
        <is>
          <t>GE</t>
        </is>
      </c>
      <c r="D1" s="0" t="inlineStr">
        <is>
          <t>LLY</t>
        </is>
      </c>
      <c r="E1" s="0" t="inlineStr">
        <is>
          <t>F</t>
        </is>
      </c>
      <c r="F1" s="0" t="inlineStr">
        <is>
          <t>BAC</t>
        </is>
      </c>
      <c r="G1" s="0" t="inlineStr">
        <is>
          <t>KR</t>
        </is>
      </c>
      <c r="H1" s="0" t="inlineStr">
        <is>
          <t>ITUB</t>
        </is>
      </c>
      <c r="I1" s="0" t="inlineStr">
        <is>
          <t>GG</t>
        </is>
      </c>
      <c r="J1" s="0" t="inlineStr">
        <is>
          <t>SIRI</t>
        </is>
      </c>
      <c r="K1" s="0" t="inlineStr">
        <is>
          <t>ACB</t>
        </is>
      </c>
      <c r="L1" s="0" t="inlineStr">
        <is>
          <t>VALE</t>
        </is>
      </c>
      <c r="M1" s="0" t="inlineStr">
        <is>
          <t>PFE</t>
        </is>
      </c>
      <c r="N1" s="0" t="inlineStr">
        <is>
          <t>CTL</t>
        </is>
      </c>
      <c r="O1" s="0" t="inlineStr">
        <is>
          <t>T</t>
        </is>
      </c>
      <c r="P1" s="0" t="inlineStr">
        <is>
          <t>ECA</t>
        </is>
      </c>
      <c r="Q1" s="0" t="inlineStr">
        <is>
          <t>ABEV</t>
        </is>
      </c>
      <c r="R1" s="0" t="inlineStr">
        <is>
          <t>CVS</t>
        </is>
      </c>
      <c r="S1" s="0" t="inlineStr">
        <is>
          <t>MRVL</t>
        </is>
      </c>
      <c r="T1" s="0" t="inlineStr">
        <is>
          <t>CSCO</t>
        </is>
      </c>
      <c r="U1" s="0" t="inlineStr">
        <is>
          <t>MO</t>
        </is>
      </c>
      <c r="V1" s="0" t="inlineStr">
        <is>
          <t>BMY</t>
        </is>
      </c>
      <c r="W1" s="0" t="inlineStr">
        <is>
          <t>WFC</t>
        </is>
      </c>
      <c r="X1" s="0" t="inlineStr">
        <is>
          <t>HBAN</t>
        </is>
      </c>
    </row>
    <row r="2">
      <c r="A2" s="0" t="inlineStr">
        <is>
          <t>2018-01-02</t>
        </is>
      </c>
      <c r="B2" s="0" t="n">
        <v>0.027116871718209</v>
      </c>
      <c r="C2" s="0" t="n">
        <v>0.0094105399949433</v>
      </c>
      <c r="D2" s="0" t="n">
        <v>0.0054175033606718</v>
      </c>
      <c r="E2" s="0" t="n">
        <v>0.0078678911908176</v>
      </c>
      <c r="F2" s="0" t="n">
        <v>-0.0033500997290922</v>
      </c>
      <c r="G2" s="0" t="n">
        <v>-0.0160287976196102</v>
      </c>
      <c r="H2" s="0" t="n">
        <v>0.0132160382043386</v>
      </c>
      <c r="I2" s="0" t="n">
        <v>0.0082862738447495</v>
      </c>
      <c r="J2" s="0" t="n">
        <v>0</v>
      </c>
      <c r="K2" s="0" t="n">
        <v>0.1765030592497942</v>
      </c>
      <c r="L2" s="0" t="n">
        <v>0.0062451351363383</v>
      </c>
      <c r="M2" s="0" t="n">
        <v>0.0073821378638938</v>
      </c>
      <c r="N2" s="0" t="n">
        <v>-0.0191365611221501</v>
      </c>
      <c r="O2" s="0" t="n">
        <v>-0.0233636919675763</v>
      </c>
      <c r="P2" s="0" t="n">
        <v>0.0058139642240457</v>
      </c>
      <c r="Q2" s="0" t="n">
        <v>0.0060331949462844</v>
      </c>
      <c r="R2" s="0" t="n">
        <v>-0.0043620531107047</v>
      </c>
      <c r="S2" s="0" t="n">
        <v>0.0306077840550491</v>
      </c>
      <c r="T2" s="0" t="n">
        <v>0.0079456412756688</v>
      </c>
      <c r="U2" s="0" t="n">
        <v>-0.0036821243214815</v>
      </c>
      <c r="V2" s="0" t="n">
        <v>0.0008151828323281</v>
      </c>
      <c r="W2" s="0" t="n">
        <v>0.0076641421194185</v>
      </c>
      <c r="X2" s="0" t="n">
        <v>0.0081855765989202</v>
      </c>
    </row>
    <row r="3">
      <c r="A3" s="0" t="inlineStr">
        <is>
          <t>2018-01-03</t>
        </is>
      </c>
      <c r="B3" s="0" t="n">
        <v>0.0200512132063934</v>
      </c>
      <c r="C3" s="0" t="n">
        <v>0.0207205039455184</v>
      </c>
      <c r="D3" s="0" t="n">
        <v>0.0044532742323823</v>
      </c>
      <c r="E3" s="0" t="n">
        <v>0.0170943801550045</v>
      </c>
      <c r="F3" s="0" t="n">
        <v>0.0130023934992684</v>
      </c>
      <c r="G3" s="0" t="n">
        <v>-0.0317371462577584</v>
      </c>
      <c r="H3" s="0" t="n">
        <v>0.0123233978325321</v>
      </c>
      <c r="I3" s="0" t="n">
        <v>0.004491056876176</v>
      </c>
      <c r="J3" s="0" t="n">
        <v>0.0190119613907151</v>
      </c>
      <c r="K3" s="0" t="n">
        <v>-0.0790853670707365</v>
      </c>
      <c r="L3" s="0" t="n">
        <v>-0.0015576683465705</v>
      </c>
      <c r="M3" s="0" t="n">
        <v>0.0021769214326163</v>
      </c>
      <c r="N3" s="0" t="n">
        <v>-0.0064611451097476</v>
      </c>
      <c r="O3" s="0" t="n">
        <v>0.0092531649524918</v>
      </c>
      <c r="P3" s="0" t="n">
        <v>-0.0242035957382884</v>
      </c>
      <c r="Q3" s="0" t="n">
        <v>-0.0015049256279786</v>
      </c>
      <c r="R3" s="0" t="n">
        <v>0.0260245305467572</v>
      </c>
      <c r="S3" s="0" t="n">
        <v>0.0224631676848301</v>
      </c>
      <c r="T3" s="0" t="n">
        <v>-0.0046058548882315</v>
      </c>
      <c r="U3" s="0" t="n">
        <v>-0.0039807616980835</v>
      </c>
      <c r="V3" s="0" t="n">
        <v>0.0063358085020261</v>
      </c>
      <c r="W3" s="0" t="n">
        <v>0.0124305489186893</v>
      </c>
      <c r="X3" s="0" t="n">
        <v>0.008792759495631399</v>
      </c>
    </row>
    <row r="4">
      <c r="A4" s="0" t="inlineStr">
        <is>
          <t>2018-01-04</t>
        </is>
      </c>
      <c r="B4" s="0" t="n">
        <v>0.0048737475107518</v>
      </c>
      <c r="C4" s="0" t="n">
        <v>0.0005394951276365</v>
      </c>
      <c r="D4" s="0" t="n">
        <v>0.0122031042389014</v>
      </c>
      <c r="E4" s="0" t="n">
        <v>0.0168071391336179</v>
      </c>
      <c r="F4" s="0" t="n">
        <v>0.0046265577763962</v>
      </c>
      <c r="G4" s="0" t="n">
        <v>0.0125231897193409</v>
      </c>
      <c r="H4" s="0" t="n">
        <v>0.0121734803857709</v>
      </c>
      <c r="I4" s="0" t="n">
        <v>0.0022379518853119</v>
      </c>
      <c r="J4" s="0" t="n">
        <v>0.0037593993858255</v>
      </c>
      <c r="K4" s="0" t="n">
        <v>0.0151949601087992</v>
      </c>
      <c r="L4" s="0" t="n">
        <v>0.0200624188976195</v>
      </c>
      <c r="M4" s="0" t="n">
        <v>0.0019008747984141</v>
      </c>
      <c r="N4" s="0" t="n">
        <v>0.0017663052723984</v>
      </c>
      <c r="O4" s="0" t="n">
        <v>0.0036774244429622</v>
      </c>
      <c r="P4" s="0" t="n">
        <v>-0.0089485968254678</v>
      </c>
      <c r="Q4" s="0" t="n">
        <v>0.0045079279851536</v>
      </c>
      <c r="R4" s="0" t="n">
        <v>0.0432415304550257</v>
      </c>
      <c r="S4" s="0" t="n">
        <v>-0.017669059055605</v>
      </c>
      <c r="T4" s="0" t="n">
        <v>0.0137546003850173</v>
      </c>
      <c r="U4" s="0" t="n">
        <v>0.0028450172789824</v>
      </c>
      <c r="V4" s="0" t="n">
        <v>0.0022646303813065</v>
      </c>
      <c r="W4" s="0" t="n">
        <v>0.0067156978143545</v>
      </c>
      <c r="X4" s="0" t="n">
        <v>0.0087160565938448</v>
      </c>
    </row>
    <row r="5">
      <c r="A5" s="0" t="inlineStr">
        <is>
          <t>2018-01-05</t>
        </is>
      </c>
      <c r="B5" s="0" t="n">
        <v>0.0060129995097089</v>
      </c>
      <c r="C5" s="0" t="n">
        <v>-0.0141229938775855</v>
      </c>
      <c r="D5" s="0" t="n">
        <v>-0.005095580790206</v>
      </c>
      <c r="E5" s="0" t="n">
        <v>-0.0037950855280457</v>
      </c>
      <c r="F5" s="0" t="n">
        <v>-0.0069478883903411</v>
      </c>
      <c r="G5" s="0" t="n">
        <v>0.0235134591323387</v>
      </c>
      <c r="H5" s="0" t="n">
        <v>-0.0136154403641941</v>
      </c>
      <c r="I5" s="0" t="n">
        <v>0.0081632852180142</v>
      </c>
      <c r="J5" s="0" t="n">
        <v>-0.0037593993858255</v>
      </c>
      <c r="K5" s="0" t="n">
        <v>0.0527767121906346</v>
      </c>
      <c r="L5" s="0" t="n">
        <v>0.0174180506225107</v>
      </c>
      <c r="M5" s="0" t="n">
        <v>-0.0111854894145291</v>
      </c>
      <c r="N5" s="0" t="n">
        <v>0.0134386799157941</v>
      </c>
      <c r="O5" s="0" t="n">
        <v>0.002879976103197</v>
      </c>
      <c r="P5" s="0" t="n">
        <v>-0.003000749487326</v>
      </c>
      <c r="Q5" s="0" t="n">
        <v>-0.0075245187041359</v>
      </c>
      <c r="R5" s="0" t="n">
        <v>-0.0087057307364073</v>
      </c>
      <c r="S5" s="0" t="n">
        <v>0.0073641258079253</v>
      </c>
      <c r="T5" s="0" t="n">
        <v>0.010318447175647</v>
      </c>
      <c r="U5" s="0" t="n">
        <v>-0.0012792833508008</v>
      </c>
      <c r="V5" s="0" t="n">
        <v>0.0003231091770752</v>
      </c>
      <c r="W5" s="0" t="n">
        <v>-0.0113792249465065</v>
      </c>
      <c r="X5" s="0" t="n">
        <v>-0.0020046604522399</v>
      </c>
    </row>
    <row r="6">
      <c r="A6" s="0" t="inlineStr">
        <is>
          <t>2018-01-08</t>
        </is>
      </c>
      <c r="B6" s="0" t="n">
        <v>0.0021998212781646</v>
      </c>
      <c r="C6" s="0" t="n">
        <v>0.0152011117522112</v>
      </c>
      <c r="D6" s="0" t="n">
        <v>-0.0008130518704847</v>
      </c>
      <c r="E6" s="0" t="n">
        <v>-0.0053373894184862</v>
      </c>
      <c r="F6" s="0" t="n">
        <v>0.0049677073616249</v>
      </c>
      <c r="G6" s="0" t="n">
        <v>-0.0071761648616952</v>
      </c>
      <c r="H6" s="0" t="n">
        <v>-0.0130720693449375</v>
      </c>
      <c r="I6" s="0" t="n">
        <v>0</v>
      </c>
      <c r="J6" s="0" t="n">
        <v>0</v>
      </c>
      <c r="K6" s="0" t="n">
        <v>-0.0220564333581037</v>
      </c>
      <c r="L6" s="0" t="n">
        <v>-0.0060241089794339</v>
      </c>
      <c r="M6" s="0" t="n">
        <v>-0.0010980213892719</v>
      </c>
      <c r="N6" s="0" t="n">
        <v>-0.0408702790241481</v>
      </c>
      <c r="O6" s="0" t="n">
        <v>-0.0200692847536716</v>
      </c>
      <c r="P6" s="0" t="n">
        <v>0.0244910136521623</v>
      </c>
      <c r="Q6" s="0" t="n">
        <v>-0.0060606189193677</v>
      </c>
      <c r="R6" s="0" t="n">
        <v>-0.0010291291546566</v>
      </c>
      <c r="S6" s="0" t="n">
        <v>-0.0008635776830060999</v>
      </c>
      <c r="T6" s="0" t="n">
        <v>-0.0062790614092729</v>
      </c>
      <c r="U6" s="0" t="n">
        <v>-0.010580565938663</v>
      </c>
      <c r="V6" s="0" t="n">
        <v>-0.0009696408986092</v>
      </c>
      <c r="W6" s="0" t="n">
        <v>0.0035397849890834</v>
      </c>
      <c r="X6" s="0" t="n">
        <v>0.0185558497718512</v>
      </c>
    </row>
    <row r="7">
      <c r="A7" s="0" t="inlineStr">
        <is>
          <t>2018-01-09</t>
        </is>
      </c>
      <c r="B7" s="0" t="n">
        <v>0.0021340263004869</v>
      </c>
      <c r="C7" s="0" t="n">
        <v>0.0197392868697758</v>
      </c>
      <c r="D7" s="0" t="n">
        <v>0.0004646946697137</v>
      </c>
      <c r="E7" s="0" t="n">
        <v>-0.0038299695528136</v>
      </c>
      <c r="F7" s="0" t="n">
        <v>0.0092075224878236</v>
      </c>
      <c r="G7" s="0" t="n">
        <v>0.0078909775472744</v>
      </c>
      <c r="H7" s="0" t="n">
        <v>0.0029197073595272</v>
      </c>
      <c r="I7" s="0" t="n">
        <v>0.0175829235374695</v>
      </c>
      <c r="J7" s="0" t="n">
        <v>0.0460062734931749</v>
      </c>
      <c r="K7" s="0" t="n">
        <v>-0.0278966829193363</v>
      </c>
      <c r="L7" s="0" t="n">
        <v>-0.0068208036070456</v>
      </c>
      <c r="M7" s="0" t="n">
        <v>0.0016465802955019</v>
      </c>
      <c r="N7" s="0" t="n">
        <v>0.055275599091674</v>
      </c>
      <c r="O7" s="0" t="n">
        <v>-0.0234797654400469</v>
      </c>
      <c r="P7" s="0" t="n">
        <v>0.0116619283989201</v>
      </c>
      <c r="Q7" s="0" t="n">
        <v>0.0045489403200442</v>
      </c>
      <c r="R7" s="0" t="n">
        <v>-0.003223105892558</v>
      </c>
      <c r="S7" s="0" t="n">
        <v>-0.0004320686650105</v>
      </c>
      <c r="T7" s="0" t="n">
        <v>0.0055276830427981</v>
      </c>
      <c r="U7" s="0" t="n">
        <v>0.0102961186638657</v>
      </c>
      <c r="V7" s="0" t="n">
        <v>0.0025835611262481</v>
      </c>
      <c r="W7" s="0" t="n">
        <v>0.0137185215611701</v>
      </c>
      <c r="X7" s="0" t="n">
        <v>0.0162817017399223</v>
      </c>
    </row>
    <row r="8">
      <c r="A8" s="0" t="inlineStr">
        <is>
          <t>2018-01-10</t>
        </is>
      </c>
      <c r="B8" s="0" t="n">
        <v>0.0001218361235011</v>
      </c>
      <c r="C8" s="0" t="n">
        <v>0.0047430837972322</v>
      </c>
      <c r="D8" s="0" t="n">
        <v>0.0033625275942066</v>
      </c>
      <c r="E8" s="0" t="n">
        <v>0.009927543658977999</v>
      </c>
      <c r="F8" s="0" t="n">
        <v>0.0035942078227582</v>
      </c>
      <c r="G8" s="0" t="n">
        <v>0.003210281090499</v>
      </c>
      <c r="H8" s="0" t="n">
        <v>0.030153010297949</v>
      </c>
      <c r="I8" s="0" t="n">
        <v>0.0093964667086683</v>
      </c>
      <c r="J8" s="0" t="n">
        <v>-0.0108500057326161</v>
      </c>
      <c r="K8" s="0" t="n">
        <v>-0.0873532311709177</v>
      </c>
      <c r="L8" s="0" t="n">
        <v>0.0225573622521486</v>
      </c>
      <c r="M8" s="0" t="n">
        <v>0.0024647458565927</v>
      </c>
      <c r="N8" s="0" t="n">
        <v>-0.0005722591978365</v>
      </c>
      <c r="O8" s="0" t="n">
        <v>-0.0038303574210418</v>
      </c>
      <c r="P8" s="0" t="n">
        <v>0.0172417898961181</v>
      </c>
      <c r="Q8" s="0" t="n">
        <v>0.0239174100443841</v>
      </c>
      <c r="R8" s="0" t="n">
        <v>0.0201974680064234</v>
      </c>
      <c r="S8" s="0" t="n">
        <v>0.0004320686650105</v>
      </c>
      <c r="T8" s="0" t="n">
        <v>0.0047493810233367</v>
      </c>
      <c r="U8" s="0" t="n">
        <v>0</v>
      </c>
      <c r="V8" s="0" t="n">
        <v>0.007390825752001</v>
      </c>
      <c r="W8" s="0" t="n">
        <v>-0.0017442422997788</v>
      </c>
      <c r="X8" s="0" t="n">
        <v>0.0096433131649771</v>
      </c>
    </row>
    <row r="9">
      <c r="A9" s="0" t="inlineStr">
        <is>
          <t>2018-01-11</t>
        </is>
      </c>
      <c r="B9" s="0" t="n">
        <v>-0.0064764543015538</v>
      </c>
      <c r="C9" s="0" t="n">
        <v>-0.0137641134279795</v>
      </c>
      <c r="D9" s="0" t="n">
        <v>0.0068063244580862</v>
      </c>
      <c r="E9" s="0" t="n">
        <v>0.0053050292240883</v>
      </c>
      <c r="F9" s="0" t="n">
        <v>0.0171386792755372</v>
      </c>
      <c r="G9" s="0" t="n">
        <v>0.0021344535558323</v>
      </c>
      <c r="H9" s="0" t="n">
        <v>-0.001415427113657</v>
      </c>
      <c r="I9" s="0" t="n">
        <v>0.0318611560961055</v>
      </c>
      <c r="J9" s="0" t="n">
        <v>-0.0036429877979378</v>
      </c>
      <c r="K9" s="0" t="n">
        <v>-0.1610117472271</v>
      </c>
      <c r="L9" s="0" t="n">
        <v>0.0059303305798255</v>
      </c>
      <c r="M9" s="0" t="n">
        <v>-0.0005472081432698</v>
      </c>
      <c r="N9" s="0" t="n">
        <v>-0.0063163404509958</v>
      </c>
      <c r="O9" s="0" t="n">
        <v>0.011447439740428</v>
      </c>
      <c r="P9" s="0" t="n">
        <v>-0.0042826918191627</v>
      </c>
      <c r="Q9" s="0" t="n">
        <v>-0.0148812127409247</v>
      </c>
      <c r="R9" s="0" t="n">
        <v>-0.0030418004534977</v>
      </c>
      <c r="S9" s="0" t="n">
        <v>0.0293700845435789</v>
      </c>
      <c r="T9" s="0" t="n">
        <v>0.0190199751810498</v>
      </c>
      <c r="U9" s="0" t="n">
        <v>-0.0097213102640809</v>
      </c>
      <c r="V9" s="0" t="n">
        <v>0.0054278572843911</v>
      </c>
      <c r="W9" s="0" t="n">
        <v>-0.0073271926002149</v>
      </c>
      <c r="X9" s="0" t="n">
        <v>0.013977372635519</v>
      </c>
    </row>
    <row r="10">
      <c r="A10" s="0" t="inlineStr">
        <is>
          <t>2018-01-12</t>
        </is>
      </c>
      <c r="B10" s="0" t="n">
        <v>0.0043426882642929</v>
      </c>
      <c r="C10" s="0" t="n">
        <v>-0.0297560831102829</v>
      </c>
      <c r="D10" s="0" t="n">
        <v>-0.0196210206985023</v>
      </c>
      <c r="E10" s="0" t="n">
        <v>-0.0098746841995032</v>
      </c>
      <c r="F10" s="0" t="n">
        <v>0.0016017699024906</v>
      </c>
      <c r="G10" s="0" t="n">
        <v>0.0039014275960282</v>
      </c>
      <c r="H10" s="0" t="n">
        <v>0.0126673937593411</v>
      </c>
      <c r="I10" s="0" t="n">
        <v>0.0699680013700727</v>
      </c>
      <c r="J10" s="0" t="n">
        <v>-0.0184167089952485</v>
      </c>
      <c r="K10" s="0" t="n">
        <v>0.1475887149988137</v>
      </c>
      <c r="L10" s="0" t="n">
        <v>-0.0269679008984429</v>
      </c>
      <c r="M10" s="0" t="n">
        <v>0.0016406227112959</v>
      </c>
      <c r="N10" s="0" t="n">
        <v>-0.0011527642385451</v>
      </c>
      <c r="O10" s="0" t="n">
        <v>-0.004889993402374</v>
      </c>
      <c r="P10" s="0" t="n">
        <v>-0.038648612194664</v>
      </c>
      <c r="Q10" s="0" t="n">
        <v>0.0119226335185336</v>
      </c>
      <c r="R10" s="0" t="n">
        <v>0.008342908421952599</v>
      </c>
      <c r="S10" s="0" t="n">
        <v>-0.0109659567239592</v>
      </c>
      <c r="T10" s="0" t="n">
        <v>-0.008107107834566901</v>
      </c>
      <c r="U10" s="0" t="n">
        <v>-0.009961858856833299</v>
      </c>
      <c r="V10" s="0" t="n">
        <v>-0.0471040096798587</v>
      </c>
      <c r="W10" s="0" t="n">
        <v>-0.0007996679732906</v>
      </c>
      <c r="X10" s="0" t="n">
        <v>-0.0107834900057772</v>
      </c>
    </row>
    <row r="11">
      <c r="A11" s="0" t="inlineStr">
        <is>
          <t>2018-01-16</t>
        </is>
      </c>
      <c r="B11" s="0" t="n">
        <v>0.0288741129217786</v>
      </c>
      <c r="C11" s="0" t="n">
        <v>-0.0483784061820666</v>
      </c>
      <c r="D11" s="0" t="n">
        <v>0.0107289445367939</v>
      </c>
      <c r="E11" s="0" t="n">
        <v>-0.0728169719896985</v>
      </c>
      <c r="F11" s="0" t="n">
        <v>-0.0019224442277421</v>
      </c>
      <c r="G11" s="0" t="n">
        <v>0.0147578249639357</v>
      </c>
      <c r="H11" s="0" t="n">
        <v>0.0159558752552158</v>
      </c>
      <c r="I11" s="0" t="n">
        <v>-0.0458704893494292</v>
      </c>
      <c r="J11" s="0" t="n">
        <v>0.0110906759410789</v>
      </c>
      <c r="K11" s="0" t="n">
        <v>0.0307086762062334</v>
      </c>
      <c r="L11" s="0" t="n">
        <v>0.0135748918725697</v>
      </c>
      <c r="M11" s="0" t="n">
        <v>0.0157227917847215</v>
      </c>
      <c r="N11" s="0" t="n">
        <v>0.0051768968884213</v>
      </c>
      <c r="O11" s="0" t="n">
        <v>0.0035339782316663</v>
      </c>
      <c r="P11" s="0" t="n">
        <v>0.0103551475241889</v>
      </c>
      <c r="Q11" s="0" t="n">
        <v>0.0044346280130493</v>
      </c>
      <c r="R11" s="0" t="n">
        <v>0.0007549711906627</v>
      </c>
      <c r="S11" s="0" t="n">
        <v>0.0004240080142245</v>
      </c>
      <c r="T11" s="0" t="n">
        <v>0.0161491112662659</v>
      </c>
      <c r="U11" s="0" t="n">
        <v>0.0176894432082281</v>
      </c>
      <c r="V11" s="0" t="n">
        <v>0.0317017655172184</v>
      </c>
      <c r="W11" s="0" t="n">
        <v>0.0218397833251069</v>
      </c>
      <c r="X11" s="0" t="n">
        <v>0.0050890645676893</v>
      </c>
    </row>
    <row r="12">
      <c r="A12" s="0" t="inlineStr">
        <is>
          <t>2018-01-17</t>
        </is>
      </c>
      <c r="B12" s="0" t="n">
        <v>0.0027829679328146</v>
      </c>
      <c r="C12" s="0" t="n">
        <v>-0.0340008865842942</v>
      </c>
      <c r="D12" s="0" t="n">
        <v>-0.0045340935947182</v>
      </c>
      <c r="E12" s="0" t="n">
        <v>-0.009072277511619599</v>
      </c>
      <c r="F12" s="0" t="n">
        <v>0.009575535590609901</v>
      </c>
      <c r="G12" s="0" t="n">
        <v>0.0135113572079941</v>
      </c>
      <c r="H12" s="0" t="n">
        <v>0.0020626123839333</v>
      </c>
      <c r="I12" s="0" t="n">
        <v>-0.0213139360518272</v>
      </c>
      <c r="J12" s="0" t="n">
        <v>0.0054995066913829</v>
      </c>
      <c r="K12" s="0" t="n">
        <v>0.0537700950370263</v>
      </c>
      <c r="L12" s="0" t="n">
        <v>0</v>
      </c>
      <c r="M12" s="0" t="n">
        <v>-0.0051233392807681</v>
      </c>
      <c r="N12" s="0" t="n">
        <v>-0.0051768968884213</v>
      </c>
      <c r="O12" s="0" t="n">
        <v>0.008108235009718801</v>
      </c>
      <c r="P12" s="0" t="n">
        <v>-0.0140795609020307</v>
      </c>
      <c r="Q12" s="0" t="n">
        <v>-0.0029542089843559</v>
      </c>
      <c r="R12" s="0" t="n">
        <v>-0.0018885939175961</v>
      </c>
      <c r="S12" s="0" t="n">
        <v>0.0042301408263694</v>
      </c>
      <c r="T12" s="0" t="n">
        <v>0.0024242066204482</v>
      </c>
      <c r="U12" s="0" t="n">
        <v>-0.0017121240638484</v>
      </c>
      <c r="V12" s="0" t="n">
        <v>-0.0003233609830415</v>
      </c>
      <c r="W12" s="0" t="n">
        <v>0.0010951998876382</v>
      </c>
      <c r="X12" s="0" t="n">
        <v>-0.0159901070071954</v>
      </c>
    </row>
    <row r="13">
      <c r="A13" s="0" t="inlineStr">
        <is>
          <t>2018-01-18</t>
        </is>
      </c>
      <c r="B13" s="0" t="n">
        <v>-0.0407308417231577</v>
      </c>
      <c r="C13" s="0" t="n">
        <v>-0.0308834998682008</v>
      </c>
      <c r="D13" s="0" t="n">
        <v>-0.0038526909573128</v>
      </c>
      <c r="E13" s="0" t="n">
        <v>-0.0058163600376133</v>
      </c>
      <c r="F13" s="0" t="n">
        <v>0.0075949661117733</v>
      </c>
      <c r="G13" s="0" t="n">
        <v>0.0224575569813589</v>
      </c>
      <c r="H13" s="0" t="n">
        <v>0.0149968581271107</v>
      </c>
      <c r="I13" s="0" t="n">
        <v>-0.0048764045363607</v>
      </c>
      <c r="J13" s="0" t="n">
        <v>0.023488002633504</v>
      </c>
      <c r="K13" s="0" t="n">
        <v>0.0284415096471573</v>
      </c>
      <c r="L13" s="0" t="n">
        <v>0.0007487289899188</v>
      </c>
      <c r="M13" s="0" t="n">
        <v>-0.0013527136257587</v>
      </c>
      <c r="N13" s="0" t="n">
        <v>-0.00173164181659</v>
      </c>
      <c r="O13" s="0" t="n">
        <v>0.0016137055169713</v>
      </c>
      <c r="P13" s="0" t="n">
        <v>0.0066939747639107</v>
      </c>
      <c r="Q13" s="0" t="n">
        <v>0.0146845372874027</v>
      </c>
      <c r="R13" s="0" t="n">
        <v>0.0064066815351546</v>
      </c>
      <c r="S13" s="0" t="n">
        <v>-0.0004222178109869</v>
      </c>
      <c r="T13" s="0" t="n">
        <v>-0.000242119422777</v>
      </c>
      <c r="U13" s="0" t="n">
        <v>0.0154449255883504</v>
      </c>
      <c r="V13" s="0" t="n">
        <v>0.0072516141807366</v>
      </c>
      <c r="W13" s="0" t="n">
        <v>0.0042131677144121</v>
      </c>
      <c r="X13" s="0" t="n">
        <v>0.0191576858171043</v>
      </c>
    </row>
    <row r="14">
      <c r="A14" s="0" t="inlineStr">
        <is>
          <t>2018-01-19</t>
        </is>
      </c>
      <c r="B14" s="0" t="n">
        <v>0.0014155831238182</v>
      </c>
      <c r="C14" s="0" t="n">
        <v>-0.0055504212508625</v>
      </c>
      <c r="D14" s="0" t="n">
        <v>-0.000584981263672</v>
      </c>
      <c r="E14" s="0" t="n">
        <v>0.0016653174025607</v>
      </c>
      <c r="F14" s="0" t="n">
        <v>0.0069117843879551</v>
      </c>
      <c r="G14" s="0" t="n">
        <v>-0.0030328634840386</v>
      </c>
      <c r="H14" s="0" t="n">
        <v>0.0227434334670646</v>
      </c>
      <c r="I14" s="0" t="n">
        <v>0.009037261137454899</v>
      </c>
      <c r="J14" s="0" t="n">
        <v>0.0088889813263359</v>
      </c>
      <c r="K14" s="0" t="n">
        <v>0.0785416135956396</v>
      </c>
      <c r="L14" s="0" t="n">
        <v>-0.0029985002095402</v>
      </c>
      <c r="M14" s="0" t="n">
        <v>-0.0002707004667343</v>
      </c>
      <c r="N14" s="0" t="n">
        <v>0.0205839523137467</v>
      </c>
      <c r="O14" s="0" t="n">
        <v>0.0175816959547221</v>
      </c>
      <c r="P14" s="0" t="n">
        <v>0.0103246008518071</v>
      </c>
      <c r="Q14" s="0" t="n">
        <v>-0.0087848209692293</v>
      </c>
      <c r="R14" s="0" t="n">
        <v>0.013556533146505</v>
      </c>
      <c r="S14" s="0" t="n">
        <v>-0.0025369766034533</v>
      </c>
      <c r="T14" s="0" t="n">
        <v>0.008921070099030899</v>
      </c>
      <c r="U14" s="0" t="n">
        <v>0.0022471362124578</v>
      </c>
      <c r="V14" s="0" t="n">
        <v>0.0159289768033392</v>
      </c>
      <c r="W14" s="0" t="n">
        <v>0.007910116748456901</v>
      </c>
      <c r="X14" s="0" t="n">
        <v>0.0138193316938881</v>
      </c>
    </row>
    <row r="15">
      <c r="A15" s="0" t="inlineStr">
        <is>
          <t>2018-01-22</t>
        </is>
      </c>
      <c r="B15" s="0" t="n">
        <v>0.0221994448852571</v>
      </c>
      <c r="C15" s="0" t="n">
        <v>0.043564103206299</v>
      </c>
      <c r="D15" s="0" t="n">
        <v>-0.0120100851218643</v>
      </c>
      <c r="E15" s="0" t="n">
        <v>-0.0050042154785292</v>
      </c>
      <c r="F15" s="0" t="n">
        <v>-0.000626384535749</v>
      </c>
      <c r="G15" s="0" t="n">
        <v>-0.010858596759903</v>
      </c>
      <c r="H15" s="0" t="n">
        <v>-0.0146571438306306</v>
      </c>
      <c r="I15" s="0" t="n">
        <v>0.0225804960943571</v>
      </c>
      <c r="J15" s="0" t="n">
        <v>0.0052956404734452</v>
      </c>
      <c r="K15" s="0" t="n">
        <v>0.0245042159592565</v>
      </c>
      <c r="L15" s="0" t="n">
        <v>-0.0476646637550959</v>
      </c>
      <c r="M15" s="0" t="n">
        <v>-0.0029830696114836</v>
      </c>
      <c r="N15" s="0" t="n">
        <v>-0.019429191324221</v>
      </c>
      <c r="O15" s="0" t="n">
        <v>-0.0181193426982906</v>
      </c>
      <c r="P15" s="0" t="n">
        <v>-0.0058866927026097</v>
      </c>
      <c r="Q15" s="0" t="n">
        <v>-0.013323683562622</v>
      </c>
      <c r="R15" s="0" t="n">
        <v>-0.0063200471692494</v>
      </c>
      <c r="S15" s="0" t="n">
        <v>-0.003817614378867</v>
      </c>
      <c r="T15" s="0" t="n">
        <v>0.0105062722740498</v>
      </c>
      <c r="U15" s="0" t="n">
        <v>0.0023820956269906</v>
      </c>
      <c r="V15" s="0" t="n">
        <v>0.0023676362881337</v>
      </c>
      <c r="W15" s="0" t="n">
        <v>-0.0037146845206725</v>
      </c>
      <c r="X15" s="0" t="n">
        <v>0.0006236500596421</v>
      </c>
    </row>
    <row r="16">
      <c r="A16" s="0" t="inlineStr">
        <is>
          <t>2018-01-23</t>
        </is>
      </c>
      <c r="B16" s="0" t="n">
        <v>-0.0053073214004504</v>
      </c>
      <c r="C16" s="0" t="n">
        <v>-0.0270043543720666</v>
      </c>
      <c r="D16" s="0" t="n">
        <v>-0.0014224174555614</v>
      </c>
      <c r="E16" s="0" t="n">
        <v>0.0074969240532514</v>
      </c>
      <c r="F16" s="0" t="n">
        <v>0.0053116849049947</v>
      </c>
      <c r="G16" s="0" t="n">
        <v>0.0057833152913984</v>
      </c>
      <c r="H16" s="0" t="n">
        <v>0.0774580763322765</v>
      </c>
      <c r="I16" s="0" t="n">
        <v>0.0094277024359961</v>
      </c>
      <c r="J16" s="0" t="n">
        <v>0.008764331544368099</v>
      </c>
      <c r="K16" s="0" t="n">
        <v>-0.0505045322405317</v>
      </c>
      <c r="L16" s="0" t="n">
        <v>0.0370985737827687</v>
      </c>
      <c r="M16" s="0" t="n">
        <v>0.0029830696114836</v>
      </c>
      <c r="N16" s="0" t="n">
        <v>0.0034561939432493</v>
      </c>
      <c r="O16" s="0" t="n">
        <v>-0.0045815514999678</v>
      </c>
      <c r="P16" s="0" t="n">
        <v>0.013924708734053</v>
      </c>
      <c r="Q16" s="0" t="n">
        <v>0.0235651329075079</v>
      </c>
      <c r="R16" s="0" t="n">
        <v>0.0059493944164819</v>
      </c>
      <c r="S16" s="0" t="n">
        <v>-0.0102521087148361</v>
      </c>
      <c r="T16" s="0" t="n">
        <v>0.0016613198934978</v>
      </c>
      <c r="U16" s="0" t="n">
        <v>0.0015383628595264</v>
      </c>
      <c r="V16" s="0" t="n">
        <v>0.0051890677001704</v>
      </c>
      <c r="W16" s="0" t="n">
        <v>0.0152346638721834</v>
      </c>
      <c r="X16" s="0" t="n">
        <v>0.0043545755592537</v>
      </c>
    </row>
    <row r="17">
      <c r="A17" s="0" t="inlineStr">
        <is>
          <t>2018-01-24</t>
        </is>
      </c>
      <c r="B17" s="0" t="n">
        <v>0.0006045587454268</v>
      </c>
      <c r="C17" s="0" t="n">
        <v>-0.0159414777739685</v>
      </c>
      <c r="D17" s="0" t="n">
        <v>0.0083870205494642</v>
      </c>
      <c r="E17" s="0" t="n">
        <v>-0.0406491609361703</v>
      </c>
      <c r="F17" s="0" t="n">
        <v>0</v>
      </c>
      <c r="G17" s="0" t="n">
        <v>0.0261146641308553</v>
      </c>
      <c r="H17" s="0" t="n">
        <v>0.0257524712540737</v>
      </c>
      <c r="I17" s="0" t="n">
        <v>-0.0128164004915749</v>
      </c>
      <c r="J17" s="0" t="n">
        <v>0.0069565431590237</v>
      </c>
      <c r="K17" s="0" t="n">
        <v>-0.0646853148055774</v>
      </c>
      <c r="L17" s="0" t="n">
        <v>-0.0176047788118349</v>
      </c>
      <c r="M17" s="0" t="n">
        <v>0.008090638460966399</v>
      </c>
      <c r="N17" s="0" t="n">
        <v>0.0221789754363963</v>
      </c>
      <c r="O17" s="0" t="n">
        <v>0.0115484108247847</v>
      </c>
      <c r="P17" s="0" t="n">
        <v>-0.0191041986107056</v>
      </c>
      <c r="Q17" s="0" t="n">
        <v>-0.0073045925505308</v>
      </c>
      <c r="R17" s="0" t="n">
        <v>0.0081231666627266</v>
      </c>
      <c r="S17" s="0" t="n">
        <v>-0.0120952092118051</v>
      </c>
      <c r="T17" s="0" t="n">
        <v>-0.006423160992429</v>
      </c>
      <c r="U17" s="0" t="n">
        <v>-0.0233274716165157</v>
      </c>
      <c r="V17" s="0" t="n">
        <v>-0.0037711840117102</v>
      </c>
      <c r="W17" s="0" t="n">
        <v>0.0025928202219569</v>
      </c>
      <c r="X17" s="0" t="n">
        <v>-0.0037314330345297</v>
      </c>
    </row>
    <row r="18">
      <c r="A18" s="0" t="inlineStr">
        <is>
          <t>2018-01-25</t>
        </is>
      </c>
      <c r="B18" s="0" t="n">
        <v>0.0112377321022689</v>
      </c>
      <c r="C18" s="0" t="n">
        <v>-0.0030950620188456</v>
      </c>
      <c r="D18" s="0" t="n">
        <v>0.0240583356351828</v>
      </c>
      <c r="E18" s="0" t="n">
        <v>0.0068906324384134</v>
      </c>
      <c r="F18" s="0" t="n">
        <v>0.0034220163673701</v>
      </c>
      <c r="G18" s="0" t="n">
        <v>0.0202819820552768</v>
      </c>
      <c r="H18" s="0" t="n">
        <v>0.0274643869859469</v>
      </c>
      <c r="I18" s="0" t="n">
        <v>0.0006786718356757</v>
      </c>
      <c r="J18" s="0" t="n">
        <v>0.0357484939377086</v>
      </c>
      <c r="K18" s="0" t="n">
        <v>0.0158511542878985</v>
      </c>
      <c r="L18" s="0" t="n">
        <v>0.012279498170769</v>
      </c>
      <c r="M18" s="0" t="n">
        <v>0.0467031049029205</v>
      </c>
      <c r="N18" s="0" t="n">
        <v>0.0244455854407097</v>
      </c>
      <c r="O18" s="0" t="n">
        <v>0.009831324825703799</v>
      </c>
      <c r="P18" s="0" t="n">
        <v>-0.0089419291147425</v>
      </c>
      <c r="Q18" s="0" t="n">
        <v>0.0116619283989201</v>
      </c>
      <c r="R18" s="0" t="n">
        <v>0.0052570607624256</v>
      </c>
      <c r="S18" s="0" t="n">
        <v>0.016379640507202</v>
      </c>
      <c r="T18" s="0" t="n">
        <v>0.0156290139553152</v>
      </c>
      <c r="U18" s="0" t="n">
        <v>0.0157527273404101</v>
      </c>
      <c r="V18" s="0" t="n">
        <v>0.0114268996298418</v>
      </c>
      <c r="W18" s="0" t="n">
        <v>0.0042559537625548</v>
      </c>
      <c r="X18" s="0" t="n">
        <v>0.009919477227557901</v>
      </c>
    </row>
    <row r="19">
      <c r="A19" s="0" t="inlineStr">
        <is>
          <t>2018-01-26</t>
        </is>
      </c>
      <c r="B19" s="0" t="n">
        <v>-0.0032321407626527</v>
      </c>
      <c r="C19" s="0" t="n">
        <v>0.009256473385120499</v>
      </c>
      <c r="D19" s="0" t="n">
        <v>0.0059537231300197</v>
      </c>
      <c r="E19" s="0" t="n">
        <v>-0.0465608687365395</v>
      </c>
      <c r="F19" s="0" t="n">
        <v>0.0024813293415313</v>
      </c>
      <c r="G19" s="0" t="n">
        <v>0.0147865438173373</v>
      </c>
      <c r="H19" s="0" t="n">
        <v>-0.0439432744922885</v>
      </c>
      <c r="I19" s="0" t="n">
        <v>-0.0303053206292869</v>
      </c>
      <c r="J19" s="0" t="n">
        <v>0</v>
      </c>
      <c r="K19" s="0" t="n">
        <v>-0.0300492698794165</v>
      </c>
      <c r="L19" s="0" t="n">
        <v>-0.004587123203354</v>
      </c>
      <c r="M19" s="0" t="n">
        <v>0.0002563664344923</v>
      </c>
      <c r="N19" s="0" t="n">
        <v>-0.0104827788467245</v>
      </c>
      <c r="O19" s="0" t="n">
        <v>-0.0149177350351239</v>
      </c>
      <c r="P19" s="0" t="n">
        <v>-0.028855466401592</v>
      </c>
      <c r="Q19" s="0" t="n">
        <v>-0.0116619283989201</v>
      </c>
      <c r="R19" s="0" t="n">
        <v>0.0195610574546325</v>
      </c>
      <c r="S19" s="0" t="n">
        <v>0.0025619729254833</v>
      </c>
      <c r="T19" s="0" t="n">
        <v>0.0067907321334477</v>
      </c>
      <c r="U19" s="0" t="n">
        <v>-0.0168977371679517</v>
      </c>
      <c r="V19" s="0" t="n">
        <v>0.0027976441117694</v>
      </c>
      <c r="W19" s="0" t="n">
        <v>-0.00166983887532</v>
      </c>
      <c r="X19" s="0" t="n">
        <v>0.0012330740533004</v>
      </c>
    </row>
    <row r="20">
      <c r="A20" s="0" t="inlineStr">
        <is>
          <t>2018-01-29</t>
        </is>
      </c>
      <c r="B20" s="0" t="n">
        <v>-0.0192488719773979</v>
      </c>
      <c r="C20" s="0" t="n">
        <v>-0.0204785174783781</v>
      </c>
      <c r="D20" s="0" t="n">
        <v>-0.0173877623919249</v>
      </c>
      <c r="E20" s="0" t="n">
        <v>-0.0054102444967716</v>
      </c>
      <c r="F20" s="0" t="n">
        <v>-0.012468977988413</v>
      </c>
      <c r="G20" s="0" t="n">
        <v>-0.0164070023732718</v>
      </c>
      <c r="H20" s="0" t="n">
        <v>0.0061349829141179</v>
      </c>
      <c r="I20" s="0" t="n">
        <v>-0.0070175994287815</v>
      </c>
      <c r="J20" s="0" t="n">
        <v>-0.0050293836508283</v>
      </c>
      <c r="K20" s="0" t="n">
        <v>-0.1048310186153225</v>
      </c>
      <c r="L20" s="0" t="n">
        <v>-0.0046083353217416</v>
      </c>
      <c r="M20" s="0" t="n">
        <v>-0.0317652644845205</v>
      </c>
      <c r="N20" s="0" t="n">
        <v>-0.0122770079835459</v>
      </c>
      <c r="O20" s="0" t="n">
        <v>0.0048192948035858</v>
      </c>
      <c r="P20" s="0" t="n">
        <v>-0.0210205878063982</v>
      </c>
      <c r="Q20" s="0" t="n">
        <v>0.0029282569169695</v>
      </c>
      <c r="R20" s="0" t="n">
        <v>-0.0420034252871595</v>
      </c>
      <c r="S20" s="0" t="n">
        <v>-0.0141724473238209</v>
      </c>
      <c r="T20" s="0" t="n">
        <v>-0.0141012556308295</v>
      </c>
      <c r="U20" s="0" t="n">
        <v>-0.0001432457735521</v>
      </c>
      <c r="V20" s="0" t="n">
        <v>-0.0073214942354065</v>
      </c>
      <c r="W20" s="0" t="n">
        <v>-0.0082380469223179</v>
      </c>
      <c r="X20" s="0" t="n">
        <v>-0.008042057637524601</v>
      </c>
    </row>
    <row r="21">
      <c r="A21" s="0" t="inlineStr">
        <is>
          <t>2018-01-30</t>
        </is>
      </c>
      <c r="B21" s="0" t="n">
        <v>0.0004888294915499</v>
      </c>
      <c r="C21" s="0" t="n">
        <v>0.0136988350518394</v>
      </c>
      <c r="D21" s="0" t="n">
        <v>-0.0554039205515257</v>
      </c>
      <c r="E21" s="0" t="n">
        <v>-0.008170735405343899</v>
      </c>
      <c r="F21" s="0" t="n">
        <v>0.0037570752024742</v>
      </c>
      <c r="G21" s="0" t="n">
        <v>-0.0153622667921577</v>
      </c>
      <c r="H21" s="0" t="n">
        <v>0.0030534782992011</v>
      </c>
      <c r="I21" s="0" t="n">
        <v>0.008415189046159399</v>
      </c>
      <c r="J21" s="0" t="n">
        <v>0.0265356075340301</v>
      </c>
      <c r="K21" s="0" t="n">
        <v>0.0106355798497981</v>
      </c>
      <c r="L21" s="0" t="n">
        <v>0.0076687785159781</v>
      </c>
      <c r="M21" s="0" t="n">
        <v>-0.0203106479467192</v>
      </c>
      <c r="N21" s="0" t="n">
        <v>0</v>
      </c>
      <c r="O21" s="0" t="n">
        <v>0.0002671154058342</v>
      </c>
      <c r="P21" s="0" t="n">
        <v>-0.026306811702232</v>
      </c>
      <c r="Q21" s="0" t="n">
        <v>0.0043763356335613</v>
      </c>
      <c r="R21" s="0" t="n">
        <v>-0.0188827356916929</v>
      </c>
      <c r="S21" s="0" t="n">
        <v>0.009042002659932699</v>
      </c>
      <c r="T21" s="0" t="n">
        <v>-0.0169475133155598</v>
      </c>
      <c r="U21" s="0" t="n">
        <v>0.0074200776768682</v>
      </c>
      <c r="V21" s="0" t="n">
        <v>-0.0214926199207017</v>
      </c>
      <c r="W21" s="0" t="n">
        <v>0.0076301302471959</v>
      </c>
      <c r="X21" s="0" t="n">
        <v>0.0049566348074532</v>
      </c>
    </row>
    <row r="22">
      <c r="A22" s="0" t="inlineStr">
        <is>
          <t>2018-01-31</t>
        </is>
      </c>
      <c r="B22" s="0" t="n">
        <v>-0.007973075590355001</v>
      </c>
      <c r="C22" s="0" t="n">
        <v>-0.0093197368879338</v>
      </c>
      <c r="D22" s="0" t="n">
        <v>0.0117175356327869</v>
      </c>
      <c r="E22" s="0" t="n">
        <v>-0.0045683213254874</v>
      </c>
      <c r="F22" s="0" t="n">
        <v>0.0155041865359653</v>
      </c>
      <c r="G22" s="0" t="n">
        <v>-0.0049530075380954</v>
      </c>
      <c r="H22" s="0" t="n">
        <v>0.0115188014971394</v>
      </c>
      <c r="I22" s="0" t="n">
        <v>-0.0020971509490528</v>
      </c>
      <c r="J22" s="0" t="n">
        <v>0</v>
      </c>
      <c r="K22" s="0" t="n">
        <v>-0.1339653772758708</v>
      </c>
      <c r="L22" s="0" t="n">
        <v>0.0068519606501835</v>
      </c>
      <c r="M22" s="0" t="n">
        <v>-0.005685654321875</v>
      </c>
      <c r="N22" s="0" t="n">
        <v>0.0078300901226984</v>
      </c>
      <c r="O22" s="0" t="n">
        <v>0.0446490834303419</v>
      </c>
      <c r="P22" s="0" t="n">
        <v>-0.0089249804700939</v>
      </c>
      <c r="Q22" s="0" t="n">
        <v>0.011577542556644</v>
      </c>
      <c r="R22" s="0" t="n">
        <v>0.0012699833049243</v>
      </c>
      <c r="S22" s="0" t="n">
        <v>-0.0317901596056993</v>
      </c>
      <c r="T22" s="0" t="n">
        <v>0.0038443066130429</v>
      </c>
      <c r="U22" s="0" t="n">
        <v>-0.0058458289030713</v>
      </c>
      <c r="V22" s="0" t="n">
        <v>0.0031898075944454</v>
      </c>
      <c r="W22" s="0" t="n">
        <v>-0.0041129868505391</v>
      </c>
      <c r="X22" s="0" t="n">
        <v>0.009840168278518699</v>
      </c>
    </row>
    <row r="23">
      <c r="A23" s="0" t="inlineStr">
        <is>
          <t>2018-02-01</t>
        </is>
      </c>
      <c r="B23" s="0" t="n">
        <v>-0.0209695341524582</v>
      </c>
      <c r="C23" s="0" t="n">
        <v>-0.0240061729546963</v>
      </c>
      <c r="D23" s="0" t="n">
        <v>-0.0150379180429727</v>
      </c>
      <c r="E23" s="0" t="n">
        <v>-0.0194180892819173</v>
      </c>
      <c r="F23" s="0" t="n">
        <v>-0.0170678846329792</v>
      </c>
      <c r="G23" s="0" t="n">
        <v>-0.0292211871776264</v>
      </c>
      <c r="H23" s="0" t="n">
        <v>-0.0355866306212844</v>
      </c>
      <c r="I23" s="0" t="n">
        <v>-0.0421641703604622</v>
      </c>
      <c r="J23" s="0" t="n">
        <v>0</v>
      </c>
      <c r="K23" s="0" t="n">
        <v>-0.1965541233472256</v>
      </c>
      <c r="L23" s="0" t="n">
        <v>-0.0497770200660694</v>
      </c>
      <c r="M23" s="0" t="n">
        <v>-0.0059913363695023</v>
      </c>
      <c r="N23" s="0" t="n">
        <v>-0.0123320631703554</v>
      </c>
      <c r="O23" s="0" t="n">
        <v>-0.0282292513875543</v>
      </c>
      <c r="P23" s="0" t="n">
        <v>-0.0604718425487287</v>
      </c>
      <c r="Q23" s="0" t="n">
        <v>-0.0291991272483966</v>
      </c>
      <c r="R23" s="0" t="n">
        <v>-0.0301492044207174</v>
      </c>
      <c r="S23" s="0" t="n">
        <v>-0.007550561019618</v>
      </c>
      <c r="T23" s="0" t="n">
        <v>-0.0186378491403127</v>
      </c>
      <c r="U23" s="0" t="n">
        <v>-0.0076078565803072</v>
      </c>
      <c r="V23" s="0" t="n">
        <v>0.0107698271216243</v>
      </c>
      <c r="W23" s="0" t="n">
        <v>-0.0222266044652439</v>
      </c>
      <c r="X23" s="0" t="n">
        <v>-0.0160398397639891</v>
      </c>
    </row>
    <row r="24">
      <c r="A24" s="0" t="inlineStr">
        <is>
          <t>2018-02-02</t>
        </is>
      </c>
      <c r="B24" s="0" t="n">
        <v>-0.0417315659830892</v>
      </c>
      <c r="C24" s="0" t="n">
        <v>-0.0477996263307063</v>
      </c>
      <c r="D24" s="0" t="n">
        <v>-0.0465200469619633</v>
      </c>
      <c r="E24" s="0" t="n">
        <v>-0.0448762907618469</v>
      </c>
      <c r="F24" s="0" t="n">
        <v>-0.0543454887786616</v>
      </c>
      <c r="G24" s="0" t="n">
        <v>-0.03010090074378</v>
      </c>
      <c r="H24" s="0" t="n">
        <v>-0.0356044896593927</v>
      </c>
      <c r="I24" s="0" t="n">
        <v>-0.0176734918611458</v>
      </c>
      <c r="J24" s="0" t="n">
        <v>-0.0148395388829118</v>
      </c>
      <c r="K24" s="0" t="n">
        <v>0.0717102294727702</v>
      </c>
      <c r="L24" s="0" t="n">
        <v>-0.0120338088120353</v>
      </c>
      <c r="M24" s="0" t="n">
        <v>-0.0544467369207382</v>
      </c>
      <c r="N24" s="0" t="n">
        <v>-0.0538792532713729</v>
      </c>
      <c r="O24" s="0" t="n">
        <v>-0.0385589564279333</v>
      </c>
      <c r="P24" s="0" t="n">
        <v>-0.0388398807322434</v>
      </c>
      <c r="Q24" s="0" t="n">
        <v>-0.0255077711420372</v>
      </c>
      <c r="R24" s="0" t="n">
        <v>-0.0418034736474615</v>
      </c>
      <c r="S24" s="0" t="n">
        <v>-0.0493476045957459</v>
      </c>
      <c r="T24" s="0" t="n">
        <v>-0.0539586796234941</v>
      </c>
      <c r="U24" s="0" t="n">
        <v>-0.0496262565843341</v>
      </c>
      <c r="V24" s="0" t="n">
        <v>-0.0405069920871623</v>
      </c>
      <c r="W24" s="0" t="n">
        <v>-0.0967784002860918</v>
      </c>
      <c r="X24" s="0" t="n">
        <v>-0.041262572853022</v>
      </c>
    </row>
    <row r="25">
      <c r="A25" s="0" t="inlineStr">
        <is>
          <t>2018-02-05</t>
        </is>
      </c>
      <c r="B25" s="0" t="n">
        <v>0.018254949407896</v>
      </c>
      <c r="C25" s="0" t="n">
        <v>0.0238580156768106</v>
      </c>
      <c r="D25" s="0" t="n">
        <v>0.0064317177432879</v>
      </c>
      <c r="E25" s="0" t="n">
        <v>0.0495339787455648</v>
      </c>
      <c r="F25" s="0" t="n">
        <v>0.0305914033445731</v>
      </c>
      <c r="G25" s="0" t="n">
        <v>0.0208558269010881</v>
      </c>
      <c r="H25" s="0" t="n">
        <v>0.0374766079264277</v>
      </c>
      <c r="I25" s="0" t="n">
        <v>-0.0294028227638833</v>
      </c>
      <c r="J25" s="0" t="n">
        <v>0.0049710474167967</v>
      </c>
      <c r="K25" s="0" t="n">
        <v>0.2239573758571069</v>
      </c>
      <c r="L25" s="0" t="n">
        <v>0.0526644326274841</v>
      </c>
      <c r="M25" s="0" t="n">
        <v>0.0174414896550376</v>
      </c>
      <c r="N25" s="0" t="n">
        <v>0.0159436779322978</v>
      </c>
      <c r="O25" s="0" t="n">
        <v>0.0054451742230665</v>
      </c>
      <c r="P25" s="0" t="n">
        <v>0.015185649647746</v>
      </c>
      <c r="Q25" s="0" t="n">
        <v>0.0120847278988014</v>
      </c>
      <c r="R25" s="0" t="n">
        <v>0.0095018627970384</v>
      </c>
      <c r="S25" s="0" t="n">
        <v>0.0162605381628457</v>
      </c>
      <c r="T25" s="0" t="n">
        <v>0.0352157844516898</v>
      </c>
      <c r="U25" s="0" t="n">
        <v>0.0073923224904834</v>
      </c>
      <c r="V25" s="0" t="n">
        <v>-0.0009846965885635</v>
      </c>
      <c r="W25" s="0" t="n">
        <v>-0.0152463292604441</v>
      </c>
      <c r="X25" s="0" t="n">
        <v>0.0064599338130602</v>
      </c>
    </row>
    <row r="26">
      <c r="A26" s="0" t="inlineStr">
        <is>
          <t>2018-02-06</t>
        </is>
      </c>
      <c r="B26" s="0" t="n">
        <v>-0.0096380979767918</v>
      </c>
      <c r="C26" s="0" t="n">
        <v>-0.0013106211603441</v>
      </c>
      <c r="D26" s="0" t="n">
        <v>-0.0164181394649958</v>
      </c>
      <c r="E26" s="0" t="n">
        <v>0</v>
      </c>
      <c r="F26" s="0" t="n">
        <v>0.0016012569137866</v>
      </c>
      <c r="G26" s="0" t="n">
        <v>-0.0058651221540797</v>
      </c>
      <c r="H26" s="0" t="n">
        <v>-0.0446218549865213</v>
      </c>
      <c r="I26" s="0" t="n">
        <v>-0.0240042084327054</v>
      </c>
      <c r="J26" s="0" t="n">
        <v>-0.0082988343411183</v>
      </c>
      <c r="K26" s="0" t="n">
        <v>-0.0387002831109439</v>
      </c>
      <c r="L26" s="0" t="n">
        <v>-0.0271650677755022</v>
      </c>
      <c r="M26" s="0" t="n">
        <v>-0.0085397400341453</v>
      </c>
      <c r="N26" s="0" t="n">
        <v>-0.0005860081695816</v>
      </c>
      <c r="O26" s="0" t="n">
        <v>0.0027114569547355</v>
      </c>
      <c r="P26" s="0" t="n">
        <v>-0.0206007771723109</v>
      </c>
      <c r="Q26" s="0" t="n">
        <v>-0.0181823020049658</v>
      </c>
      <c r="R26" s="0" t="n">
        <v>0.0044483707769478</v>
      </c>
      <c r="S26" s="0" t="n">
        <v>-0.0171977667984917</v>
      </c>
      <c r="T26" s="0" t="n">
        <v>0.0042231335200626</v>
      </c>
      <c r="U26" s="0" t="n">
        <v>0.0039004270394604</v>
      </c>
      <c r="V26" s="0" t="n">
        <v>0.028011213820358</v>
      </c>
      <c r="W26" s="0" t="n">
        <v>0.0045288726933154</v>
      </c>
      <c r="X26" s="0" t="n">
        <v>0.0070581371025375</v>
      </c>
    </row>
    <row r="27">
      <c r="A27" s="0" t="inlineStr">
        <is>
          <t>2018-02-07</t>
        </is>
      </c>
      <c r="B27" s="0" t="n">
        <v>-0.0415400070589457</v>
      </c>
      <c r="C27" s="0" t="n">
        <v>-0.0538850932208849</v>
      </c>
      <c r="D27" s="0" t="n">
        <v>-0.033263546841268</v>
      </c>
      <c r="E27" s="0" t="n">
        <v>-0.0311492777330806</v>
      </c>
      <c r="F27" s="0" t="n">
        <v>-0.0495264428464956</v>
      </c>
      <c r="G27" s="0" t="n">
        <v>-0.0471133679521615</v>
      </c>
      <c r="H27" s="0" t="n">
        <v>-0.0151069581230789</v>
      </c>
      <c r="I27" s="0" t="n">
        <v>-0.0110324478092431</v>
      </c>
      <c r="J27" s="0" t="n">
        <v>-0.0253178242864149</v>
      </c>
      <c r="K27" s="0" t="n">
        <v>-0.0033878895088426</v>
      </c>
      <c r="L27" s="0" t="n">
        <v>-0.0279236639500757</v>
      </c>
      <c r="M27" s="0" t="n">
        <v>-0.0393578989910521</v>
      </c>
      <c r="N27" s="0" t="n">
        <v>-0.0517252214255004</v>
      </c>
      <c r="O27" s="0" t="n">
        <v>-0.0375216597473193</v>
      </c>
      <c r="P27" s="0" t="n">
        <v>-0.0491521944016151</v>
      </c>
      <c r="Q27" s="0" t="n">
        <v>-0.0123078359366222</v>
      </c>
      <c r="R27" s="0" t="n">
        <v>-0.052461930827758</v>
      </c>
      <c r="S27" s="0" t="n">
        <v>-0.0280503371408089</v>
      </c>
      <c r="T27" s="0" t="n">
        <v>-0.0396967728186115</v>
      </c>
      <c r="U27" s="0" t="n">
        <v>-0.0418893064558618</v>
      </c>
      <c r="V27" s="0" t="n">
        <v>0.0009575097881224</v>
      </c>
      <c r="W27" s="0" t="n">
        <v>-0.037900752738369</v>
      </c>
      <c r="X27" s="0" t="n">
        <v>-0.0351369879849734</v>
      </c>
    </row>
    <row r="28">
      <c r="A28" s="0" t="inlineStr">
        <is>
          <t>2018-02-08</t>
        </is>
      </c>
      <c r="B28" s="0" t="n">
        <v>0.0129251091037572</v>
      </c>
      <c r="C28" s="0" t="n">
        <v>0.0333477905065104</v>
      </c>
      <c r="D28" s="0" t="n">
        <v>0.0268562303920294</v>
      </c>
      <c r="E28" s="0" t="n">
        <v>0.0095420025149186</v>
      </c>
      <c r="F28" s="0" t="n">
        <v>0.0196443858491131</v>
      </c>
      <c r="G28" s="0" t="n">
        <v>0.0032591067534775</v>
      </c>
      <c r="H28" s="0" t="n">
        <v>0.0235458651675184</v>
      </c>
      <c r="I28" s="0" t="n">
        <v>-0.0224368172022999</v>
      </c>
      <c r="J28" s="0" t="n">
        <v>-0.0051413537032121</v>
      </c>
      <c r="K28" s="0" t="n">
        <v>0.0167147493280466</v>
      </c>
      <c r="L28" s="0" t="n">
        <v>0.0435367687865722</v>
      </c>
      <c r="M28" s="0" t="n">
        <v>0.0156368069405465</v>
      </c>
      <c r="N28" s="0" t="n">
        <v>-0.013673377641274</v>
      </c>
      <c r="O28" s="0" t="n">
        <v>0.0134042651868084</v>
      </c>
      <c r="P28" s="0" t="n">
        <v>-0.032853209722869</v>
      </c>
      <c r="Q28" s="0" t="n">
        <v>0.0123078359366222</v>
      </c>
      <c r="R28" s="0" t="n">
        <v>-0.0165789654399892</v>
      </c>
      <c r="S28" s="0" t="n">
        <v>0.0266428451310121</v>
      </c>
      <c r="T28" s="0" t="n">
        <v>0.0194130829381706</v>
      </c>
      <c r="U28" s="0" t="n">
        <v>-0.0003123715230728</v>
      </c>
      <c r="V28" s="0" t="n">
        <v>0.0001595364271533</v>
      </c>
      <c r="W28" s="0" t="n">
        <v>0.0130908266872404</v>
      </c>
      <c r="X28" s="0" t="n">
        <v>0.0203218703463754</v>
      </c>
    </row>
    <row r="29">
      <c r="A29" s="0" t="inlineStr">
        <is>
          <t>2018-02-09</t>
        </is>
      </c>
      <c r="B29" s="0" t="n">
        <v>0.0125620572047848</v>
      </c>
      <c r="C29" s="0" t="n">
        <v>-0.0080645904768688</v>
      </c>
      <c r="D29" s="0" t="n">
        <v>0.0002622854504306</v>
      </c>
      <c r="E29" s="0" t="n">
        <v>0.0160154228551498</v>
      </c>
      <c r="F29" s="0" t="n">
        <v>0.0257134070928164</v>
      </c>
      <c r="G29" s="0" t="n">
        <v>-0.0167703193688621</v>
      </c>
      <c r="H29" s="0" t="n">
        <v>0.0102894699092126</v>
      </c>
      <c r="I29" s="0" t="n">
        <v>0.0389401418384691</v>
      </c>
      <c r="J29" s="0" t="n">
        <v>0.0051413537032121</v>
      </c>
      <c r="K29" s="0" t="n">
        <v>0.0012229340975475</v>
      </c>
      <c r="L29" s="0" t="n">
        <v>0.0123173112476027</v>
      </c>
      <c r="M29" s="0" t="n">
        <v>0.0145309154315294</v>
      </c>
      <c r="N29" s="0" t="n">
        <v>0.0476571970182799</v>
      </c>
      <c r="O29" s="0" t="n">
        <v>0.0088373870632789</v>
      </c>
      <c r="P29" s="0" t="n">
        <v>0.0646612417919247</v>
      </c>
      <c r="Q29" s="0" t="n">
        <v>0.0211808022145061</v>
      </c>
      <c r="R29" s="0" t="n">
        <v>0.0068936557587502</v>
      </c>
      <c r="S29" s="0" t="n">
        <v>0.0286924286637528</v>
      </c>
      <c r="T29" s="0" t="n">
        <v>0.0267081825962915</v>
      </c>
      <c r="U29" s="0" t="n">
        <v>0.0204057122547371</v>
      </c>
      <c r="V29" s="0" t="n">
        <v>0.0073097271645785</v>
      </c>
      <c r="W29" s="0" t="n">
        <v>0.0065701901689765</v>
      </c>
      <c r="X29" s="0" t="n">
        <v>0.0045321991601343</v>
      </c>
    </row>
    <row r="30">
      <c r="A30" s="0" t="inlineStr">
        <is>
          <t>2018-02-12</t>
        </is>
      </c>
      <c r="B30" s="0" t="n">
        <v>-0.0043024650822109</v>
      </c>
      <c r="C30" s="0" t="n">
        <v>-0.0101730329137281</v>
      </c>
      <c r="D30" s="0" t="n">
        <v>-0.0005247398227128</v>
      </c>
      <c r="E30" s="0" t="n">
        <v>-0.0103335496201801</v>
      </c>
      <c r="F30" s="0" t="n">
        <v>0.001926147139335</v>
      </c>
      <c r="G30" s="0" t="n">
        <v>0.0332640954359835</v>
      </c>
      <c r="H30" s="0" t="n">
        <v>0.0012787713246669</v>
      </c>
      <c r="I30" s="0" t="n">
        <v>-0.0117601996044474</v>
      </c>
      <c r="J30" s="0" t="n">
        <v>0.0186288425361171</v>
      </c>
      <c r="K30" s="0" t="n">
        <v>-0.0168070752124585</v>
      </c>
      <c r="L30" s="0" t="n">
        <v>0.0151863785534502</v>
      </c>
      <c r="M30" s="0" t="n">
        <v>0.0080459855166052</v>
      </c>
      <c r="N30" s="0" t="n">
        <v>0.0264954483156705</v>
      </c>
      <c r="O30" s="0" t="n">
        <v>0.0063039690857715</v>
      </c>
      <c r="P30" s="0" t="n">
        <v>-0.0214060797725754</v>
      </c>
      <c r="Q30" s="0" t="n">
        <v>-0.001498090484838</v>
      </c>
      <c r="R30" s="0" t="n">
        <v>0.0034290340502547</v>
      </c>
      <c r="S30" s="0" t="n">
        <v>0.0180836582799823</v>
      </c>
      <c r="T30" s="0" t="n">
        <v>0.0153981065916624</v>
      </c>
      <c r="U30" s="0" t="n">
        <v>0.0044278402025224</v>
      </c>
      <c r="V30" s="0" t="n">
        <v>0.0111785638786807</v>
      </c>
      <c r="W30" s="0" t="n">
        <v>0.0262023723940236</v>
      </c>
      <c r="X30" s="0" t="n">
        <v>0.0025807056598701</v>
      </c>
    </row>
    <row r="31">
      <c r="A31" s="0" t="inlineStr">
        <is>
          <t>2018-02-13</t>
        </is>
      </c>
      <c r="B31" s="0" t="n">
        <v>0.0262526587302884</v>
      </c>
      <c r="C31" s="0" t="n">
        <v>0.0155566464787968</v>
      </c>
      <c r="D31" s="0" t="n">
        <v>0.0107022648529531</v>
      </c>
      <c r="E31" s="0" t="n">
        <v>0.0140648937475682</v>
      </c>
      <c r="F31" s="0" t="n">
        <v>0.0259590293825469</v>
      </c>
      <c r="G31" s="0" t="n">
        <v>0.009908034947948299</v>
      </c>
      <c r="H31" s="0" t="n">
        <v>0.0406941964343139</v>
      </c>
      <c r="I31" s="0" t="n">
        <v>0.0401908420661438</v>
      </c>
      <c r="J31" s="0" t="n">
        <v>0.0215776192995309</v>
      </c>
      <c r="K31" s="0" t="n">
        <v>0.0056337317525652</v>
      </c>
      <c r="L31" s="0" t="n">
        <v>0.0535514467750108</v>
      </c>
      <c r="M31" s="0" t="n">
        <v>0.007129646906812</v>
      </c>
      <c r="N31" s="0" t="n">
        <v>0.0212713308911745</v>
      </c>
      <c r="O31" s="0" t="n">
        <v>-0.0052047407201207</v>
      </c>
      <c r="P31" s="0" t="n">
        <v>0.0566879255307291</v>
      </c>
      <c r="Q31" s="0" t="n">
        <v>0.0295442182102863</v>
      </c>
      <c r="R31" s="0" t="n">
        <v>-0.0045746997771267</v>
      </c>
      <c r="S31" s="0" t="n">
        <v>-0.0026917677107585</v>
      </c>
      <c r="T31" s="0" t="n">
        <v>0.0206440507916312</v>
      </c>
      <c r="U31" s="0" t="n">
        <v>-0.0070325788319589</v>
      </c>
      <c r="V31" s="0" t="n">
        <v>0.0229076658706706</v>
      </c>
      <c r="W31" s="0" t="n">
        <v>0.026373272443144</v>
      </c>
      <c r="X31" s="0" t="n">
        <v>0.023560457904685</v>
      </c>
    </row>
    <row r="32">
      <c r="A32" s="0" t="inlineStr">
        <is>
          <t>2018-02-14</t>
        </is>
      </c>
      <c r="B32" s="0" t="n">
        <v>0.0080445782112406</v>
      </c>
      <c r="C32" s="0" t="n">
        <v>-0.0033613938724981</v>
      </c>
      <c r="D32" s="0" t="n">
        <v>0.0127702205341702</v>
      </c>
      <c r="E32" s="0" t="n">
        <v>0.001860508235624</v>
      </c>
      <c r="F32" s="0" t="n">
        <v>0.0065410321196814</v>
      </c>
      <c r="G32" s="0" t="n">
        <v>0.0136390046891419</v>
      </c>
      <c r="H32" s="0" t="n">
        <v>-0.0018422287633601</v>
      </c>
      <c r="I32" s="0" t="n">
        <v>0.0437268738962184</v>
      </c>
      <c r="J32" s="0" t="n">
        <v>0.0098039905480376</v>
      </c>
      <c r="K32" s="0" t="n">
        <v>-0.021120335073665</v>
      </c>
      <c r="L32" s="0" t="n">
        <v>0.0092428751803224</v>
      </c>
      <c r="M32" s="0" t="n">
        <v>0.0146688236600573</v>
      </c>
      <c r="N32" s="0" t="n">
        <v>0.08449585166492871</v>
      </c>
      <c r="O32" s="0" t="n">
        <v>0.0160744546477058</v>
      </c>
      <c r="P32" s="0" t="n">
        <v>-0.0143243135291011</v>
      </c>
      <c r="Q32" s="0" t="n">
        <v>0.0014545790029152</v>
      </c>
      <c r="R32" s="0" t="n">
        <v>0.009980079332966499</v>
      </c>
      <c r="S32" s="0" t="n">
        <v>0.0213341221276239</v>
      </c>
      <c r="T32" s="0" t="n">
        <v>0.0461960199762554</v>
      </c>
      <c r="U32" s="0" t="n">
        <v>0.0021455853387912</v>
      </c>
      <c r="V32" s="0" t="n">
        <v>0.0540592394531129</v>
      </c>
      <c r="W32" s="0" t="n">
        <v>0.007861564649510299</v>
      </c>
      <c r="X32" s="0" t="n">
        <v>-0.0018898075952216</v>
      </c>
    </row>
    <row r="33">
      <c r="A33" s="0" t="inlineStr">
        <is>
          <t>2018-02-15</t>
        </is>
      </c>
      <c r="B33" s="0" t="n">
        <v>0.0010890687896942</v>
      </c>
      <c r="C33" s="0" t="n">
        <v>0.0133781769811989</v>
      </c>
      <c r="D33" s="0" t="n">
        <v>0.0121028879153666</v>
      </c>
      <c r="E33" s="0" t="n">
        <v>-0.0140386557377052</v>
      </c>
      <c r="F33" s="0" t="n">
        <v>-0.0074789933254657</v>
      </c>
      <c r="G33" s="0" t="n">
        <v>-0.0034794878162309</v>
      </c>
      <c r="H33" s="0" t="n">
        <v>-0.039491194658753</v>
      </c>
      <c r="I33" s="0" t="n">
        <v>-0.0212540035945489</v>
      </c>
      <c r="J33" s="0" t="n">
        <v>-0.0065253022900373</v>
      </c>
      <c r="K33" s="0" t="n">
        <v>-0.0767774543368866</v>
      </c>
      <c r="L33" s="0" t="n">
        <v>-0.0007079808353656</v>
      </c>
      <c r="M33" s="0" t="n">
        <v>0.0152844230684268</v>
      </c>
      <c r="N33" s="0" t="n">
        <v>-0.0105097582396362</v>
      </c>
      <c r="O33" s="0" t="n">
        <v>0.0037766268465291</v>
      </c>
      <c r="P33" s="0" t="n">
        <v>-0.0072398435981986</v>
      </c>
      <c r="Q33" s="0" t="n">
        <v>0.002902756845474</v>
      </c>
      <c r="R33" s="0" t="n">
        <v>0.0198054604688948</v>
      </c>
      <c r="S33" s="0" t="n">
        <v>-0.0026419859419521</v>
      </c>
      <c r="T33" s="0" t="n">
        <v>0.0056554836780411</v>
      </c>
      <c r="U33" s="0" t="n">
        <v>0.0021409916567236</v>
      </c>
      <c r="V33" s="0" t="n">
        <v>-0.0002900430947825</v>
      </c>
      <c r="W33" s="0" t="n">
        <v>-0.0011669534392879</v>
      </c>
      <c r="X33" s="0" t="n">
        <v>-0.0018933254862765</v>
      </c>
    </row>
    <row r="34">
      <c r="A34" s="0" t="inlineStr">
        <is>
          <t>2018-02-16</t>
        </is>
      </c>
      <c r="B34" s="0" t="n">
        <v>-0.0065522751646032</v>
      </c>
      <c r="C34" s="0" t="n">
        <v>-0.0208131504844399</v>
      </c>
      <c r="D34" s="0" t="n">
        <v>-0.018145119992619</v>
      </c>
      <c r="E34" s="0" t="n">
        <v>0.001883282852221</v>
      </c>
      <c r="F34" s="0" t="n">
        <v>-0.0012519253096012</v>
      </c>
      <c r="G34" s="0" t="n">
        <v>-0.0427263547568874</v>
      </c>
      <c r="H34" s="0" t="n">
        <v>0.0145988312350411</v>
      </c>
      <c r="I34" s="0" t="n">
        <v>-0.0285519106510716</v>
      </c>
      <c r="J34" s="0" t="n">
        <v>0</v>
      </c>
      <c r="K34" s="0" t="n">
        <v>0.07505467328063579</v>
      </c>
      <c r="L34" s="0" t="n">
        <v>-0.0099645198987339</v>
      </c>
      <c r="M34" s="0" t="n">
        <v>-0.0069185279872887</v>
      </c>
      <c r="N34" s="0" t="n">
        <v>-0.0246002243076199</v>
      </c>
      <c r="O34" s="0" t="n">
        <v>-0.0100122317281936</v>
      </c>
      <c r="P34" s="0" t="n">
        <v>-0.0127972809181549</v>
      </c>
      <c r="Q34" s="0" t="n">
        <v>0</v>
      </c>
      <c r="R34" s="0" t="n">
        <v>-0.0173965921910488</v>
      </c>
      <c r="S34" s="0" t="n">
        <v>0.0226688192423116</v>
      </c>
      <c r="T34" s="0" t="n">
        <v>-0.0061093175191988</v>
      </c>
      <c r="U34" s="0" t="n">
        <v>-0.0195917817292317</v>
      </c>
      <c r="V34" s="0" t="n">
        <v>-0.023623732878816</v>
      </c>
      <c r="W34" s="0" t="n">
        <v>0</v>
      </c>
      <c r="X34" s="0" t="n">
        <v>0.0044122161610378</v>
      </c>
    </row>
    <row r="35">
      <c r="A35" s="0" t="inlineStr">
        <is>
          <t>2018-02-20</t>
        </is>
      </c>
      <c r="B35" s="0" t="n">
        <v>-0.0077639941505038</v>
      </c>
      <c r="C35" s="0" t="n">
        <v>-0.0171060939288314</v>
      </c>
      <c r="D35" s="0" t="n">
        <v>0</v>
      </c>
      <c r="E35" s="0" t="n">
        <v>-0.0028261660139694</v>
      </c>
      <c r="F35" s="0" t="n">
        <v>-0.0018808615220748</v>
      </c>
      <c r="G35" s="0" t="n">
        <v>-0.002914389103326</v>
      </c>
      <c r="H35" s="0" t="n">
        <v>0.0087829841939255</v>
      </c>
      <c r="I35" s="0" t="n">
        <v>-0.0130420013763261</v>
      </c>
      <c r="J35" s="0" t="n">
        <v>0.0032679735818228</v>
      </c>
      <c r="K35" s="0" t="n">
        <v>-0.0325982804311366</v>
      </c>
      <c r="L35" s="0" t="n">
        <v>-0.0231558610892537</v>
      </c>
      <c r="M35" s="0" t="n">
        <v>-0.0069667276813309</v>
      </c>
      <c r="N35" s="0" t="n">
        <v>-0.0313470654993373</v>
      </c>
      <c r="O35" s="0" t="n">
        <v>-0.0125890845150267</v>
      </c>
      <c r="P35" s="0" t="n">
        <v>-0.0260965165829825</v>
      </c>
      <c r="Q35" s="0" t="n">
        <v>-0.0131293136655763</v>
      </c>
      <c r="R35" s="0" t="n">
        <v>-0.0272574821756172</v>
      </c>
      <c r="S35" s="0" t="n">
        <v>-0.0004311372604934</v>
      </c>
      <c r="T35" s="0" t="n">
        <v>-0.0171687856079136</v>
      </c>
      <c r="U35" s="0" t="n">
        <v>-0.0040587338055164</v>
      </c>
      <c r="V35" s="0" t="n">
        <v>-0.0122499247947773</v>
      </c>
      <c r="W35" s="0" t="n">
        <v>-0.0036764951194525</v>
      </c>
      <c r="X35" s="0" t="n">
        <v>0.009389716806476401</v>
      </c>
    </row>
    <row r="36">
      <c r="A36" s="0" t="inlineStr">
        <is>
          <t>2018-02-21</t>
        </is>
      </c>
      <c r="B36" s="0" t="n">
        <v>-0.005079219356423</v>
      </c>
      <c r="C36" s="0" t="n">
        <v>0.008931697848586001</v>
      </c>
      <c r="D36" s="0" t="n">
        <v>-0.0046529823843872</v>
      </c>
      <c r="E36" s="0" t="n">
        <v>0.0028261660139694</v>
      </c>
      <c r="F36" s="0" t="n">
        <v>-0.0056639642068772</v>
      </c>
      <c r="G36" s="0" t="n">
        <v>-0.006955932750277</v>
      </c>
      <c r="H36" s="0" t="n">
        <v>0.0111802302501837</v>
      </c>
      <c r="I36" s="0" t="n">
        <v>-0.0155645018125509</v>
      </c>
      <c r="J36" s="0" t="n">
        <v>0.0032573287082144</v>
      </c>
      <c r="K36" s="0" t="n">
        <v>0.0047393408119567</v>
      </c>
      <c r="L36" s="0" t="n">
        <v>0.0231558610892537</v>
      </c>
      <c r="M36" s="0" t="n">
        <v>-0.0005593466737838</v>
      </c>
      <c r="N36" s="0" t="n">
        <v>0.0044593120483189</v>
      </c>
      <c r="O36" s="0" t="n">
        <v>0.0043968150444873</v>
      </c>
      <c r="P36" s="0" t="n">
        <v>0.0131333399585757</v>
      </c>
      <c r="Q36" s="0" t="n">
        <v>0.0014673852666562</v>
      </c>
      <c r="R36" s="0" t="n">
        <v>-0.0111145064064652</v>
      </c>
      <c r="S36" s="0" t="n">
        <v>-0.0025907343370734</v>
      </c>
      <c r="T36" s="0" t="n">
        <v>-0.008579826465931299</v>
      </c>
      <c r="U36" s="0" t="n">
        <v>-0.009271696032706099</v>
      </c>
      <c r="V36" s="0" t="n">
        <v>-0.008907680737388001</v>
      </c>
      <c r="W36" s="0" t="n">
        <v>-0.015522467257151</v>
      </c>
      <c r="X36" s="0" t="n">
        <v>-0.0201391140719833</v>
      </c>
    </row>
    <row r="37">
      <c r="A37" s="0" t="inlineStr">
        <is>
          <t>2018-02-22</t>
        </is>
      </c>
      <c r="B37" s="0" t="n">
        <v>0.0151607155172399</v>
      </c>
      <c r="C37" s="0" t="n">
        <v>-0.008931697848586001</v>
      </c>
      <c r="D37" s="0" t="n">
        <v>0.0200083311154504</v>
      </c>
      <c r="E37" s="0" t="n">
        <v>0.0065635205224721</v>
      </c>
      <c r="F37" s="0" t="n">
        <v>0.0106717349544336</v>
      </c>
      <c r="G37" s="0" t="n">
        <v>0.00732070491904</v>
      </c>
      <c r="H37" s="0" t="n">
        <v>0.00983412057476</v>
      </c>
      <c r="I37" s="0" t="n">
        <v>0.007034038541172</v>
      </c>
      <c r="J37" s="0" t="n">
        <v>0.0193242542774803</v>
      </c>
      <c r="K37" s="0" t="n">
        <v>-0.0129679060551302</v>
      </c>
      <c r="L37" s="0" t="n">
        <v>0.0156142471137008</v>
      </c>
      <c r="M37" s="0" t="n">
        <v>0.0144446023424036</v>
      </c>
      <c r="N37" s="0" t="n">
        <v>0.0127108398795692</v>
      </c>
      <c r="O37" s="0" t="n">
        <v>0.006831560703818</v>
      </c>
      <c r="P37" s="0" t="n">
        <v>0.0302915200536473</v>
      </c>
      <c r="Q37" s="0" t="n">
        <v>-0.0147713737120833</v>
      </c>
      <c r="R37" s="0" t="n">
        <v>0.0023502310730822</v>
      </c>
      <c r="S37" s="0" t="n">
        <v>0.0051746920733473</v>
      </c>
      <c r="T37" s="0" t="n">
        <v>0.0243858734492525</v>
      </c>
      <c r="U37" s="0" t="n">
        <v>0.0195424998270814</v>
      </c>
      <c r="V37" s="0" t="n">
        <v>0.0300268210170902</v>
      </c>
      <c r="W37" s="0" t="n">
        <v>0.0061026939197601</v>
      </c>
      <c r="X37" s="0" t="n">
        <v>0.0163938245629298</v>
      </c>
    </row>
    <row r="38">
      <c r="A38" s="0" t="inlineStr">
        <is>
          <t>2018-02-23</t>
        </is>
      </c>
      <c r="B38" s="0" t="n">
        <v>0.0194848412065926</v>
      </c>
      <c r="C38" s="0" t="n">
        <v>0.0109815529190817</v>
      </c>
      <c r="D38" s="0" t="n">
        <v>0.0179958333147522</v>
      </c>
      <c r="E38" s="0" t="n">
        <v>0.01760124482912</v>
      </c>
      <c r="F38" s="0" t="n">
        <v>0.0121025343185361</v>
      </c>
      <c r="G38" s="0" t="n">
        <v>0.0155603031540021</v>
      </c>
      <c r="H38" s="0" t="n">
        <v>0.0030534782992011</v>
      </c>
      <c r="I38" s="0" t="n">
        <v>-0.0046838820904913</v>
      </c>
      <c r="J38" s="0" t="n">
        <v>0.0095238725005226</v>
      </c>
      <c r="K38" s="0" t="n">
        <v>-0.0379521936258737</v>
      </c>
      <c r="L38" s="0" t="n">
        <v>0.0311983582490045</v>
      </c>
      <c r="M38" s="0" t="n">
        <v>0.022632236578548</v>
      </c>
      <c r="N38" s="0" t="n">
        <v>0.0109231434932315</v>
      </c>
      <c r="O38" s="0" t="n">
        <v>0.0199520735799718</v>
      </c>
      <c r="P38" s="0" t="n">
        <v>0.0045105387151846</v>
      </c>
      <c r="Q38" s="0" t="n">
        <v>0.0147713737120833</v>
      </c>
      <c r="R38" s="0" t="n">
        <v>0.0010264637783992</v>
      </c>
      <c r="S38" s="0" t="n">
        <v>0.0089916721669269</v>
      </c>
      <c r="T38" s="0" t="n">
        <v>0.0304410389569578</v>
      </c>
      <c r="U38" s="0" t="n">
        <v>0.0129213301992008</v>
      </c>
      <c r="V38" s="0" t="n">
        <v>0.0099576212150678</v>
      </c>
      <c r="W38" s="0" t="n">
        <v>0.0134298317927061</v>
      </c>
      <c r="X38" s="0" t="n">
        <v>0.0024984969246872</v>
      </c>
    </row>
    <row r="39">
      <c r="A39" s="0" t="inlineStr">
        <is>
          <t>2018-02-26</t>
        </is>
      </c>
      <c r="B39" s="0" t="n">
        <v>-0.0128837421245844</v>
      </c>
      <c r="C39" s="0" t="n">
        <v>-0.0102916914059463</v>
      </c>
      <c r="D39" s="0" t="n">
        <v>-0.0186309943742379</v>
      </c>
      <c r="E39" s="0" t="n">
        <v>-0.0260480482038132</v>
      </c>
      <c r="F39" s="0" t="n">
        <v>-0.0027798114546224</v>
      </c>
      <c r="G39" s="0" t="n">
        <v>-0.0210457664267464</v>
      </c>
      <c r="H39" s="0" t="n">
        <v>-0.02219571085711</v>
      </c>
      <c r="I39" s="0" t="n">
        <v>-0.0197556804582967</v>
      </c>
      <c r="J39" s="0" t="n">
        <v>-0.0063391594556811</v>
      </c>
      <c r="K39" s="0" t="n">
        <v>-0.036736235080971</v>
      </c>
      <c r="L39" s="0" t="n">
        <v>-0.0109815688874435</v>
      </c>
      <c r="M39" s="0" t="n">
        <v>-0.007849571172654699</v>
      </c>
      <c r="N39" s="0" t="n">
        <v>-0.0180876362124382</v>
      </c>
      <c r="O39" s="0" t="n">
        <v>-0.0158754892995225</v>
      </c>
      <c r="P39" s="0" t="n">
        <v>-0.0264493275358503</v>
      </c>
      <c r="Q39" s="0" t="n">
        <v>-0.0058823641281724</v>
      </c>
      <c r="R39" s="0" t="n">
        <v>0.0002930340374804</v>
      </c>
      <c r="S39" s="0" t="n">
        <v>-0.0034158840517255</v>
      </c>
      <c r="T39" s="0" t="n">
        <v>-0.0070796687168006</v>
      </c>
      <c r="U39" s="0" t="n">
        <v>-0.022097790186133</v>
      </c>
      <c r="V39" s="0" t="n">
        <v>-0.0115777793983244</v>
      </c>
      <c r="W39" s="0" t="n">
        <v>-0.012754026454341</v>
      </c>
      <c r="X39" s="0" t="n">
        <v>-0.013187066407486</v>
      </c>
    </row>
    <row r="40">
      <c r="A40" s="0" t="inlineStr">
        <is>
          <t>2018-02-27</t>
        </is>
      </c>
      <c r="B40" s="0" t="n">
        <v>-0.0046097860583786</v>
      </c>
      <c r="C40" s="0" t="n">
        <v>-0.0272648839981015</v>
      </c>
      <c r="D40" s="0" t="n">
        <v>-0.0215780318447142</v>
      </c>
      <c r="E40" s="0" t="n">
        <v>0</v>
      </c>
      <c r="F40" s="0" t="n">
        <v>-0.0071396657729354</v>
      </c>
      <c r="G40" s="0" t="n">
        <v>-0.005515719626465</v>
      </c>
      <c r="H40" s="0" t="n">
        <v>-0.0297396329170864</v>
      </c>
      <c r="I40" s="0" t="n">
        <v>-0.001597404822089</v>
      </c>
      <c r="J40" s="0" t="n">
        <v>-0.0015910507585679</v>
      </c>
      <c r="K40" s="0" t="n">
        <v>0.0441712654081642</v>
      </c>
      <c r="L40" s="0" t="n">
        <v>-0.0538755540972624</v>
      </c>
      <c r="M40" s="0" t="n">
        <v>-0.0134046011953015</v>
      </c>
      <c r="N40" s="0" t="n">
        <v>-0.0229380600949173</v>
      </c>
      <c r="O40" s="0" t="n">
        <v>-0.0155804630230989</v>
      </c>
      <c r="P40" s="0" t="n">
        <v>-0.0300209880500719</v>
      </c>
      <c r="Q40" s="0" t="n">
        <v>-0.0044346280130493</v>
      </c>
      <c r="R40" s="0" t="n">
        <v>-0.0076481712747913</v>
      </c>
      <c r="S40" s="0" t="n">
        <v>0.0046938687784554</v>
      </c>
      <c r="T40" s="0" t="n">
        <v>-0.005789420247817</v>
      </c>
      <c r="U40" s="0" t="n">
        <v>-0.0165423107495463</v>
      </c>
      <c r="V40" s="0" t="n">
        <v>-0.0244715206581798</v>
      </c>
      <c r="W40" s="0" t="n">
        <v>-0.0136033256414478</v>
      </c>
      <c r="X40" s="0" t="n">
        <v>-0.007614242843458</v>
      </c>
    </row>
    <row r="41">
      <c r="A41" s="0" t="inlineStr">
        <is>
          <t>2018-02-28</t>
        </is>
      </c>
      <c r="B41" s="0" t="n">
        <v>-0.0130476226170097</v>
      </c>
      <c r="C41" s="0" t="n">
        <v>-0.006398873478822</v>
      </c>
      <c r="D41" s="0" t="n">
        <v>-0.0067743439690524</v>
      </c>
      <c r="E41" s="0" t="n">
        <v>-0.0306243741287097</v>
      </c>
      <c r="F41" s="0" t="n">
        <v>-0.0195035735930111</v>
      </c>
      <c r="G41" s="0" t="n">
        <v>0.0124588729820471</v>
      </c>
      <c r="H41" s="0" t="n">
        <v>0.0076775735208358</v>
      </c>
      <c r="I41" s="0" t="n">
        <v>0.0031923380010598</v>
      </c>
      <c r="J41" s="0" t="n">
        <v>0.0015910507585679</v>
      </c>
      <c r="K41" s="0" t="n">
        <v>0.0363675516627846</v>
      </c>
      <c r="L41" s="0" t="n">
        <v>-0.0109850699270417</v>
      </c>
      <c r="M41" s="0" t="n">
        <v>-0.0189052136518141</v>
      </c>
      <c r="N41" s="0" t="n">
        <v>-0.0153981063523795</v>
      </c>
      <c r="O41" s="0" t="n">
        <v>-0.008298781797078899</v>
      </c>
      <c r="P41" s="0" t="n">
        <v>0.0028530436235447</v>
      </c>
      <c r="Q41" s="0" t="n">
        <v>0.008849606874565499</v>
      </c>
      <c r="R41" s="0" t="n">
        <v>-0.008600317097592999</v>
      </c>
      <c r="S41" s="0" t="n">
        <v>-0.0076923587904516</v>
      </c>
      <c r="T41" s="0" t="n">
        <v>-0.0221277839469098</v>
      </c>
      <c r="U41" s="0" t="n">
        <v>-0.0082948386481849</v>
      </c>
      <c r="V41" s="0" t="n">
        <v>-0.0077336727739503</v>
      </c>
      <c r="W41" s="0" t="n">
        <v>-0.0190119529137113</v>
      </c>
      <c r="X41" s="0" t="n">
        <v>-0.0057489876719749</v>
      </c>
    </row>
    <row r="42">
      <c r="A42" s="0" t="inlineStr">
        <is>
          <t>2018-03-01</t>
        </is>
      </c>
      <c r="B42" s="0" t="n">
        <v>0.0044113462898716</v>
      </c>
      <c r="C42" s="0" t="n">
        <v>0.0071073775134609</v>
      </c>
      <c r="D42" s="0" t="n">
        <v>0.009497285215386</v>
      </c>
      <c r="E42" s="0" t="n">
        <v>0.0106332233287753</v>
      </c>
      <c r="F42" s="0" t="n">
        <v>0.004753601776938</v>
      </c>
      <c r="G42" s="0" t="n">
        <v>-0.0040138241837306</v>
      </c>
      <c r="H42" s="0" t="n">
        <v>0.0019101729294401</v>
      </c>
      <c r="I42" s="0" t="n">
        <v>-0.008000073185142301</v>
      </c>
      <c r="J42" s="0" t="n">
        <v>0.0015885990252142</v>
      </c>
      <c r="K42" s="0" t="n">
        <v>-0.0204457013685726</v>
      </c>
      <c r="L42" s="0" t="n">
        <v>-0.0140899311691224</v>
      </c>
      <c r="M42" s="0" t="n">
        <v>0.0089410957935744</v>
      </c>
      <c r="N42" s="0" t="n">
        <v>-0.0028776559173402</v>
      </c>
      <c r="O42" s="0" t="n">
        <v>0.0096752235460062</v>
      </c>
      <c r="P42" s="0" t="n">
        <v>-0.0038059001978667</v>
      </c>
      <c r="Q42" s="0" t="n">
        <v>0.0102265568201023</v>
      </c>
      <c r="R42" s="0" t="n">
        <v>0.0046058703694091</v>
      </c>
      <c r="S42" s="0" t="n">
        <v>0.0047079312906412</v>
      </c>
      <c r="T42" s="0" t="n">
        <v>0.0059185725791621</v>
      </c>
      <c r="U42" s="0" t="n">
        <v>0.0019202907537065</v>
      </c>
      <c r="V42" s="0" t="n">
        <v>0.0072804162820405</v>
      </c>
      <c r="W42" s="0" t="n">
        <v>0.0017433489955349</v>
      </c>
      <c r="X42" s="0" t="n">
        <v>0.0120982395711775</v>
      </c>
    </row>
    <row r="43">
      <c r="A43" s="0" t="inlineStr">
        <is>
          <t>2018-03-02</t>
        </is>
      </c>
      <c r="B43" s="0" t="n">
        <v>0.0157978589631024</v>
      </c>
      <c r="C43" s="0" t="n">
        <v>0.0210239099237443</v>
      </c>
      <c r="D43" s="0" t="n">
        <v>0.0060671920495627</v>
      </c>
      <c r="E43" s="0" t="n">
        <v>0.0171596497514605</v>
      </c>
      <c r="F43" s="0" t="n">
        <v>0.015684195586588</v>
      </c>
      <c r="G43" s="0" t="n">
        <v>0.0231307525343953</v>
      </c>
      <c r="H43" s="0" t="n">
        <v>0.022642545338904</v>
      </c>
      <c r="I43" s="0" t="n">
        <v>0.0238106640137876</v>
      </c>
      <c r="J43" s="0" t="n">
        <v>0.0031695716475141</v>
      </c>
      <c r="K43" s="0" t="n">
        <v>0.0509287458868632</v>
      </c>
      <c r="L43" s="0" t="n">
        <v>0.0022379518853119</v>
      </c>
      <c r="M43" s="0" t="n">
        <v>0.004717593588194</v>
      </c>
      <c r="N43" s="0" t="n">
        <v>0.0278506073254005</v>
      </c>
      <c r="O43" s="0" t="n">
        <v>0.0095826138469492</v>
      </c>
      <c r="P43" s="0" t="n">
        <v>0.0337427145558124</v>
      </c>
      <c r="Q43" s="0" t="n">
        <v>0</v>
      </c>
      <c r="R43" s="0" t="n">
        <v>0.0125213169415632</v>
      </c>
      <c r="S43" s="0" t="n">
        <v>0.0029844274998103</v>
      </c>
      <c r="T43" s="0" t="n">
        <v>0.0103861641466935</v>
      </c>
      <c r="U43" s="0" t="n">
        <v>0.0249460056167745</v>
      </c>
      <c r="V43" s="0" t="n">
        <v>0.009775272009487201</v>
      </c>
      <c r="W43" s="0" t="n">
        <v>0.0031304426464533</v>
      </c>
      <c r="X43" s="0" t="n">
        <v>0.0132035892000552</v>
      </c>
    </row>
    <row r="44">
      <c r="A44" s="0" t="inlineStr">
        <is>
          <t>2018-03-05</t>
        </is>
      </c>
      <c r="B44" s="0" t="n">
        <v>-0.007867733262476501</v>
      </c>
      <c r="C44" s="0" t="n">
        <v>0.0151413657766497</v>
      </c>
      <c r="D44" s="0" t="n">
        <v>-0.0065852715071468</v>
      </c>
      <c r="E44" s="0" t="n">
        <v>0.0047147839006949</v>
      </c>
      <c r="F44" s="0" t="n">
        <v>-0.0006226792617475999</v>
      </c>
      <c r="G44" s="0" t="n">
        <v>0.0007143020933595</v>
      </c>
      <c r="H44" s="0" t="n">
        <v>0.0061996418314183</v>
      </c>
      <c r="I44" s="0" t="n">
        <v>0.0346855435382793</v>
      </c>
      <c r="J44" s="0" t="n">
        <v>0.0063091630244853</v>
      </c>
      <c r="K44" s="0" t="n">
        <v>0.0528510021869843</v>
      </c>
      <c r="L44" s="0" t="n">
        <v>0.0081632852180142</v>
      </c>
      <c r="M44" s="0" t="n">
        <v>-0.0066666320177946</v>
      </c>
      <c r="N44" s="0" t="n">
        <v>0.0122563827125463</v>
      </c>
      <c r="O44" s="0" t="n">
        <v>0.0046214074272223</v>
      </c>
      <c r="P44" s="0" t="n">
        <v>-0.0009221050570942</v>
      </c>
      <c r="Q44" s="0" t="n">
        <v>0.027241835609626</v>
      </c>
      <c r="R44" s="0" t="n">
        <v>-0.0097087558313697</v>
      </c>
      <c r="S44" s="0" t="n">
        <v>0.0033999150733814</v>
      </c>
      <c r="T44" s="0" t="n">
        <v>-0.0051795980832429</v>
      </c>
      <c r="U44" s="0" t="n">
        <v>0.0099302510338779</v>
      </c>
      <c r="V44" s="0" t="n">
        <v>-0.0204103912632502</v>
      </c>
      <c r="W44" s="0" t="n">
        <v>-0.009070364966913901</v>
      </c>
      <c r="X44" s="0" t="n">
        <v>0.0117977480285622</v>
      </c>
    </row>
    <row r="45">
      <c r="A45" s="0" t="inlineStr">
        <is>
          <t>2018-03-06</t>
        </is>
      </c>
      <c r="B45" s="0" t="n">
        <v>0.0165588169750829</v>
      </c>
      <c r="C45" s="0" t="n">
        <v>-0.0089194414503084</v>
      </c>
      <c r="D45" s="0" t="n">
        <v>0.0032335279044533</v>
      </c>
      <c r="E45" s="0" t="n">
        <v>0</v>
      </c>
      <c r="F45" s="0" t="n">
        <v>0.0021776239380679</v>
      </c>
      <c r="G45" s="0" t="n">
        <v>-0.0656578210165803</v>
      </c>
      <c r="H45" s="0" t="n">
        <v>-0.0161997153309898</v>
      </c>
      <c r="I45" s="0" t="n">
        <v>-0.0168071391336179</v>
      </c>
      <c r="J45" s="0" t="n">
        <v>0.0171476777400725</v>
      </c>
      <c r="K45" s="0" t="n">
        <v>-0.0459464385980217</v>
      </c>
      <c r="L45" s="0" t="n">
        <v>-0.0292483832621153</v>
      </c>
      <c r="M45" s="0" t="n">
        <v>0.0013925426593548</v>
      </c>
      <c r="N45" s="0" t="n">
        <v>-0.0100167956091663</v>
      </c>
      <c r="O45" s="0" t="n">
        <v>0.0010843296315665</v>
      </c>
      <c r="P45" s="0" t="n">
        <v>0.0073529672155099</v>
      </c>
      <c r="Q45" s="0" t="n">
        <v>-0.0014154607884626</v>
      </c>
      <c r="R45" s="0" t="n">
        <v>-0.0020716104753377</v>
      </c>
      <c r="S45" s="0" t="n">
        <v>0.0050783367138786</v>
      </c>
      <c r="T45" s="0" t="n">
        <v>-0.0020341322615782</v>
      </c>
      <c r="U45" s="0" t="n">
        <v>-0.0108662504785312</v>
      </c>
      <c r="V45" s="0" t="n">
        <v>0.0095766826750107</v>
      </c>
      <c r="W45" s="0" t="n">
        <v>-0.0082696209510766</v>
      </c>
      <c r="X45" s="0" t="n">
        <v>0.0049261134182705</v>
      </c>
    </row>
    <row r="46">
      <c r="A46" s="0" t="inlineStr">
        <is>
          <t>2018-03-07</t>
        </is>
      </c>
      <c r="B46" s="0" t="n">
        <v>-0.0134170487337588</v>
      </c>
      <c r="C46" s="0" t="n">
        <v>0.0006889109596448</v>
      </c>
      <c r="D46" s="0" t="n">
        <v>0.0185509948755111</v>
      </c>
      <c r="E46" s="0" t="n">
        <v>-0.001883282852221</v>
      </c>
      <c r="F46" s="0" t="n">
        <v>0.0006213251964979</v>
      </c>
      <c r="G46" s="0" t="n">
        <v>-0.1322795239263503</v>
      </c>
      <c r="H46" s="0" t="n">
        <v>-0.008832856229267799</v>
      </c>
      <c r="I46" s="0" t="n">
        <v>0.0030769959298262</v>
      </c>
      <c r="J46" s="0" t="n">
        <v>0.0015444372226887</v>
      </c>
      <c r="K46" s="0" t="n">
        <v>-0.0034463775534652</v>
      </c>
      <c r="L46" s="0" t="n">
        <v>-0.0356350661079569</v>
      </c>
      <c r="M46" s="0" t="n">
        <v>0.0157396509693983</v>
      </c>
      <c r="N46" s="0" t="n">
        <v>-0.0033613178911777</v>
      </c>
      <c r="O46" s="0" t="n">
        <v>0.005403978611743</v>
      </c>
      <c r="P46" s="0" t="n">
        <v>-0.011976201568741</v>
      </c>
      <c r="Q46" s="0" t="n">
        <v>0.0056497272149671</v>
      </c>
      <c r="R46" s="0" t="n">
        <v>0.0125121004789301</v>
      </c>
      <c r="S46" s="0" t="n">
        <v>0.0262460038353373</v>
      </c>
      <c r="T46" s="0" t="n">
        <v>0.0031624012847539</v>
      </c>
      <c r="U46" s="0" t="n">
        <v>0.0210046426580365</v>
      </c>
      <c r="V46" s="0" t="n">
        <v>0.0097855735071199</v>
      </c>
      <c r="W46" s="0" t="n">
        <v>0.0021179454952902</v>
      </c>
      <c r="X46" s="0" t="n">
        <v>-0.0073983591010065</v>
      </c>
    </row>
    <row r="47">
      <c r="A47" s="0" t="inlineStr">
        <is>
          <t>2018-03-08</t>
        </is>
      </c>
      <c r="B47" s="0" t="n">
        <v>0.0196506754372558</v>
      </c>
      <c r="C47" s="0" t="n">
        <v>0.0285152114569675</v>
      </c>
      <c r="D47" s="0" t="n">
        <v>0.0090852513970007</v>
      </c>
      <c r="E47" s="0" t="n">
        <v>0.0112465937130887</v>
      </c>
      <c r="F47" s="0" t="n">
        <v>0.0160200727979642</v>
      </c>
      <c r="G47" s="0" t="n">
        <v>0.0467573647717478</v>
      </c>
      <c r="H47" s="0" t="n">
        <v>0.0157185910320105</v>
      </c>
      <c r="I47" s="0" t="n">
        <v>-0.0007683618217466</v>
      </c>
      <c r="J47" s="0" t="n">
        <v>0.0092166463286142</v>
      </c>
      <c r="K47" s="0" t="n">
        <v>0.0182446111337686</v>
      </c>
      <c r="L47" s="0" t="n">
        <v>0.0164258705093391</v>
      </c>
      <c r="M47" s="0" t="n">
        <v>0.0073700471741138</v>
      </c>
      <c r="N47" s="0" t="n">
        <v>0.006711481482549</v>
      </c>
      <c r="O47" s="0" t="n">
        <v>-0.0016181603696598</v>
      </c>
      <c r="P47" s="0" t="n">
        <v>0.01563250926579</v>
      </c>
      <c r="Q47" s="0" t="n">
        <v>0.0056179870367594</v>
      </c>
      <c r="R47" s="0" t="n">
        <v>0.0132239963970537</v>
      </c>
      <c r="S47" s="0" t="n">
        <v>0.0008220492787787</v>
      </c>
      <c r="T47" s="0" t="n">
        <v>0.0229638625040684</v>
      </c>
      <c r="U47" s="0" t="n">
        <v>0.0033567504456337</v>
      </c>
      <c r="V47" s="0" t="n">
        <v>0.0173762177637417</v>
      </c>
      <c r="W47" s="0" t="n">
        <v>0.0262737742422896</v>
      </c>
      <c r="X47" s="0" t="n">
        <v>0.0208213372559056</v>
      </c>
    </row>
    <row r="48">
      <c r="A48" s="0" t="inlineStr">
        <is>
          <t>2018-03-09</t>
        </is>
      </c>
      <c r="B48" s="0" t="n">
        <v>0.0059454878134221</v>
      </c>
      <c r="C48" s="0" t="n">
        <v>0.0106525385286482</v>
      </c>
      <c r="D48" s="0" t="n">
        <v>-0.0071856557445562</v>
      </c>
      <c r="E48" s="0" t="n">
        <v>0.0074281564880043</v>
      </c>
      <c r="F48" s="0" t="n">
        <v>0.0036607401885326</v>
      </c>
      <c r="G48" s="0" t="n">
        <v>-0.0037445499613824</v>
      </c>
      <c r="H48" s="0" t="n">
        <v>0.0111663587212538</v>
      </c>
      <c r="I48" s="0" t="n">
        <v>0.0220457394514994</v>
      </c>
      <c r="J48" s="0" t="n">
        <v>0.009132474946532</v>
      </c>
      <c r="K48" s="0" t="n">
        <v>0.0256566820870238</v>
      </c>
      <c r="L48" s="0" t="n">
        <v>0.0084975138756271</v>
      </c>
      <c r="M48" s="0" t="n">
        <v>-0.004360863958698</v>
      </c>
      <c r="N48" s="0" t="n">
        <v>0.0044493911835337</v>
      </c>
      <c r="O48" s="0" t="n">
        <v>0.008332298547737401</v>
      </c>
      <c r="P48" s="0" t="n">
        <v>-0.0110092749125589</v>
      </c>
      <c r="Q48" s="0" t="n">
        <v>0.0221616166304121</v>
      </c>
      <c r="R48" s="0" t="n">
        <v>-0.0037604109850475</v>
      </c>
      <c r="S48" s="0" t="n">
        <v>0.0012318082458677</v>
      </c>
      <c r="T48" s="0" t="n">
        <v>0.0039595368229248</v>
      </c>
      <c r="U48" s="0" t="n">
        <v>0.0018261322813213</v>
      </c>
      <c r="V48" s="0" t="n">
        <v>-0.0069439776350783</v>
      </c>
      <c r="W48" s="0" t="n">
        <v>-0.0036128914047113</v>
      </c>
      <c r="X48" s="0" t="n">
        <v>-0.0012128842021312</v>
      </c>
    </row>
    <row r="49">
      <c r="A49" s="0" t="inlineStr">
        <is>
          <t>2018-03-12</t>
        </is>
      </c>
      <c r="B49" s="0" t="n">
        <v>-0.0058826577881578</v>
      </c>
      <c r="C49" s="0" t="n">
        <v>-0.0453853760876783</v>
      </c>
      <c r="D49" s="0" t="n">
        <v>0.0013907405826385</v>
      </c>
      <c r="E49" s="0" t="n">
        <v>-0.0027791297584829</v>
      </c>
      <c r="F49" s="0" t="n">
        <v>-0.0147241781790432</v>
      </c>
      <c r="G49" s="0" t="n">
        <v>0.0008333524550483</v>
      </c>
      <c r="H49" s="0" t="n">
        <v>-0.0105426788965186</v>
      </c>
      <c r="I49" s="0" t="n">
        <v>0.0022530788984651</v>
      </c>
      <c r="J49" s="0" t="n">
        <v>-0.010662659164514</v>
      </c>
      <c r="K49" s="0" t="n">
        <v>-0.0301866966331068</v>
      </c>
      <c r="L49" s="0" t="n">
        <v>-0.0077220756652072</v>
      </c>
      <c r="M49" s="0" t="n">
        <v>0.0038167818549839</v>
      </c>
      <c r="N49" s="0" t="n">
        <v>-0.0179175948995746</v>
      </c>
      <c r="O49" s="0" t="n">
        <v>0.0008026429674221</v>
      </c>
      <c r="P49" s="0" t="n">
        <v>0.0110092749125589</v>
      </c>
      <c r="Q49" s="0" t="n">
        <v>-0.0027434832539861</v>
      </c>
      <c r="R49" s="0" t="n">
        <v>-0.0110740185228168</v>
      </c>
      <c r="S49" s="0" t="n">
        <v>-0.0604707670924136</v>
      </c>
      <c r="T49" s="0" t="n">
        <v>-0.008598871053840201</v>
      </c>
      <c r="U49" s="0" t="n">
        <v>0.0054587038807385</v>
      </c>
      <c r="V49" s="0" t="n">
        <v>-0.0114814749497078</v>
      </c>
      <c r="W49" s="0" t="n">
        <v>-0.007959880705421</v>
      </c>
      <c r="X49" s="0" t="n">
        <v>-0.01159601788865</v>
      </c>
    </row>
    <row r="50">
      <c r="A50" s="0" t="inlineStr">
        <is>
          <t>2018-03-13</t>
        </is>
      </c>
      <c r="B50" s="0" t="n">
        <v>-0.0075605967371288</v>
      </c>
      <c r="C50" s="0" t="n">
        <v>-0.0111499145647484</v>
      </c>
      <c r="D50" s="0" t="n">
        <v>-0.0083736046832116</v>
      </c>
      <c r="E50" s="0" t="n">
        <v>0.0220193045540315</v>
      </c>
      <c r="F50" s="0" t="n">
        <v>-0.0068217697326247</v>
      </c>
      <c r="G50" s="0" t="n">
        <v>-0.0240264322730934</v>
      </c>
      <c r="H50" s="0" t="n">
        <v>-0.0157088039364738</v>
      </c>
      <c r="I50" s="0" t="n">
        <v>0.0082181754063817</v>
      </c>
      <c r="J50" s="0" t="n">
        <v>-0.0076864621106322</v>
      </c>
      <c r="K50" s="0" t="n">
        <v>-0.009122170161870001</v>
      </c>
      <c r="L50" s="0" t="n">
        <v>0.0107942717767959</v>
      </c>
      <c r="M50" s="0" t="n">
        <v>-0.0109440636567295</v>
      </c>
      <c r="N50" s="0" t="n">
        <v>-0.0211255833586121</v>
      </c>
      <c r="O50" s="0" t="n">
        <v>-0.009674910704823901</v>
      </c>
      <c r="P50" s="0" t="n">
        <v>0.0126928576844971</v>
      </c>
      <c r="Q50" s="0" t="n">
        <v>0.0149968258647859</v>
      </c>
      <c r="R50" s="0" t="n">
        <v>-0.0177387788227241</v>
      </c>
      <c r="S50" s="0" t="n">
        <v>0.0198538710796776</v>
      </c>
      <c r="T50" s="0" t="n">
        <v>0.0026536710333031</v>
      </c>
      <c r="U50" s="0" t="n">
        <v>-0.0355558440852208</v>
      </c>
      <c r="V50" s="0" t="n">
        <v>-0.0007501771062718</v>
      </c>
      <c r="W50" s="0" t="n">
        <v>-0.0162890068905827</v>
      </c>
      <c r="X50" s="0" t="n">
        <v>-0.0148426767748981</v>
      </c>
    </row>
    <row r="51">
      <c r="A51" s="0" t="inlineStr">
        <is>
          <t>2018-03-14</t>
        </is>
      </c>
      <c r="B51" s="0" t="n">
        <v>0.0093791359704242</v>
      </c>
      <c r="C51" s="0" t="n">
        <v>0.0062871213378934</v>
      </c>
      <c r="D51" s="0" t="n">
        <v>0.0033070767836145</v>
      </c>
      <c r="E51" s="0" t="n">
        <v>0.004526873888603</v>
      </c>
      <c r="F51" s="0" t="n">
        <v>-0.0012453587181622</v>
      </c>
      <c r="G51" s="0" t="n">
        <v>0.008073068190385699</v>
      </c>
      <c r="H51" s="0" t="n">
        <v>-0.0076287646149362</v>
      </c>
      <c r="I51" s="0" t="n">
        <v>-0.0127294210332746</v>
      </c>
      <c r="J51" s="0" t="n">
        <v>-0.0124225080408353</v>
      </c>
      <c r="K51" s="0" t="n">
        <v>-0.0126802460164152</v>
      </c>
      <c r="L51" s="0" t="n">
        <v>-0.014677712545537</v>
      </c>
      <c r="M51" s="0" t="n">
        <v>0.0063075310167719</v>
      </c>
      <c r="N51" s="0" t="n">
        <v>-0.0209920605412765</v>
      </c>
      <c r="O51" s="0" t="n">
        <v>0.000270072534966</v>
      </c>
      <c r="P51" s="0" t="n">
        <v>-0.0273989908941207</v>
      </c>
      <c r="Q51" s="0" t="n">
        <v>-0.0260467173621523</v>
      </c>
      <c r="R51" s="0" t="n">
        <v>-0.0179073690267177</v>
      </c>
      <c r="S51" s="0" t="n">
        <v>-0.009014831764438701</v>
      </c>
      <c r="T51" s="0" t="n">
        <v>0.0011036984107035</v>
      </c>
      <c r="U51" s="0" t="n">
        <v>-0.0001566766664575</v>
      </c>
      <c r="V51" s="0" t="n">
        <v>-0.0057194204867112</v>
      </c>
      <c r="W51" s="0" t="n">
        <v>0.0035254885418796</v>
      </c>
      <c r="X51" s="0" t="n">
        <v>-0.000623142524724</v>
      </c>
    </row>
    <row r="52">
      <c r="A52" s="0" t="inlineStr">
        <is>
          <t>2018-03-15</t>
        </is>
      </c>
      <c r="B52" s="0" t="n">
        <v>0.0040641185548624</v>
      </c>
      <c r="C52" s="0" t="n">
        <v>-0.0034880179796408</v>
      </c>
      <c r="D52" s="0" t="n">
        <v>0.0218546488595787</v>
      </c>
      <c r="E52" s="0" t="n">
        <v>0.0072007445408717</v>
      </c>
      <c r="F52" s="0" t="n">
        <v>0.0021783017320511</v>
      </c>
      <c r="G52" s="0" t="n">
        <v>0.0025359850310571</v>
      </c>
      <c r="H52" s="0" t="n">
        <v>-0.0070445768089442</v>
      </c>
      <c r="I52" s="0" t="n">
        <v>0.0067592595704408</v>
      </c>
      <c r="J52" s="0" t="n">
        <v>0.0124225080408353</v>
      </c>
      <c r="K52" s="0" t="n">
        <v>-0.039035106853754</v>
      </c>
      <c r="L52" s="0" t="n">
        <v>-0.0038986552008557</v>
      </c>
      <c r="M52" s="0" t="n">
        <v>0.0054524929679682</v>
      </c>
      <c r="N52" s="0" t="n">
        <v>0.009384224560184</v>
      </c>
      <c r="O52" s="0" t="n">
        <v>-0.0010805218510148</v>
      </c>
      <c r="P52" s="0" t="n">
        <v>0.0327897914896055</v>
      </c>
      <c r="Q52" s="0" t="n">
        <v>-0.009769749054231801</v>
      </c>
      <c r="R52" s="0" t="n">
        <v>-0.0031936622241888</v>
      </c>
      <c r="S52" s="0" t="n">
        <v>-0.0004313232200079</v>
      </c>
      <c r="T52" s="0" t="n">
        <v>-0.007084455332774</v>
      </c>
      <c r="U52" s="0" t="n">
        <v>-0.0097639003491831</v>
      </c>
      <c r="V52" s="0" t="n">
        <v>0.0052690897689169</v>
      </c>
      <c r="W52" s="0" t="n">
        <v>-0.0164999800712557</v>
      </c>
      <c r="X52" s="0" t="n">
        <v>0.0018685012428862</v>
      </c>
    </row>
    <row r="53">
      <c r="A53" s="0" t="inlineStr">
        <is>
          <t>2018-03-16</t>
        </is>
      </c>
      <c r="B53" s="0" t="n">
        <v>-0.0183247997735103</v>
      </c>
      <c r="C53" s="0" t="n">
        <v>-0.0169137175652624</v>
      </c>
      <c r="D53" s="0" t="n">
        <v>-0.0221086067303888</v>
      </c>
      <c r="E53" s="0" t="n">
        <v>-0.0126354921704661</v>
      </c>
      <c r="F53" s="0" t="n">
        <v>-0.0059235912411046</v>
      </c>
      <c r="G53" s="0" t="n">
        <v>-0.0226263945979114</v>
      </c>
      <c r="H53" s="0" t="n">
        <v>-0.0220931457792787</v>
      </c>
      <c r="I53" s="0" t="n">
        <v>-0.005253272555886</v>
      </c>
      <c r="J53" s="0" t="n">
        <v>-0.0218417207909975</v>
      </c>
      <c r="K53" s="0" t="n">
        <v>-0.0012070283983272</v>
      </c>
      <c r="L53" s="0" t="n">
        <v>-0.0261194047210904</v>
      </c>
      <c r="M53" s="0" t="n">
        <v>-0.0123102893531226</v>
      </c>
      <c r="N53" s="0" t="n">
        <v>-0.0266208481174912</v>
      </c>
      <c r="O53" s="0" t="n">
        <v>-0.0114162196253362</v>
      </c>
      <c r="P53" s="0" t="n">
        <v>-0.0180836582799819</v>
      </c>
      <c r="Q53" s="0" t="n">
        <v>0.0055944147754225</v>
      </c>
      <c r="R53" s="0" t="n">
        <v>-0.0312525499603912</v>
      </c>
      <c r="S53" s="0" t="n">
        <v>-0.0156525200163262</v>
      </c>
      <c r="T53" s="0" t="n">
        <v>-0.0165773929295478</v>
      </c>
      <c r="U53" s="0" t="n">
        <v>-0.0112995408477694</v>
      </c>
      <c r="V53" s="0" t="n">
        <v>-0.007989773212430299</v>
      </c>
      <c r="W53" s="0" t="n">
        <v>-0.007541820261971</v>
      </c>
      <c r="X53" s="0" t="n">
        <v>-0.0093779755504472</v>
      </c>
    </row>
    <row r="54">
      <c r="A54" s="0" t="inlineStr">
        <is>
          <t>2018-03-19</t>
        </is>
      </c>
      <c r="B54" s="0" t="n">
        <v>-0.0073354444317539</v>
      </c>
      <c r="C54" s="0" t="n">
        <v>-0.0310381580383189</v>
      </c>
      <c r="D54" s="0" t="n">
        <v>-0.0045830837238147</v>
      </c>
      <c r="E54" s="0" t="n">
        <v>-0.0018182239339723</v>
      </c>
      <c r="F54" s="0" t="n">
        <v>0</v>
      </c>
      <c r="G54" s="0" t="n">
        <v>0.0107366288683836</v>
      </c>
      <c r="H54" s="0" t="n">
        <v>-0.0019729868823161</v>
      </c>
      <c r="I54" s="0" t="n">
        <v>-0.0166923655680051</v>
      </c>
      <c r="J54" s="0" t="n">
        <v>-0.003159557196249</v>
      </c>
      <c r="K54" s="0" t="n">
        <v>-0.0482468182115067</v>
      </c>
      <c r="L54" s="0" t="n">
        <v>0.0063948996701475</v>
      </c>
      <c r="M54" s="0" t="n">
        <v>0</v>
      </c>
      <c r="N54" s="0" t="n">
        <v>-0.0261175064507641</v>
      </c>
      <c r="O54" s="0" t="n">
        <v>-0.0065826258519665</v>
      </c>
      <c r="P54" s="0" t="n">
        <v>0.0198742100231013</v>
      </c>
      <c r="Q54" s="0" t="n">
        <v>-0.0112203031866464</v>
      </c>
      <c r="R54" s="0" t="n">
        <v>-0.0109032042138368</v>
      </c>
      <c r="S54" s="0" t="n">
        <v>0.0130607490424408</v>
      </c>
      <c r="T54" s="0" t="n">
        <v>0.0022562842335851</v>
      </c>
      <c r="U54" s="0" t="n">
        <v>-0.0154841655665869</v>
      </c>
      <c r="V54" s="0" t="n">
        <v>0.0054339848482776</v>
      </c>
      <c r="W54" s="0" t="n">
        <v>-0.0105092108863917</v>
      </c>
      <c r="X54" s="0" t="n">
        <v>-0.0056693161352292</v>
      </c>
    </row>
    <row r="55">
      <c r="A55" s="0" t="inlineStr">
        <is>
          <t>2018-03-20</t>
        </is>
      </c>
      <c r="B55" s="0" t="n">
        <v>0.0031321288293568</v>
      </c>
      <c r="C55" s="0" t="n">
        <v>0.0174422965863656</v>
      </c>
      <c r="D55" s="0" t="n">
        <v>-0.0016602376881147</v>
      </c>
      <c r="E55" s="0" t="n">
        <v>0.009959395095772801</v>
      </c>
      <c r="F55" s="0" t="n">
        <v>-0.0034455383294811</v>
      </c>
      <c r="G55" s="0" t="n">
        <v>0.0017072524422645</v>
      </c>
      <c r="H55" s="0" t="n">
        <v>0.0072154579327121</v>
      </c>
      <c r="I55" s="0" t="n">
        <v>0.0331106646269709</v>
      </c>
      <c r="J55" s="0" t="n">
        <v>0.0078802162980886</v>
      </c>
      <c r="K55" s="0" t="n">
        <v>-0.0090394785538241</v>
      </c>
      <c r="L55" s="0" t="n">
        <v>0.0344591322868694</v>
      </c>
      <c r="M55" s="0" t="n">
        <v>-0.0016529307179227</v>
      </c>
      <c r="N55" s="0" t="n">
        <v>0.0061350118989973</v>
      </c>
      <c r="O55" s="0" t="n">
        <v>-0.009400128710811599</v>
      </c>
      <c r="P55" s="0" t="n">
        <v>0.0848474182449194</v>
      </c>
      <c r="Q55" s="0" t="n">
        <v>0.0236944982975277</v>
      </c>
      <c r="R55" s="0" t="n">
        <v>-0.0082961623090005</v>
      </c>
      <c r="S55" s="0" t="n">
        <v>-0.0052038641740486</v>
      </c>
      <c r="T55" s="0" t="n">
        <v>-0.0013531251137042</v>
      </c>
      <c r="U55" s="0" t="n">
        <v>-0.0250177704161798</v>
      </c>
      <c r="V55" s="0" t="n">
        <v>-0.0049800424978565</v>
      </c>
      <c r="W55" s="0" t="n">
        <v>-0.0020056640491947</v>
      </c>
      <c r="X55" s="0" t="n">
        <v>0.0031535939522555</v>
      </c>
    </row>
    <row r="56">
      <c r="A56" s="0" t="inlineStr">
        <is>
          <t>2018-03-21</t>
        </is>
      </c>
      <c r="B56" s="0" t="n">
        <v>-0.0297969198917309</v>
      </c>
      <c r="C56" s="0" t="n">
        <v>-0.0389326091456139</v>
      </c>
      <c r="D56" s="0" t="n">
        <v>-0.0220981935518214</v>
      </c>
      <c r="E56" s="0" t="n">
        <v>-0.0320393881112583</v>
      </c>
      <c r="F56" s="0" t="n">
        <v>-0.0423004941181304</v>
      </c>
      <c r="G56" s="0" t="n">
        <v>-0.0025619729254833</v>
      </c>
      <c r="H56" s="0" t="n">
        <v>-0.0171394937135671</v>
      </c>
      <c r="I56" s="0" t="n">
        <v>-0.0179242860735207</v>
      </c>
      <c r="J56" s="0" t="n">
        <v>-0.0174192299438644</v>
      </c>
      <c r="K56" s="0" t="n">
        <v>-0.0456616683240489</v>
      </c>
      <c r="L56" s="0" t="n">
        <v>-0.0320715678550662</v>
      </c>
      <c r="M56" s="0" t="n">
        <v>-0.0186453709195943</v>
      </c>
      <c r="N56" s="0" t="n">
        <v>-0.0348510948230873</v>
      </c>
      <c r="O56" s="0" t="n">
        <v>-0.0176549654370594</v>
      </c>
      <c r="P56" s="0" t="n">
        <v>-0.0274902709251034</v>
      </c>
      <c r="Q56" s="0" t="n">
        <v>-0.0110805012112651</v>
      </c>
      <c r="R56" s="0" t="n">
        <v>-0.0101441536185653</v>
      </c>
      <c r="S56" s="0" t="n">
        <v>-0.0417282263131144</v>
      </c>
      <c r="T56" s="0" t="n">
        <v>-0.0283837242237559</v>
      </c>
      <c r="U56" s="0" t="n">
        <v>0.0064789559908779</v>
      </c>
      <c r="V56" s="0" t="n">
        <v>-0.0330671838181375</v>
      </c>
      <c r="W56" s="0" t="n">
        <v>-0.0421233005324159</v>
      </c>
      <c r="X56" s="0" t="n">
        <v>-0.0365542259479902</v>
      </c>
    </row>
    <row r="57">
      <c r="A57" s="0" t="inlineStr">
        <is>
          <t>2018-03-22</t>
        </is>
      </c>
      <c r="B57" s="0" t="n">
        <v>-0.0212646526375959</v>
      </c>
      <c r="C57" s="0" t="n">
        <v>-0.0211968632923231</v>
      </c>
      <c r="D57" s="0" t="n">
        <v>-0.0233997937093084</v>
      </c>
      <c r="E57" s="0" t="n">
        <v>-0.0178324365591269</v>
      </c>
      <c r="F57" s="0" t="n">
        <v>-0.0462238741490121</v>
      </c>
      <c r="G57" s="0" t="n">
        <v>-0.0047139021432172</v>
      </c>
      <c r="H57" s="0" t="n">
        <v>0.0066269232053239</v>
      </c>
      <c r="I57" s="0" t="n">
        <v>0.0463829298525331</v>
      </c>
      <c r="J57" s="0" t="n">
        <v>-0.0144813713919966</v>
      </c>
      <c r="K57" s="0" t="n">
        <v>0.0520360131623856</v>
      </c>
      <c r="L57" s="0" t="n">
        <v>-0.0055799024328631</v>
      </c>
      <c r="M57" s="0" t="n">
        <v>-0.0316761193821508</v>
      </c>
      <c r="N57" s="0" t="n">
        <v>-0.0172472816015023</v>
      </c>
      <c r="O57" s="0" t="n">
        <v>-0.0191242640795095</v>
      </c>
      <c r="P57" s="0" t="n">
        <v>-0.0144621895072725</v>
      </c>
      <c r="Q57" s="0" t="n">
        <v>-0.0041869891078443</v>
      </c>
      <c r="R57" s="0" t="n">
        <v>-0.015165399392039</v>
      </c>
      <c r="S57" s="0" t="n">
        <v>-0.0266437412865294</v>
      </c>
      <c r="T57" s="0" t="n">
        <v>-0.0152067860087985</v>
      </c>
      <c r="U57" s="0" t="n">
        <v>-0.0187202346898693</v>
      </c>
      <c r="V57" s="0" t="n">
        <v>-0.0299998588064269</v>
      </c>
      <c r="W57" s="0" t="n">
        <v>-0.0299510217589706</v>
      </c>
      <c r="X57" s="0" t="n">
        <v>-0.0406587562680766</v>
      </c>
    </row>
    <row r="58">
      <c r="A58" s="0" t="inlineStr">
        <is>
          <t>2018-03-23</t>
        </is>
      </c>
      <c r="B58" s="0" t="n">
        <v>0.0296454966577588</v>
      </c>
      <c r="C58" s="0" t="n">
        <v>-0.0138676872541871</v>
      </c>
      <c r="D58" s="0" t="n">
        <v>0.0188159538945678</v>
      </c>
      <c r="E58" s="0" t="n">
        <v>0.0252467359536687</v>
      </c>
      <c r="F58" s="0" t="n">
        <v>0.0426167640429611</v>
      </c>
      <c r="G58" s="0" t="n">
        <v>0.0250278231509195</v>
      </c>
      <c r="H58" s="0" t="n">
        <v>0.0157277013240233</v>
      </c>
      <c r="I58" s="0" t="n">
        <v>0.0078825639931681</v>
      </c>
      <c r="J58" s="0" t="n">
        <v>0.0240203850377724</v>
      </c>
      <c r="K58" s="0" t="n">
        <v>-0.0215807659235545</v>
      </c>
      <c r="L58" s="0" t="n">
        <v>0.0142859058848441</v>
      </c>
      <c r="M58" s="0" t="n">
        <v>0.0158208165821882</v>
      </c>
      <c r="N58" s="0" t="n">
        <v>0.0434987350182591</v>
      </c>
      <c r="O58" s="0" t="n">
        <v>-0.0002882875454019</v>
      </c>
      <c r="P58" s="0" t="n">
        <v>0.0102302584776654</v>
      </c>
      <c r="Q58" s="0" t="n">
        <v>0.0069686294870374</v>
      </c>
      <c r="R58" s="0" t="n">
        <v>0.0120856912711069</v>
      </c>
      <c r="S58" s="0" t="n">
        <v>0.0334203483554271</v>
      </c>
      <c r="T58" s="0" t="n">
        <v>0.0379324665712093</v>
      </c>
      <c r="U58" s="0" t="n">
        <v>0.0055522649461998</v>
      </c>
      <c r="V58" s="0" t="n">
        <v>0.0213622043619965</v>
      </c>
      <c r="W58" s="0" t="n">
        <v>0.0253717757399996</v>
      </c>
      <c r="X58" s="0" t="n">
        <v>0.0386972854531371</v>
      </c>
    </row>
    <row r="59">
      <c r="A59" s="0" t="inlineStr">
        <is>
          <t>2018-03-26</t>
        </is>
      </c>
      <c r="B59" s="0" t="n">
        <v>-0.0095650064992023</v>
      </c>
      <c r="C59" s="0" t="n">
        <v>0.0417834895185285</v>
      </c>
      <c r="D59" s="0" t="n">
        <v>-0.0068492974493725</v>
      </c>
      <c r="E59" s="0" t="n">
        <v>0</v>
      </c>
      <c r="F59" s="0" t="n">
        <v>-0.0306895352989133</v>
      </c>
      <c r="G59" s="0" t="n">
        <v>-0.0168994949026126</v>
      </c>
      <c r="H59" s="0" t="n">
        <v>-0.0216899049628445</v>
      </c>
      <c r="I59" s="0" t="n">
        <v>-0.0172790307018364</v>
      </c>
      <c r="J59" s="0" t="n">
        <v>-0.0191699740330182</v>
      </c>
      <c r="K59" s="0" t="n">
        <v>-0.0402757278665069</v>
      </c>
      <c r="L59" s="0" t="n">
        <v>-0.0369223363900661</v>
      </c>
      <c r="M59" s="0" t="n">
        <v>-0.000856605172177</v>
      </c>
      <c r="N59" s="0" t="n">
        <v>-0.0049474391606461</v>
      </c>
      <c r="O59" s="0" t="n">
        <v>0.0060354515357001</v>
      </c>
      <c r="P59" s="0" t="n">
        <v>-0.0585064327827562</v>
      </c>
      <c r="Q59" s="0" t="n">
        <v>-0.0168071026014087</v>
      </c>
      <c r="R59" s="0" t="n">
        <v>-0.0163669778729635</v>
      </c>
      <c r="S59" s="0" t="n">
        <v>-0.037619102125054</v>
      </c>
      <c r="T59" s="0" t="n">
        <v>-0.031821938958978</v>
      </c>
      <c r="U59" s="0" t="n">
        <v>0.0186176047218715</v>
      </c>
      <c r="V59" s="0" t="n">
        <v>-0.0157383690096466</v>
      </c>
      <c r="W59" s="0" t="n">
        <v>-0.0230206983596752</v>
      </c>
      <c r="X59" s="0" t="n">
        <v>-0.0231721342711272</v>
      </c>
    </row>
    <row r="60">
      <c r="A60" s="0" t="inlineStr">
        <is>
          <t>2018-03-27</t>
        </is>
      </c>
      <c r="B60" s="0" t="n">
        <v>0.0040074986751559</v>
      </c>
      <c r="C60" s="0" t="n">
        <v>0.0176995719207182</v>
      </c>
      <c r="D60" s="0" t="n">
        <v>0.0176856436837402</v>
      </c>
      <c r="E60" s="0" t="n">
        <v>0.0027662289240621</v>
      </c>
      <c r="F60" s="0" t="n">
        <v>-0.0044135555756663</v>
      </c>
      <c r="G60" s="0" t="n">
        <v>0.0063708656932166</v>
      </c>
      <c r="H60" s="0" t="n">
        <v>0.0112323030966683</v>
      </c>
      <c r="I60" s="0" t="n">
        <v>-0.019062177070344</v>
      </c>
      <c r="J60" s="0" t="n">
        <v>-0.0032310175946805</v>
      </c>
      <c r="K60" s="0" t="n">
        <v>-0.0551643413749427</v>
      </c>
      <c r="L60" s="0" t="n">
        <v>0.0178286953211395</v>
      </c>
      <c r="M60" s="0" t="n">
        <v>0.0082492553021582</v>
      </c>
      <c r="N60" s="0" t="n">
        <v>0.0049474391606461</v>
      </c>
      <c r="O60" s="0" t="n">
        <v>0.0187345763348463</v>
      </c>
      <c r="P60" s="0" t="n">
        <v>-0.0554670277077669</v>
      </c>
      <c r="Q60" s="0" t="n">
        <v>0.0042283656638992</v>
      </c>
      <c r="R60" s="0" t="n">
        <v>0.0342260420597977</v>
      </c>
      <c r="S60" s="0" t="n">
        <v>-0.0415234519491392</v>
      </c>
      <c r="T60" s="0" t="n">
        <v>-0.0241890014137449</v>
      </c>
      <c r="U60" s="0" t="n">
        <v>0.0280930955972111</v>
      </c>
      <c r="V60" s="0" t="n">
        <v>0.0025604086318979</v>
      </c>
      <c r="W60" s="0" t="n">
        <v>0.0074089064868432</v>
      </c>
      <c r="X60" s="0" t="n">
        <v>0.0060100448213908</v>
      </c>
    </row>
    <row r="61">
      <c r="A61" s="0" t="inlineStr">
        <is>
          <t>2018-03-28</t>
        </is>
      </c>
      <c r="B61" s="0" t="n">
        <v>0.0059486262187382</v>
      </c>
      <c r="C61" s="0" t="n">
        <v>-0.0147277901446059</v>
      </c>
      <c r="D61" s="0" t="n">
        <v>0.0046638327698698</v>
      </c>
      <c r="E61" s="0" t="n">
        <v>0.0200553915411267</v>
      </c>
      <c r="F61" s="0" t="n">
        <v>0.0202095254654741</v>
      </c>
      <c r="G61" s="0" t="n">
        <v>0.0134568761381559</v>
      </c>
      <c r="H61" s="0" t="n">
        <v>0.024660538927212</v>
      </c>
      <c r="I61" s="0" t="n">
        <v>0.0226866273435715</v>
      </c>
      <c r="J61" s="0" t="n">
        <v>0.009661902008877</v>
      </c>
      <c r="K61" s="0" t="n">
        <v>0.0378461398665266</v>
      </c>
      <c r="L61" s="0" t="n">
        <v>0.0214549713141596</v>
      </c>
      <c r="M61" s="0" t="n">
        <v>0.0053680716262456</v>
      </c>
      <c r="N61" s="0" t="n">
        <v>0.0134806713550652</v>
      </c>
      <c r="O61" s="0" t="n">
        <v>0.0025277403972707</v>
      </c>
      <c r="P61" s="0" t="n">
        <v>0.0446170219751507</v>
      </c>
      <c r="Q61" s="0" t="n">
        <v>0.0222540263282933</v>
      </c>
      <c r="R61" s="0" t="n">
        <v>-0.008005166145340799</v>
      </c>
      <c r="S61" s="0" t="n">
        <v>0.0231223951126833</v>
      </c>
      <c r="T61" s="0" t="n">
        <v>0.0290972521280319</v>
      </c>
      <c r="U61" s="0" t="n">
        <v>-0.0020838521228148</v>
      </c>
      <c r="V61" s="0" t="n">
        <v>0.0108092024747072</v>
      </c>
      <c r="W61" s="0" t="n">
        <v>0.0179040360667901</v>
      </c>
      <c r="X61" s="0" t="n">
        <v>0.0053120922708438</v>
      </c>
    </row>
    <row r="62">
      <c r="A62" s="0" t="inlineStr">
        <is>
          <t>2018-03-29</t>
        </is>
      </c>
      <c r="B62" s="0" t="n">
        <v>-0.0221424885073178</v>
      </c>
      <c r="C62" s="0" t="n">
        <v>-0.0270692757581181</v>
      </c>
      <c r="D62" s="0" t="n">
        <v>-0.0218210239311176</v>
      </c>
      <c r="E62" s="0" t="n">
        <v>-0.0200553915411267</v>
      </c>
      <c r="F62" s="0" t="n">
        <v>-0.0229352486271818</v>
      </c>
      <c r="G62" s="0" t="n">
        <v>-0.0279560700796794</v>
      </c>
      <c r="H62" s="0" t="n">
        <v>-0.009661855714006601</v>
      </c>
      <c r="I62" s="0" t="n">
        <v>0.0143681179998651</v>
      </c>
      <c r="J62" s="0" t="n">
        <v>-0.0210533506662657</v>
      </c>
      <c r="K62" s="0" t="n">
        <v>-0.0595076505699587</v>
      </c>
      <c r="L62" s="0" t="n">
        <v>0.0148266141343875</v>
      </c>
      <c r="M62" s="0" t="n">
        <v>-0.0124754222390559</v>
      </c>
      <c r="N62" s="0" t="n">
        <v>-0.008557471807725</v>
      </c>
      <c r="O62" s="0" t="n">
        <v>-0.0155481026624704</v>
      </c>
      <c r="P62" s="0" t="n">
        <v>-0.0427177333044119</v>
      </c>
      <c r="Q62" s="0" t="n">
        <v>-0.0222540263282933</v>
      </c>
      <c r="R62" s="0" t="n">
        <v>-0.0189863418351938</v>
      </c>
      <c r="S62" s="0" t="n">
        <v>-0.0388397955469845</v>
      </c>
      <c r="T62" s="0" t="n">
        <v>-0.0448227858224274</v>
      </c>
      <c r="U62" s="0" t="n">
        <v>-0.0294737837700154</v>
      </c>
      <c r="V62" s="0" t="n">
        <v>-0.0199607425625378</v>
      </c>
      <c r="W62" s="0" t="n">
        <v>-0.020432503243347</v>
      </c>
      <c r="X62" s="0" t="n">
        <v>-0.0288901717282059</v>
      </c>
    </row>
    <row r="63">
      <c r="A63" s="0" t="inlineStr">
        <is>
          <t>2018-04-02</t>
        </is>
      </c>
      <c r="B63" s="0" t="n">
        <v>-0.0014670662197397</v>
      </c>
      <c r="C63" s="0" t="n">
        <v>0.0007618699082385</v>
      </c>
      <c r="D63" s="0" t="n">
        <v>0.0240158239203847</v>
      </c>
      <c r="E63" s="0" t="n">
        <v>0.0263531808013199</v>
      </c>
      <c r="F63" s="0" t="n">
        <v>0.009507735067059301</v>
      </c>
      <c r="G63" s="0" t="n">
        <v>0.0132282475295943</v>
      </c>
      <c r="H63" s="0" t="n">
        <v>-0.0169716700955215</v>
      </c>
      <c r="I63" s="0" t="n">
        <v>-0.0042888141903874</v>
      </c>
      <c r="J63" s="0" t="n">
        <v>0.0081499577393782</v>
      </c>
      <c r="K63" s="0" t="n">
        <v>-0.08847228674907499</v>
      </c>
      <c r="L63" s="0" t="n">
        <v>-0.0101207649840788</v>
      </c>
      <c r="M63" s="0" t="n">
        <v>0.0178147245515165</v>
      </c>
      <c r="N63" s="0" t="n">
        <v>0.0134147929795074</v>
      </c>
      <c r="O63" s="0" t="n">
        <v>0.0076628860195646</v>
      </c>
      <c r="P63" s="0" t="n">
        <v>0.0206580365112256</v>
      </c>
      <c r="Q63" s="0" t="n">
        <v>0.0097970965583162</v>
      </c>
      <c r="R63" s="0" t="n">
        <v>0.0249163655251472</v>
      </c>
      <c r="S63" s="0" t="n">
        <v>0.0108321742963175</v>
      </c>
      <c r="T63" s="0" t="n">
        <v>0.008981799654016199</v>
      </c>
      <c r="U63" s="0" t="n">
        <v>0.034914670193312</v>
      </c>
      <c r="V63" s="0" t="n">
        <v>0.0123428745770626</v>
      </c>
      <c r="W63" s="0" t="n">
        <v>0.0141161263995126</v>
      </c>
      <c r="X63" s="0" t="n">
        <v>0.0108475536497043</v>
      </c>
    </row>
    <row r="64">
      <c r="A64" s="0" t="inlineStr">
        <is>
          <t>2018-04-03</t>
        </is>
      </c>
      <c r="B64" s="0" t="n">
        <v>0.0280966535825619</v>
      </c>
      <c r="C64" s="0" t="n">
        <v>0.0113594614786087</v>
      </c>
      <c r="D64" s="0" t="n">
        <v>0.0135777359719977</v>
      </c>
      <c r="E64" s="0" t="n">
        <v>0.0160146046125202</v>
      </c>
      <c r="F64" s="0" t="n">
        <v>0.009752860608965601</v>
      </c>
      <c r="G64" s="0" t="n">
        <v>0.0205587173843539</v>
      </c>
      <c r="H64" s="0" t="n">
        <v>0.0065616968661035</v>
      </c>
      <c r="I64" s="0" t="n">
        <v>-0.0057471367431363</v>
      </c>
      <c r="J64" s="0" t="n">
        <v>0.0208843118729809</v>
      </c>
      <c r="K64" s="0" t="n">
        <v>-0.0440168823747511</v>
      </c>
      <c r="L64" s="0" t="n">
        <v>-0.0102242430372965</v>
      </c>
      <c r="M64" s="0" t="n">
        <v>0.0125332584577186</v>
      </c>
      <c r="N64" s="0" t="n">
        <v>0.038614813372487</v>
      </c>
      <c r="O64" s="0" t="n">
        <v>0.0143160939406423</v>
      </c>
      <c r="P64" s="0" t="n">
        <v>-0.0102757196685043</v>
      </c>
      <c r="Q64" s="0" t="n">
        <v>0.0041695974358371</v>
      </c>
      <c r="R64" s="0" t="n">
        <v>0.0268027543787496</v>
      </c>
      <c r="S64" s="0" t="n">
        <v>0.0184381335547341</v>
      </c>
      <c r="T64" s="0" t="n">
        <v>-0.0043594232563228</v>
      </c>
      <c r="U64" s="0" t="n">
        <v>0.0109515995917881</v>
      </c>
      <c r="V64" s="0" t="n">
        <v>0.0033399487823269</v>
      </c>
      <c r="W64" s="0" t="n">
        <v>0.015811320973313</v>
      </c>
      <c r="X64" s="0" t="n">
        <v>0.0127305258076577</v>
      </c>
    </row>
    <row r="65">
      <c r="A65" s="0" t="inlineStr">
        <is>
          <t>2018-04-04</t>
        </is>
      </c>
      <c r="B65" s="0" t="n">
        <v>-0.0005841073648022</v>
      </c>
      <c r="C65" s="0" t="n">
        <v>0.011231872103552</v>
      </c>
      <c r="D65" s="0" t="n">
        <v>0.000254474906673</v>
      </c>
      <c r="E65" s="0" t="n">
        <v>0.0017637092309628</v>
      </c>
      <c r="F65" s="0" t="n">
        <v>0.0146182185311842</v>
      </c>
      <c r="G65" s="0" t="n">
        <v>-0.0112759792034671</v>
      </c>
      <c r="H65" s="0" t="n">
        <v>0</v>
      </c>
      <c r="I65" s="0" t="n">
        <v>0.0100359509335237</v>
      </c>
      <c r="J65" s="0" t="n">
        <v>0.0031746028372556</v>
      </c>
      <c r="K65" s="0" t="n">
        <v>0.1024061311537931</v>
      </c>
      <c r="L65" s="0" t="n">
        <v>0.0234385883991667</v>
      </c>
      <c r="M65" s="0" t="n">
        <v>-0.0111329154990875</v>
      </c>
      <c r="N65" s="0" t="n">
        <v>0.0115876592229557</v>
      </c>
      <c r="O65" s="0" t="n">
        <v>0.0072202013158571</v>
      </c>
      <c r="P65" s="0" t="n">
        <v>0.0431854221943068</v>
      </c>
      <c r="Q65" s="0" t="n">
        <v>-0.0069589969263037</v>
      </c>
      <c r="R65" s="0" t="n">
        <v>0.0058943070547732</v>
      </c>
      <c r="S65" s="0" t="n">
        <v>0.0157408418828501</v>
      </c>
      <c r="T65" s="0" t="n">
        <v>0.0149364118296948</v>
      </c>
      <c r="U65" s="0" t="n">
        <v>0.0186103181285792</v>
      </c>
      <c r="V65" s="0" t="n">
        <v>-0.0106952598086937</v>
      </c>
      <c r="W65" s="0" t="n">
        <v>0.0065931948390742</v>
      </c>
      <c r="X65" s="0" t="n">
        <v>0.0033233155749239</v>
      </c>
    </row>
    <row r="66">
      <c r="A66" s="0" t="inlineStr">
        <is>
          <t>2018-04-05</t>
        </is>
      </c>
      <c r="B66" s="0" t="n">
        <v>-0.0227192397330346</v>
      </c>
      <c r="C66" s="0" t="n">
        <v>-0.0279368805231721</v>
      </c>
      <c r="D66" s="0" t="n">
        <v>-0.0227707047992993</v>
      </c>
      <c r="E66" s="0" t="n">
        <v>-0.0150912825135445</v>
      </c>
      <c r="F66" s="0" t="n">
        <v>-0.0230202174473062</v>
      </c>
      <c r="G66" s="0" t="n">
        <v>-0.0016813374386548</v>
      </c>
      <c r="H66" s="0" t="n">
        <v>-0.0072202879731917</v>
      </c>
      <c r="I66" s="0" t="n">
        <v>0.0021374950979851</v>
      </c>
      <c r="J66" s="0" t="n">
        <v>-0.007955445810303</v>
      </c>
      <c r="K66" s="0" t="n">
        <v>-0.0499718285450314</v>
      </c>
      <c r="L66" s="0" t="n">
        <v>-0.0226483687537117</v>
      </c>
      <c r="M66" s="0" t="n">
        <v>-0.0157972648006539</v>
      </c>
      <c r="N66" s="0" t="n">
        <v>-0.0086781873646621</v>
      </c>
      <c r="O66" s="0" t="n">
        <v>-0.014212258679831</v>
      </c>
      <c r="P66" s="0" t="n">
        <v>-0.018149301227603</v>
      </c>
      <c r="Q66" s="0" t="n">
        <v>-0.0428024984608614</v>
      </c>
      <c r="R66" s="0" t="n">
        <v>-0.0199944578183473</v>
      </c>
      <c r="S66" s="0" t="n">
        <v>-0.029781208666527</v>
      </c>
      <c r="T66" s="0" t="n">
        <v>-0.0264097762817825</v>
      </c>
      <c r="U66" s="0" t="n">
        <v>-0.0107486422285614</v>
      </c>
      <c r="V66" s="0" t="n">
        <v>-0.0232172174977574</v>
      </c>
      <c r="W66" s="0" t="n">
        <v>-0.0195285151873751</v>
      </c>
      <c r="X66" s="0" t="n">
        <v>-0.0344279207994864</v>
      </c>
    </row>
    <row r="67">
      <c r="A67" s="0" t="inlineStr">
        <is>
          <t>2018-04-06</t>
        </is>
      </c>
      <c r="B67" s="0" t="n">
        <v>0.0139815972064889</v>
      </c>
      <c r="C67" s="0" t="n">
        <v>-0.0177679746392032</v>
      </c>
      <c r="D67" s="0" t="n">
        <v>0.0063557886990528</v>
      </c>
      <c r="E67" s="0" t="n">
        <v>0.0062416336268951</v>
      </c>
      <c r="F67" s="0" t="n">
        <v>0.008067327062514401</v>
      </c>
      <c r="G67" s="0" t="n">
        <v>-0.0097231599056049</v>
      </c>
      <c r="H67" s="0" t="n">
        <v>-0.0341741958077617</v>
      </c>
      <c r="I67" s="0" t="n">
        <v>-0.0085775996556667</v>
      </c>
      <c r="J67" s="0" t="n">
        <v>0</v>
      </c>
      <c r="K67" s="0" t="n">
        <v>-0.0822064812473111</v>
      </c>
      <c r="L67" s="0" t="n">
        <v>-0.0127187603550185</v>
      </c>
      <c r="M67" s="0" t="n">
        <v>0.0082118804045485</v>
      </c>
      <c r="N67" s="0" t="n">
        <v>0.005793781309527</v>
      </c>
      <c r="O67" s="0" t="n">
        <v>-0.0129946151728002</v>
      </c>
      <c r="P67" s="0" t="n">
        <v>-0.0110498255125746</v>
      </c>
      <c r="Q67" s="0" t="n">
        <v>-0.0102565252480408</v>
      </c>
      <c r="R67" s="0" t="n">
        <v>-0.0011050548677653</v>
      </c>
      <c r="S67" s="0" t="n">
        <v>0.0043785110696696</v>
      </c>
      <c r="T67" s="0" t="n">
        <v>0.0107448808850114</v>
      </c>
      <c r="U67" s="0" t="n">
        <v>-0.0094414309730499</v>
      </c>
      <c r="V67" s="0" t="n">
        <v>-0.0065920067955964</v>
      </c>
      <c r="W67" s="0" t="n">
        <v>0.000382857161095</v>
      </c>
      <c r="X67" s="0" t="n">
        <v>0.0041123749055684</v>
      </c>
    </row>
    <row r="68">
      <c r="A68" s="0" t="inlineStr">
        <is>
          <t>2018-04-09</t>
        </is>
      </c>
      <c r="B68" s="0" t="n">
        <v>0.0175283436860533</v>
      </c>
      <c r="C68" s="0" t="n">
        <v>0.0170019436490944</v>
      </c>
      <c r="D68" s="0" t="n">
        <v>0.0240175687744281</v>
      </c>
      <c r="E68" s="0" t="n">
        <v>0.0176215846917524</v>
      </c>
      <c r="F68" s="0" t="n">
        <v>0.0202160554757373</v>
      </c>
      <c r="G68" s="0" t="n">
        <v>-0.0034043365242477</v>
      </c>
      <c r="H68" s="0" t="n">
        <v>0.0135411558575797</v>
      </c>
      <c r="I68" s="0" t="n">
        <v>0.0050125199157351</v>
      </c>
      <c r="J68" s="0" t="n">
        <v>0.0015961299282059</v>
      </c>
      <c r="K68" s="0" t="n">
        <v>0.0673890452714109</v>
      </c>
      <c r="L68" s="0" t="n">
        <v>0.0468836150186762</v>
      </c>
      <c r="M68" s="0" t="n">
        <v>0.0137238305618261</v>
      </c>
      <c r="N68" s="0" t="n">
        <v>0.0217152000259277</v>
      </c>
      <c r="O68" s="0" t="n">
        <v>0.0180338279367942</v>
      </c>
      <c r="P68" s="0" t="n">
        <v>0.0531896558107529</v>
      </c>
      <c r="Q68" s="0" t="n">
        <v>0.0218508468112421</v>
      </c>
      <c r="R68" s="0" t="n">
        <v>0.0103709262969085</v>
      </c>
      <c r="S68" s="0" t="n">
        <v>0.0418311540160227</v>
      </c>
      <c r="T68" s="0" t="n">
        <v>0.0320295115802999</v>
      </c>
      <c r="U68" s="0" t="n">
        <v>0.0152195800618839</v>
      </c>
      <c r="V68" s="0" t="n">
        <v>0.0119978356033918</v>
      </c>
      <c r="W68" s="0" t="n">
        <v>0.0070563644685708</v>
      </c>
      <c r="X68" s="0" t="n">
        <v>0.0169553062820333</v>
      </c>
    </row>
    <row r="69">
      <c r="A69" s="0" t="inlineStr">
        <is>
          <t>2018-04-10</t>
        </is>
      </c>
      <c r="B69" s="0" t="n">
        <v>-0.0001930733991315</v>
      </c>
      <c r="C69" s="0" t="n">
        <v>-0.0061490826435344</v>
      </c>
      <c r="D69" s="0" t="n">
        <v>-0.0062044877678655</v>
      </c>
      <c r="E69" s="0" t="n">
        <v>-0.0017482088359193</v>
      </c>
      <c r="F69" s="0" t="n">
        <v>-0.0192122481614962</v>
      </c>
      <c r="G69" s="0" t="n">
        <v>0.0008521712637055</v>
      </c>
      <c r="H69" s="0" t="n">
        <v>0.0146865937822475</v>
      </c>
      <c r="I69" s="0" t="n">
        <v>0.0232979069007503</v>
      </c>
      <c r="J69" s="0" t="n">
        <v>-0.0031948878544958</v>
      </c>
      <c r="K69" s="0" t="n">
        <v>0.0159238882424122</v>
      </c>
      <c r="L69" s="0" t="n">
        <v>0.0030487798575955</v>
      </c>
      <c r="M69" s="0" t="n">
        <v>-0.0044605550308243</v>
      </c>
      <c r="N69" s="0" t="n">
        <v>-0.0125144535197967</v>
      </c>
      <c r="O69" s="0" t="n">
        <v>-0.0157616931014352</v>
      </c>
      <c r="P69" s="0" t="n">
        <v>0.0294138160387853</v>
      </c>
      <c r="Q69" s="0" t="n">
        <v>0.008608366291577201</v>
      </c>
      <c r="R69" s="0" t="n">
        <v>-0.0141690267076013</v>
      </c>
      <c r="S69" s="0" t="n">
        <v>0.0270969581115099</v>
      </c>
      <c r="T69" s="0" t="n">
        <v>-0.0018836364799654</v>
      </c>
      <c r="U69" s="0" t="n">
        <v>-0.005934752137799</v>
      </c>
      <c r="V69" s="0" t="n">
        <v>-0.0169704836328765</v>
      </c>
      <c r="W69" s="0" t="n">
        <v>-0.0131995915805878</v>
      </c>
      <c r="X69" s="0" t="n">
        <v>-0.014905443351783</v>
      </c>
    </row>
    <row r="70">
      <c r="A70" s="0" t="inlineStr">
        <is>
          <t>2018-04-11</t>
        </is>
      </c>
      <c r="B70" s="0" t="n">
        <v>0.0172930107529474</v>
      </c>
      <c r="C70" s="0" t="n">
        <v>0.0160614781798504</v>
      </c>
      <c r="D70" s="0" t="n">
        <v>0.0070877089959431</v>
      </c>
      <c r="E70" s="0" t="n">
        <v>-0.010554177276846</v>
      </c>
      <c r="F70" s="0" t="n">
        <v>0.02477418229777</v>
      </c>
      <c r="G70" s="0" t="n">
        <v>0.0050977527315376</v>
      </c>
      <c r="H70" s="0" t="n">
        <v>0.0059464461679343</v>
      </c>
      <c r="I70" s="0" t="n">
        <v>-0.0055983298013493</v>
      </c>
      <c r="J70" s="0" t="n">
        <v>-0.0032051278873936</v>
      </c>
      <c r="K70" s="0" t="n">
        <v>0.0094340233918415</v>
      </c>
      <c r="L70" s="0" t="n">
        <v>-0.0045766989883451</v>
      </c>
      <c r="M70" s="0" t="n">
        <v>0.0146999949722066</v>
      </c>
      <c r="N70" s="0" t="n">
        <v>-0.0126729413643307</v>
      </c>
      <c r="O70" s="0" t="n">
        <v>-0.0025564607811161</v>
      </c>
      <c r="P70" s="0" t="n">
        <v>-0.0042716201122035</v>
      </c>
      <c r="Q70" s="0" t="n">
        <v>-0.0334090649484835</v>
      </c>
      <c r="R70" s="0" t="n">
        <v>0.0146378675227953</v>
      </c>
      <c r="S70" s="0" t="n">
        <v>0.0157342146059393</v>
      </c>
      <c r="T70" s="0" t="n">
        <v>0.0212203332222435</v>
      </c>
      <c r="U70" s="0" t="n">
        <v>-0.0069160700210435</v>
      </c>
      <c r="V70" s="0" t="n">
        <v>-0.022518177946444</v>
      </c>
      <c r="W70" s="0" t="n">
        <v>0.0147188062914422</v>
      </c>
      <c r="X70" s="0" t="n">
        <v>0.0229429874213513</v>
      </c>
    </row>
    <row r="71">
      <c r="A71" s="0" t="inlineStr">
        <is>
          <t>2018-04-12</t>
        </is>
      </c>
      <c r="B71" s="0" t="n">
        <v>-0.0086410128468443</v>
      </c>
      <c r="C71" s="0" t="n">
        <v>0.0232481925777268</v>
      </c>
      <c r="D71" s="0" t="n">
        <v>0.0054084818261008</v>
      </c>
      <c r="E71" s="0" t="n">
        <v>-0.0026561048322704</v>
      </c>
      <c r="F71" s="0" t="n">
        <v>-0.0281242820268623</v>
      </c>
      <c r="G71" s="0" t="n">
        <v>0.005493322961632</v>
      </c>
      <c r="H71" s="0" t="n">
        <v>-0.0287357102012073</v>
      </c>
      <c r="I71" s="0" t="n">
        <v>0.0090814535365804</v>
      </c>
      <c r="J71" s="0" t="n">
        <v>-0.0064412399203959</v>
      </c>
      <c r="K71" s="0" t="n">
        <v>0.0782353682022241</v>
      </c>
      <c r="L71" s="0" t="n">
        <v>0.0030534345971298</v>
      </c>
      <c r="M71" s="0" t="n">
        <v>0</v>
      </c>
      <c r="N71" s="0" t="n">
        <v>-0.011661984495026</v>
      </c>
      <c r="O71" s="0" t="n">
        <v>-0.0005690030873499</v>
      </c>
      <c r="P71" s="0" t="n">
        <v>0.0353274806009746</v>
      </c>
      <c r="Q71" s="0" t="n">
        <v>-0.0029585792223911</v>
      </c>
      <c r="R71" s="0" t="n">
        <v>-0.0089461429026442</v>
      </c>
      <c r="S71" s="0" t="n">
        <v>-0.0184565151095918</v>
      </c>
      <c r="T71" s="0" t="n">
        <v>-0.007875883935367801</v>
      </c>
      <c r="U71" s="0" t="n">
        <v>0.0086376544444304</v>
      </c>
      <c r="V71" s="0" t="n">
        <v>-0.00323429721033</v>
      </c>
      <c r="W71" s="0" t="n">
        <v>-0.0349490414171507</v>
      </c>
      <c r="X71" s="0" t="n">
        <v>-0.0222606107954836</v>
      </c>
    </row>
    <row r="72">
      <c r="A72" s="0" t="inlineStr">
        <is>
          <t>2018-04-13</t>
        </is>
      </c>
      <c r="B72" s="0" t="n">
        <v>0.0075015777903759</v>
      </c>
      <c r="C72" s="0" t="n">
        <v>-0.0119315814774405</v>
      </c>
      <c r="D72" s="0" t="n">
        <v>0.0050050344214946</v>
      </c>
      <c r="E72" s="0" t="n">
        <v>0.008826216357358601</v>
      </c>
      <c r="F72" s="0" t="n">
        <v>0.0043529641515616</v>
      </c>
      <c r="G72" s="0" t="n">
        <v>0.0183721467147792</v>
      </c>
      <c r="H72" s="0" t="n">
        <v>-0.010906710147267</v>
      </c>
      <c r="I72" s="0" t="n">
        <v>-0.0006956681241838001</v>
      </c>
      <c r="J72" s="0" t="n">
        <v>-0.0032362456579171</v>
      </c>
      <c r="K72" s="0" t="n">
        <v>0.0281105804345438</v>
      </c>
      <c r="L72" s="0" t="n">
        <v>-0.0107280987842157</v>
      </c>
      <c r="M72" s="0" t="n">
        <v>0.0057652620600592</v>
      </c>
      <c r="N72" s="0" t="n">
        <v>0.0180185854083609</v>
      </c>
      <c r="O72" s="0" t="n">
        <v>0.0141285200873322</v>
      </c>
      <c r="P72" s="0" t="n">
        <v>0.0008260450855304</v>
      </c>
      <c r="Q72" s="0" t="n">
        <v>-0.0119226335185336</v>
      </c>
      <c r="R72" s="0" t="n">
        <v>0.0412317833162116</v>
      </c>
      <c r="S72" s="0" t="n">
        <v>-0.0114234734311544</v>
      </c>
      <c r="T72" s="0" t="n">
        <v>0.0069525016950326</v>
      </c>
      <c r="U72" s="0" t="n">
        <v>0.0046801838202279</v>
      </c>
      <c r="V72" s="0" t="n">
        <v>-0.0811231355232067</v>
      </c>
      <c r="W72" s="0" t="n">
        <v>-0.0017700890412521</v>
      </c>
      <c r="X72" s="0" t="n">
        <v>0.0006819113055138</v>
      </c>
    </row>
    <row r="73">
      <c r="A73" s="0" t="inlineStr">
        <is>
          <t>2018-04-16</t>
        </is>
      </c>
      <c r="B73" s="0" t="n">
        <v>0.0189466410616807</v>
      </c>
      <c r="C73" s="0" t="n">
        <v>0.0339265415896878</v>
      </c>
      <c r="D73" s="0" t="n">
        <v>-0.0024994336492678</v>
      </c>
      <c r="E73" s="0" t="n">
        <v>0</v>
      </c>
      <c r="F73" s="0" t="n">
        <v>0.0036685253119506</v>
      </c>
      <c r="G73" s="0" t="n">
        <v>0.0024793180640534</v>
      </c>
      <c r="H73" s="0" t="n">
        <v>0.0196816967852493</v>
      </c>
      <c r="I73" s="0" t="n">
        <v>-0.0020898463148641</v>
      </c>
      <c r="J73" s="0" t="n">
        <v>0.0128826134657067</v>
      </c>
      <c r="K73" s="0" t="n">
        <v>-0.0500572722188061</v>
      </c>
      <c r="L73" s="0" t="n">
        <v>0.0348256278644258</v>
      </c>
      <c r="M73" s="0" t="n">
        <v>-0.0054899107570012</v>
      </c>
      <c r="N73" s="0" t="n">
        <v>0.0148659237469197</v>
      </c>
      <c r="O73" s="0" t="n">
        <v>-0.0078873304466275</v>
      </c>
      <c r="P73" s="0" t="n">
        <v>0.011494407776087</v>
      </c>
      <c r="Q73" s="0" t="n">
        <v>0.013403052547227</v>
      </c>
      <c r="R73" s="0" t="n">
        <v>0.0151643494917017</v>
      </c>
      <c r="S73" s="0" t="n">
        <v>0.0222685761060406</v>
      </c>
      <c r="T73" s="0" t="n">
        <v>0.0293570046728106</v>
      </c>
      <c r="U73" s="0" t="n">
        <v>-0.0042111964087503</v>
      </c>
      <c r="V73" s="0" t="n">
        <v>-0.0319396061217407</v>
      </c>
      <c r="W73" s="0" t="n">
        <v>-0.0045378305087711</v>
      </c>
      <c r="X73" s="0" t="n">
        <v>-0.0130362420115117</v>
      </c>
    </row>
    <row r="74">
      <c r="A74" s="0" t="inlineStr">
        <is>
          <t>2018-04-17</t>
        </is>
      </c>
      <c r="B74" s="0" t="n">
        <v>-0.0783093545133049</v>
      </c>
      <c r="C74" s="0" t="n">
        <v>-0.009471837978481199</v>
      </c>
      <c r="D74" s="0" t="n">
        <v>-0.0025056007722268</v>
      </c>
      <c r="E74" s="0" t="n">
        <v>-0.0044033704483887</v>
      </c>
      <c r="F74" s="0" t="n">
        <v>-0.0171231383645724</v>
      </c>
      <c r="G74" s="0" t="n">
        <v>0.0143415850979851</v>
      </c>
      <c r="H74" s="0" t="n">
        <v>0.028488199981739</v>
      </c>
      <c r="I74" s="0" t="n">
        <v>0.0041753342788095</v>
      </c>
      <c r="J74" s="0" t="n">
        <v>0.0174469345965511</v>
      </c>
      <c r="K74" s="0" t="n">
        <v>0.013225714438749</v>
      </c>
      <c r="L74" s="0" t="n">
        <v>0.0415360728124265</v>
      </c>
      <c r="M74" s="0" t="n">
        <v>0.0043943998126154</v>
      </c>
      <c r="N74" s="0" t="n">
        <v>-0.0039807616980831</v>
      </c>
      <c r="O74" s="0" t="n">
        <v>-0.0042511478654678</v>
      </c>
      <c r="P74" s="0" t="n">
        <v>0.033711063363933</v>
      </c>
      <c r="Q74" s="0" t="n">
        <v>0.0175957446659744</v>
      </c>
      <c r="R74" s="0" t="n">
        <v>-0.0074783476767903</v>
      </c>
      <c r="S74" s="0" t="n">
        <v>-0.0103908565291748</v>
      </c>
      <c r="T74" s="0" t="n">
        <v>0.0008966805124464001</v>
      </c>
      <c r="U74" s="0" t="n">
        <v>-0.0395333525541063</v>
      </c>
      <c r="V74" s="0" t="n">
        <v>-0.0015285029881026</v>
      </c>
      <c r="W74" s="0" t="n">
        <v>-0.0035657784772187</v>
      </c>
      <c r="X74" s="0" t="n">
        <v>0.0006903851926867</v>
      </c>
    </row>
    <row r="75">
      <c r="A75" s="0" t="inlineStr">
        <is>
          <t>2018-04-18</t>
        </is>
      </c>
      <c r="B75" s="0" t="n">
        <v>-0.0073527018410306</v>
      </c>
      <c r="C75" s="0" t="n">
        <v>0.0238709898598474</v>
      </c>
      <c r="D75" s="0" t="n">
        <v>0.0003762310079773</v>
      </c>
      <c r="E75" s="0" t="n">
        <v>-0.033201783305683</v>
      </c>
      <c r="F75" s="0" t="n">
        <v>0.0217727444432545</v>
      </c>
      <c r="G75" s="0" t="n">
        <v>-0.0164072432263391</v>
      </c>
      <c r="H75" s="0" t="n">
        <v>-0.0131494203990767</v>
      </c>
      <c r="I75" s="0" t="n">
        <v>0.0006942193314016</v>
      </c>
      <c r="J75" s="0" t="n">
        <v>-0.0031496058282363</v>
      </c>
      <c r="K75" s="0" t="n">
        <v>0.0058224272956881</v>
      </c>
      <c r="L75" s="0" t="n">
        <v>0.0078208472742664</v>
      </c>
      <c r="M75" s="0" t="n">
        <v>0.0010955109443857</v>
      </c>
      <c r="N75" s="0" t="n">
        <v>-0.0131920209251004</v>
      </c>
      <c r="O75" s="0" t="n">
        <v>-0.0111381815893873</v>
      </c>
      <c r="P75" s="0" t="n">
        <v>0.0007889727219012</v>
      </c>
      <c r="Q75" s="0" t="n">
        <v>0.0014523970684627</v>
      </c>
      <c r="R75" s="0" t="n">
        <v>-0.0113234393725232</v>
      </c>
      <c r="S75" s="0" t="n">
        <v>-0.0455257206999091</v>
      </c>
      <c r="T75" s="0" t="n">
        <v>-0.0015696761359054</v>
      </c>
      <c r="U75" s="0" t="n">
        <v>-0.0623945009011253</v>
      </c>
      <c r="V75" s="0" t="n">
        <v>-0.0132808924962621</v>
      </c>
      <c r="W75" s="0" t="n">
        <v>0.0225654924076987</v>
      </c>
      <c r="X75" s="0" t="n">
        <v>0.0130273034381671</v>
      </c>
    </row>
    <row r="76">
      <c r="A76" s="0" t="inlineStr">
        <is>
          <t>2018-04-19</t>
        </is>
      </c>
      <c r="B76" s="0" t="n">
        <v>-0.0191393616710913</v>
      </c>
      <c r="C76" s="0" t="n">
        <v>0.0385606563669558</v>
      </c>
      <c r="D76" s="0" t="n">
        <v>-0.008689714676838101</v>
      </c>
      <c r="E76" s="0" t="n">
        <v>-0.0128560397868833</v>
      </c>
      <c r="F76" s="0" t="n">
        <v>0.0026472524724932</v>
      </c>
      <c r="G76" s="0" t="n">
        <v>-0.0024844511545745</v>
      </c>
      <c r="H76" s="0" t="n">
        <v>-0.0126542167893797</v>
      </c>
      <c r="I76" s="0" t="n">
        <v>-0.0055671629063942</v>
      </c>
      <c r="J76" s="0" t="n">
        <v>-0.0047431250317218</v>
      </c>
      <c r="K76" s="0" t="n">
        <v>-0.0205285607631307</v>
      </c>
      <c r="L76" s="0" t="n">
        <v>-0.0085348943449568</v>
      </c>
      <c r="M76" s="0" t="n">
        <v>0.0027337985595625</v>
      </c>
      <c r="N76" s="0" t="n">
        <v>0.0166050716530472</v>
      </c>
      <c r="O76" s="0" t="n">
        <v>-0.0043172186925373</v>
      </c>
      <c r="P76" s="0" t="n">
        <v>0.0039354035333039</v>
      </c>
      <c r="Q76" s="0" t="n">
        <v>-0.0116789538885651</v>
      </c>
      <c r="R76" s="0" t="n">
        <v>-0.0112995223441005</v>
      </c>
      <c r="S76" s="0" t="n">
        <v>-0.0240511823098552</v>
      </c>
      <c r="T76" s="0" t="n">
        <v>-0.0106036236072726</v>
      </c>
      <c r="U76" s="0" t="n">
        <v>-0.009564445489002199</v>
      </c>
      <c r="V76" s="0" t="n">
        <v>-0.008562076953616301</v>
      </c>
      <c r="W76" s="0" t="n">
        <v>0.0195971773167662</v>
      </c>
      <c r="X76" s="0" t="n">
        <v>0.0047570388109186</v>
      </c>
    </row>
    <row r="77">
      <c r="A77" s="0" t="inlineStr">
        <is>
          <t>2018-04-20</t>
        </is>
      </c>
      <c r="B77" s="0" t="n">
        <v>0.0066034545362141</v>
      </c>
      <c r="C77" s="0" t="n">
        <v>-0.0013764679703549</v>
      </c>
      <c r="D77" s="0" t="n">
        <v>0.0143164498325099</v>
      </c>
      <c r="E77" s="0" t="n">
        <v>0.0201287921800581</v>
      </c>
      <c r="F77" s="0" t="n">
        <v>0.0019808347849554</v>
      </c>
      <c r="G77" s="0" t="n">
        <v>0.0273989763253434</v>
      </c>
      <c r="H77" s="0" t="n">
        <v>-0.0128164004915749</v>
      </c>
      <c r="I77" s="0" t="n">
        <v>-0.0175998912047163</v>
      </c>
      <c r="J77" s="0" t="n">
        <v>0.0031645566184255</v>
      </c>
      <c r="K77" s="0" t="n">
        <v>-0.0785623591828843</v>
      </c>
      <c r="L77" s="0" t="n">
        <v>-0.0187460594791217</v>
      </c>
      <c r="M77" s="0" t="n">
        <v>0.004630218492537</v>
      </c>
      <c r="N77" s="0" t="n">
        <v>0.006791137100035</v>
      </c>
      <c r="O77" s="0" t="n">
        <v>0.0063255308219631</v>
      </c>
      <c r="P77" s="0" t="n">
        <v>0.007824796071143499</v>
      </c>
      <c r="Q77" s="0" t="n">
        <v>-0.008849606874565499</v>
      </c>
      <c r="R77" s="0" t="n">
        <v>0.0085627059190498</v>
      </c>
      <c r="S77" s="0" t="n">
        <v>-0.008802027413013801</v>
      </c>
      <c r="T77" s="0" t="n">
        <v>0.0036223686232643</v>
      </c>
      <c r="U77" s="0" t="n">
        <v>-0.0115994244619379</v>
      </c>
      <c r="V77" s="0" t="n">
        <v>-0.0052904334987946</v>
      </c>
      <c r="W77" s="0" t="n">
        <v>0.000950827039734</v>
      </c>
      <c r="X77" s="0" t="n">
        <v>0.0174735781081647</v>
      </c>
    </row>
    <row r="78">
      <c r="A78" s="0" t="inlineStr">
        <is>
          <t>2018-04-23</t>
        </is>
      </c>
      <c r="B78" s="0" t="n">
        <v>-0.0020589057691378</v>
      </c>
      <c r="C78" s="0" t="n">
        <v>0.0109590554813383</v>
      </c>
      <c r="D78" s="0" t="n">
        <v>-0.0013725202099621</v>
      </c>
      <c r="E78" s="0" t="n">
        <v>-0.0072727523931748</v>
      </c>
      <c r="F78" s="0" t="n">
        <v>-0.0042967893003744</v>
      </c>
      <c r="G78" s="0" t="n">
        <v>0.0235210462411039</v>
      </c>
      <c r="H78" s="0" t="n">
        <v>-0.0068120091363037</v>
      </c>
      <c r="I78" s="0" t="n">
        <v>0.0196911944005155</v>
      </c>
      <c r="J78" s="0" t="n">
        <v>-0.0095238725005226</v>
      </c>
      <c r="K78" s="0" t="n">
        <v>0.0330999555348299</v>
      </c>
      <c r="L78" s="0" t="n">
        <v>0.0151682244584878</v>
      </c>
      <c r="M78" s="0" t="n">
        <v>0.0070404334702613</v>
      </c>
      <c r="N78" s="0" t="n">
        <v>0.0112172103699195</v>
      </c>
      <c r="O78" s="0" t="n">
        <v>0.0031478237843267</v>
      </c>
      <c r="P78" s="0" t="n">
        <v>-0.0165033246361692</v>
      </c>
      <c r="Q78" s="0" t="n">
        <v>-0.008928622191168601</v>
      </c>
      <c r="R78" s="0" t="n">
        <v>0.0139100848446718</v>
      </c>
      <c r="S78" s="0" t="n">
        <v>0.014143079273635</v>
      </c>
      <c r="T78" s="0" t="n">
        <v>-0.011592317831591</v>
      </c>
      <c r="U78" s="0" t="n">
        <v>-0.0227059092284918</v>
      </c>
      <c r="V78" s="0" t="n">
        <v>0.0132710824180621</v>
      </c>
      <c r="W78" s="0" t="n">
        <v>-0.0019026316590924</v>
      </c>
      <c r="X78" s="0" t="n">
        <v>-0.0107167699570882</v>
      </c>
    </row>
    <row r="79">
      <c r="A79" s="0" t="inlineStr">
        <is>
          <t>2018-04-24</t>
        </is>
      </c>
      <c r="B79" s="0" t="n">
        <v>0.0026072390948579</v>
      </c>
      <c r="C79" s="0" t="n">
        <v>-0.0438636911704701</v>
      </c>
      <c r="D79" s="0" t="n">
        <v>0.0130250936454343</v>
      </c>
      <c r="E79" s="0" t="n">
        <v>0.013593287748967</v>
      </c>
      <c r="F79" s="0" t="n">
        <v>-0.0016575884608323</v>
      </c>
      <c r="G79" s="0" t="n">
        <v>0.009802078412277201</v>
      </c>
      <c r="H79" s="0" t="n">
        <v>-0.0089255079494217</v>
      </c>
      <c r="I79" s="0" t="n">
        <v>-0.0289670451171835</v>
      </c>
      <c r="J79" s="0" t="n">
        <v>-0.0031948878544958</v>
      </c>
      <c r="K79" s="0" t="n">
        <v>-0.0623703105974811</v>
      </c>
      <c r="L79" s="0" t="n">
        <v>-0.0195445600920494</v>
      </c>
      <c r="M79" s="0" t="n">
        <v>-0.0103066022048814</v>
      </c>
      <c r="N79" s="0" t="n">
        <v>0.0312954274468371</v>
      </c>
      <c r="O79" s="0" t="n">
        <v>0.0056980427890538</v>
      </c>
      <c r="P79" s="0" t="n">
        <v>0.0063191304012035</v>
      </c>
      <c r="Q79" s="0" t="n">
        <v>-0.0120302086308243</v>
      </c>
      <c r="R79" s="0" t="n">
        <v>0.0168247081550294</v>
      </c>
      <c r="S79" s="0" t="n">
        <v>-0.0131613143186171</v>
      </c>
      <c r="T79" s="0" t="n">
        <v>-0.0006861656926138001</v>
      </c>
      <c r="U79" s="0" t="n">
        <v>0.0097175664547926</v>
      </c>
      <c r="V79" s="0" t="n">
        <v>0.0034835818122562</v>
      </c>
      <c r="W79" s="0" t="n">
        <v>0.0113616502414632</v>
      </c>
      <c r="X79" s="0" t="n">
        <v>0.0140423592978362</v>
      </c>
    </row>
    <row r="80">
      <c r="A80" s="0" t="inlineStr">
        <is>
          <t>2018-04-25</t>
        </is>
      </c>
      <c r="B80" s="0" t="n">
        <v>0.0053304217617959</v>
      </c>
      <c r="C80" s="0" t="n">
        <v>0.0232160103164282</v>
      </c>
      <c r="D80" s="0" t="n">
        <v>0.0172281570786374</v>
      </c>
      <c r="E80" s="0" t="n">
        <v>0.0283959317568625</v>
      </c>
      <c r="F80" s="0" t="n">
        <v>-0.0023251860962072</v>
      </c>
      <c r="G80" s="0" t="n">
        <v>0</v>
      </c>
      <c r="H80" s="0" t="n">
        <v>0.0231775657095876</v>
      </c>
      <c r="I80" s="0" t="n">
        <v>-0.0210076516223969</v>
      </c>
      <c r="J80" s="0" t="n">
        <v>0.0095542037365929</v>
      </c>
      <c r="K80" s="0" t="n">
        <v>-0.0066225344865264</v>
      </c>
      <c r="L80" s="0" t="n">
        <v>0.0231223951126833</v>
      </c>
      <c r="M80" s="0" t="n">
        <v>0.0046239215192902</v>
      </c>
      <c r="N80" s="0" t="n">
        <v>0.0010805218510148</v>
      </c>
      <c r="O80" s="0" t="n">
        <v>-0.0615128679945118</v>
      </c>
      <c r="P80" s="0" t="n">
        <v>0.0039292931583827</v>
      </c>
      <c r="Q80" s="0" t="n">
        <v>0.0075357875787571</v>
      </c>
      <c r="R80" s="0" t="n">
        <v>0.0140744009778943</v>
      </c>
      <c r="S80" s="0" t="n">
        <v>0.0247165597357561</v>
      </c>
      <c r="T80" s="0" t="n">
        <v>0.011374099199815</v>
      </c>
      <c r="U80" s="0" t="n">
        <v>-0.0193478540331506</v>
      </c>
      <c r="V80" s="0" t="n">
        <v>0.0053950534722968</v>
      </c>
      <c r="W80" s="0" t="n">
        <v>-0.0126956132188773</v>
      </c>
      <c r="X80" s="0" t="n">
        <v>-0.0019940642362463</v>
      </c>
    </row>
    <row r="81">
      <c r="A81" s="0" t="inlineStr">
        <is>
          <t>2018-04-26</t>
        </is>
      </c>
      <c r="B81" s="0" t="n">
        <v>-0.0016371456293882</v>
      </c>
      <c r="C81" s="0" t="n">
        <v>0</v>
      </c>
      <c r="D81" s="0" t="n">
        <v>0.0021781264443356</v>
      </c>
      <c r="E81" s="0" t="n">
        <v>0.0052355674343114</v>
      </c>
      <c r="F81" s="0" t="n">
        <v>0.0026569236692064</v>
      </c>
      <c r="G81" s="0" t="n">
        <v>-0.0043010312177598</v>
      </c>
      <c r="H81" s="0" t="n">
        <v>0.0033635576837767</v>
      </c>
      <c r="I81" s="0" t="n">
        <v>0.0065669811403528</v>
      </c>
      <c r="J81" s="0" t="n">
        <v>-0.0015860038120414</v>
      </c>
      <c r="K81" s="0" t="n">
        <v>-0.0066666850002898</v>
      </c>
      <c r="L81" s="0" t="n">
        <v>-0.0035778350206339</v>
      </c>
      <c r="M81" s="0" t="n">
        <v>0.0040623354167195</v>
      </c>
      <c r="N81" s="0" t="n">
        <v>0.0203106479467192</v>
      </c>
      <c r="O81" s="0" t="n">
        <v>-0.0018142599215131</v>
      </c>
      <c r="P81" s="0" t="n">
        <v>-0.0326852407618862</v>
      </c>
      <c r="Q81" s="0" t="n">
        <v>0.0059880362878272</v>
      </c>
      <c r="R81" s="0" t="n">
        <v>0.0181769937156142</v>
      </c>
      <c r="S81" s="0" t="n">
        <v>-0.0261896157170253</v>
      </c>
      <c r="T81" s="0" t="n">
        <v>0.0112461826393253</v>
      </c>
      <c r="U81" s="0" t="n">
        <v>0.0245278408298617</v>
      </c>
      <c r="V81" s="0" t="n">
        <v>0.0044099302454387</v>
      </c>
      <c r="W81" s="0" t="n">
        <v>-0.0015266800091175</v>
      </c>
      <c r="X81" s="0" t="n">
        <v>0.0072920846873429</v>
      </c>
    </row>
    <row r="82">
      <c r="A82" s="0" t="inlineStr">
        <is>
          <t>2018-04-27</t>
        </is>
      </c>
      <c r="B82" s="0" t="n">
        <v>-0.0104309825887396</v>
      </c>
      <c r="C82" s="0" t="n">
        <v>-0.0217935295011173</v>
      </c>
      <c r="D82" s="0" t="n">
        <v>-0.0202693585438042</v>
      </c>
      <c r="E82" s="0" t="n">
        <v>-0.0219982478381814</v>
      </c>
      <c r="F82" s="0" t="n">
        <v>-0.0076577548645908</v>
      </c>
      <c r="G82" s="0" t="n">
        <v>-0.0130153648483424</v>
      </c>
      <c r="H82" s="0" t="n">
        <v>-0.0244743465007797</v>
      </c>
      <c r="I82" s="0" t="n">
        <v>-0.034026954257778</v>
      </c>
      <c r="J82" s="0" t="n">
        <v>0.0047505604304669</v>
      </c>
      <c r="K82" s="0" t="n">
        <v>0.0519702855739014</v>
      </c>
      <c r="L82" s="0" t="n">
        <v>-0.0079165333799644</v>
      </c>
      <c r="M82" s="0" t="n">
        <v>-0.0105964688403625</v>
      </c>
      <c r="N82" s="0" t="n">
        <v>-0.017076172602561</v>
      </c>
      <c r="O82" s="0" t="n">
        <v>-0.0103438751277531</v>
      </c>
      <c r="P82" s="0" t="n">
        <v>0.0112812954189509</v>
      </c>
      <c r="Q82" s="0" t="n">
        <v>-0.012012145267261</v>
      </c>
      <c r="R82" s="0" t="n">
        <v>-0.0017169144042377</v>
      </c>
      <c r="S82" s="0" t="n">
        <v>-0.0143531747232676</v>
      </c>
      <c r="T82" s="0" t="n">
        <v>-0.0094382311625698</v>
      </c>
      <c r="U82" s="0" t="n">
        <v>-0.0003563873427703</v>
      </c>
      <c r="V82" s="0" t="n">
        <v>-0.002681982213037</v>
      </c>
      <c r="W82" s="0" t="n">
        <v>-0.0076687785159781</v>
      </c>
      <c r="X82" s="0" t="n">
        <v>-0.0153081521431208</v>
      </c>
    </row>
    <row r="83">
      <c r="A83" s="0" t="inlineStr">
        <is>
          <t>2018-04-30</t>
        </is>
      </c>
      <c r="B83" s="0" t="n">
        <v>0.0002758538105966</v>
      </c>
      <c r="C83" s="0" t="n">
        <v>-0.0014224808153109</v>
      </c>
      <c r="D83" s="0" t="n">
        <v>-0.0249794430119951</v>
      </c>
      <c r="E83" s="0" t="n">
        <v>0.0017778189361354</v>
      </c>
      <c r="F83" s="0" t="n">
        <v>0.0010021943790214</v>
      </c>
      <c r="G83" s="0" t="n">
        <v>-0.0172176545052828</v>
      </c>
      <c r="H83" s="0" t="n">
        <v>-0.0020667768925846</v>
      </c>
      <c r="I83" s="0" t="n">
        <v>0.0045045435659671</v>
      </c>
      <c r="J83" s="0" t="n">
        <v>-0.0015809887829527</v>
      </c>
      <c r="K83" s="0" t="n">
        <v>-0.02882877890125</v>
      </c>
      <c r="L83" s="0" t="n">
        <v>-0.0219146965478849</v>
      </c>
      <c r="M83" s="0" t="n">
        <v>-0.0336095805602099</v>
      </c>
      <c r="N83" s="0" t="n">
        <v>-0.004855696259101</v>
      </c>
      <c r="O83" s="0" t="n">
        <v>-0.0049049713083539</v>
      </c>
      <c r="P83" s="0" t="n">
        <v>0.0071856720625511</v>
      </c>
      <c r="Q83" s="0" t="n">
        <v>-0.0075814940371867</v>
      </c>
      <c r="R83" s="0" t="n">
        <v>-0.0265560379034415</v>
      </c>
      <c r="S83" s="0" t="n">
        <v>0.0128778517810106</v>
      </c>
      <c r="T83" s="0" t="n">
        <v>0.0121186604054486</v>
      </c>
      <c r="U83" s="0" t="n">
        <v>-0.001426820850054</v>
      </c>
      <c r="V83" s="0" t="n">
        <v>0.0106850388881269</v>
      </c>
      <c r="W83" s="0" t="n">
        <v>0.0114812261218681</v>
      </c>
      <c r="X83" s="0" t="n">
        <v>-0.0067294619296749</v>
      </c>
    </row>
    <row r="84">
      <c r="A84" s="0" t="inlineStr">
        <is>
          <t>2018-05-01</t>
        </is>
      </c>
      <c r="B84" s="0" t="n">
        <v>-0.0177427029000183</v>
      </c>
      <c r="C84" s="0" t="n">
        <v>0.009210125622924401</v>
      </c>
      <c r="D84" s="0" t="n">
        <v>-0.003039873923563</v>
      </c>
      <c r="E84" s="0" t="n">
        <v>-0.0044504025515177</v>
      </c>
      <c r="F84" s="0" t="n">
        <v>-0.0124308953318168</v>
      </c>
      <c r="G84" s="0" t="n">
        <v>-0.008517633896845501</v>
      </c>
      <c r="H84" s="0" t="n">
        <v>-0.0523828678266609</v>
      </c>
      <c r="I84" s="0" t="n">
        <v>0.001496969133552</v>
      </c>
      <c r="J84" s="0" t="n">
        <v>0</v>
      </c>
      <c r="K84" s="0" t="n">
        <v>0.0095943522026187</v>
      </c>
      <c r="L84" s="0" t="n">
        <v>0.0139349217727056</v>
      </c>
      <c r="M84" s="0" t="n">
        <v>-0.0145116255385651</v>
      </c>
      <c r="N84" s="0" t="n">
        <v>0</v>
      </c>
      <c r="O84" s="0" t="n">
        <v>-0.0148609399099006</v>
      </c>
      <c r="P84" s="0" t="n">
        <v>0.0290102583208282</v>
      </c>
      <c r="Q84" s="0" t="n">
        <v>-0.0340590607384752</v>
      </c>
      <c r="R84" s="0" t="n">
        <v>-0.0307624305078597</v>
      </c>
      <c r="S84" s="0" t="n">
        <v>0.0117418069196109</v>
      </c>
      <c r="T84" s="0" t="n">
        <v>-0.0218748421061065</v>
      </c>
      <c r="U84" s="0" t="n">
        <v>-0.0060866668485797</v>
      </c>
      <c r="V84" s="0" t="n">
        <v>-0.0228438504879049</v>
      </c>
      <c r="W84" s="0" t="n">
        <v>-0.0070645209623947</v>
      </c>
      <c r="X84" s="0" t="n">
        <v>-0.0101799705629881</v>
      </c>
    </row>
    <row r="85">
      <c r="A85" s="0" t="inlineStr">
        <is>
          <t>2018-05-02</t>
        </is>
      </c>
      <c r="B85" s="0" t="n">
        <v>-0.0032343682473117</v>
      </c>
      <c r="C85" s="0" t="n">
        <v>-0.0177876955529678</v>
      </c>
      <c r="D85" s="0" t="n">
        <v>-0.0100721308132838</v>
      </c>
      <c r="E85" s="0" t="n">
        <v>-0.0008924792158597</v>
      </c>
      <c r="F85" s="0" t="n">
        <v>-0.0129297193011135</v>
      </c>
      <c r="G85" s="0" t="n">
        <v>-0.0280893476543275</v>
      </c>
      <c r="H85" s="0" t="n">
        <v>-0.014641536192737</v>
      </c>
      <c r="I85" s="0" t="n">
        <v>0.0089352706985645</v>
      </c>
      <c r="J85" s="0" t="n">
        <v>0.0280829415812153</v>
      </c>
      <c r="K85" s="0" t="n">
        <v>0.008219905833559599</v>
      </c>
      <c r="L85" s="0" t="n">
        <v>0.0115859950440322</v>
      </c>
      <c r="M85" s="0" t="n">
        <v>-0.0037329855952039</v>
      </c>
      <c r="N85" s="0" t="n">
        <v>-0.0229769453047463</v>
      </c>
      <c r="O85" s="0" t="n">
        <v>-0.0037500305089164</v>
      </c>
      <c r="P85" s="0" t="n">
        <v>-0.015576624466469</v>
      </c>
      <c r="Q85" s="0" t="n">
        <v>-0.0015760053694819</v>
      </c>
      <c r="R85" s="0" t="n">
        <v>-0.0572654984326153</v>
      </c>
      <c r="S85" s="0" t="n">
        <v>0.0116055354160913</v>
      </c>
      <c r="T85" s="0" t="n">
        <v>0.0131371769636445</v>
      </c>
      <c r="U85" s="0" t="n">
        <v>0.0119591249179817</v>
      </c>
      <c r="V85" s="0" t="n">
        <v>-0.0009713305608767</v>
      </c>
      <c r="W85" s="0" t="n">
        <v>-0.0125326563543715</v>
      </c>
      <c r="X85" s="0" t="n">
        <v>-0.0137364666813324</v>
      </c>
    </row>
    <row r="86">
      <c r="A86" s="0" t="inlineStr">
        <is>
          <t>2018-05-03</t>
        </is>
      </c>
      <c r="B86" s="0" t="n">
        <v>0.0134314583560577</v>
      </c>
      <c r="C86" s="0" t="n">
        <v>0.0121300203482102</v>
      </c>
      <c r="D86" s="0" t="n">
        <v>0.004602419332679</v>
      </c>
      <c r="E86" s="0" t="n">
        <v>0.0141846217997811</v>
      </c>
      <c r="F86" s="0" t="n">
        <v>0.0034187545818329</v>
      </c>
      <c r="G86" s="0" t="n">
        <v>0.0112477148763208</v>
      </c>
      <c r="H86" s="0" t="n">
        <v>-0.008888938939973501</v>
      </c>
      <c r="I86" s="0" t="n">
        <v>-0.0014836430066487</v>
      </c>
      <c r="J86" s="0" t="n">
        <v>0.0258176944643135</v>
      </c>
      <c r="K86" s="0" t="n">
        <v>0.0044842929273483</v>
      </c>
      <c r="L86" s="0" t="n">
        <v>0.0135861638277794</v>
      </c>
      <c r="M86" s="0" t="n">
        <v>0.0022989042540948</v>
      </c>
      <c r="N86" s="0" t="n">
        <v>0.0229769453047463</v>
      </c>
      <c r="O86" s="0" t="n">
        <v>0.0062421818114448</v>
      </c>
      <c r="P86" s="0" t="n">
        <v>0.0324352821239366</v>
      </c>
      <c r="Q86" s="0" t="n">
        <v>-0.0015785684132962</v>
      </c>
      <c r="R86" s="0" t="n">
        <v>0.0132409691296189</v>
      </c>
      <c r="S86" s="0" t="n">
        <v>0.0214039453429357</v>
      </c>
      <c r="T86" s="0" t="n">
        <v>0.0191670817777671</v>
      </c>
      <c r="U86" s="0" t="n">
        <v>-0.0017759246323922</v>
      </c>
      <c r="V86" s="0" t="n">
        <v>-0.0023350648643898</v>
      </c>
      <c r="W86" s="0" t="n">
        <v>0.0167391869149957</v>
      </c>
      <c r="X86" s="0" t="n">
        <v>0.0164612614408077</v>
      </c>
    </row>
    <row r="87">
      <c r="A87" s="0" t="inlineStr">
        <is>
          <t>2018-05-04</t>
        </is>
      </c>
      <c r="B87" s="0" t="n">
        <v>-0.0048062115272351</v>
      </c>
      <c r="C87" s="0" t="n">
        <v>-0.0021299696028558</v>
      </c>
      <c r="D87" s="0" t="n">
        <v>0.002929324253861</v>
      </c>
      <c r="E87" s="0" t="n">
        <v>-0.0017620713156034</v>
      </c>
      <c r="F87" s="0" t="n">
        <v>0.0115372898515957</v>
      </c>
      <c r="G87" s="0" t="n">
        <v>-0.0066500598755854</v>
      </c>
      <c r="H87" s="0" t="n">
        <v>-0.008968661352744401</v>
      </c>
      <c r="I87" s="0" t="n">
        <v>0.0037050942268397</v>
      </c>
      <c r="J87" s="0" t="n">
        <v>0.0059790853027783</v>
      </c>
      <c r="K87" s="0" t="n">
        <v>0.0035093851008147</v>
      </c>
      <c r="L87" s="0" t="n">
        <v>-0.0164700851350048</v>
      </c>
      <c r="M87" s="0" t="n">
        <v>0.0025799111915443</v>
      </c>
      <c r="N87" s="0" t="n">
        <v>-0.0005409915775747</v>
      </c>
      <c r="O87" s="0" t="n">
        <v>-0.0031161905442935</v>
      </c>
      <c r="P87" s="0" t="n">
        <v>-0.0022822172716541</v>
      </c>
      <c r="Q87" s="0" t="n">
        <v>-0.0111200024287285</v>
      </c>
      <c r="R87" s="0" t="n">
        <v>-0.0216267698571641</v>
      </c>
      <c r="S87" s="0" t="n">
        <v>-0.0214039453429357</v>
      </c>
      <c r="T87" s="0" t="n">
        <v>0.0094475120127666</v>
      </c>
      <c r="U87" s="0" t="n">
        <v>-0.009824125628686099</v>
      </c>
      <c r="V87" s="0" t="n">
        <v>-0.0001948784435157</v>
      </c>
      <c r="W87" s="0" t="n">
        <v>0.0047587412679104</v>
      </c>
      <c r="X87" s="0" t="n">
        <v>0.0020387185880452</v>
      </c>
    </row>
    <row r="88">
      <c r="A88" s="0" t="inlineStr">
        <is>
          <t>2018-05-07</t>
        </is>
      </c>
      <c r="B88" s="0" t="n">
        <v>-0.0015372878421597</v>
      </c>
      <c r="C88" s="0" t="n">
        <v>0.0141146142070098</v>
      </c>
      <c r="D88" s="0" t="n">
        <v>0.0031744044016628</v>
      </c>
      <c r="E88" s="0" t="n">
        <v>-0.0061919430857493</v>
      </c>
      <c r="F88" s="0" t="n">
        <v>0.009736552225197301</v>
      </c>
      <c r="G88" s="0" t="n">
        <v>0.0045766924508821</v>
      </c>
      <c r="H88" s="0" t="n">
        <v>-0.002254844024327</v>
      </c>
      <c r="I88" s="0" t="n">
        <v>-0.002221451220191</v>
      </c>
      <c r="J88" s="0" t="n">
        <v>-0.0119941352098387</v>
      </c>
      <c r="K88" s="0" t="n">
        <v>-0.0411206476163232</v>
      </c>
      <c r="L88" s="0" t="n">
        <v>-0.0079739900401509</v>
      </c>
      <c r="M88" s="0" t="n">
        <v>0.0014303889484938</v>
      </c>
      <c r="N88" s="0" t="n">
        <v>-0.0191210629657803</v>
      </c>
      <c r="O88" s="0" t="n">
        <v>-0.0106684458239443</v>
      </c>
      <c r="P88" s="0" t="n">
        <v>0.0240793948361246</v>
      </c>
      <c r="Q88" s="0" t="n">
        <v>0</v>
      </c>
      <c r="R88" s="0" t="n">
        <v>-0.0169855614460825</v>
      </c>
      <c r="S88" s="0" t="n">
        <v>0.0133717700264139</v>
      </c>
      <c r="T88" s="0" t="n">
        <v>-0.0004374553452102</v>
      </c>
      <c r="U88" s="0" t="n">
        <v>-0.0079293734714296</v>
      </c>
      <c r="V88" s="0" t="n">
        <v>-0.0155133386550789</v>
      </c>
      <c r="W88" s="0" t="n">
        <v>0.0100142317650737</v>
      </c>
      <c r="X88" s="0" t="n">
        <v>0.0087868167882185</v>
      </c>
    </row>
    <row r="89">
      <c r="A89" s="0" t="inlineStr">
        <is>
          <t>2018-05-08</t>
        </is>
      </c>
      <c r="B89" s="0" t="n">
        <v>-0.0027309942313662</v>
      </c>
      <c r="C89" s="0" t="n">
        <v>0.0242310117559938</v>
      </c>
      <c r="D89" s="0" t="n">
        <v>0.0049320290263397</v>
      </c>
      <c r="E89" s="0" t="n">
        <v>-0.0188093346353634</v>
      </c>
      <c r="F89" s="0" t="n">
        <v>0.0260525538668043</v>
      </c>
      <c r="G89" s="0" t="n">
        <v>0.0111456449363229</v>
      </c>
      <c r="H89" s="0" t="n">
        <v>-0.0030143175308863</v>
      </c>
      <c r="I89" s="0" t="n">
        <v>-0.0014836430066487</v>
      </c>
      <c r="J89" s="0" t="n">
        <v>0.0208962626479851</v>
      </c>
      <c r="K89" s="0" t="n">
        <v>0.0316813305331624</v>
      </c>
      <c r="L89" s="0" t="n">
        <v>0.0137335395633866</v>
      </c>
      <c r="M89" s="0" t="n">
        <v>0.0054169379189028</v>
      </c>
      <c r="N89" s="0" t="n">
        <v>-0.0049764130926668</v>
      </c>
      <c r="O89" s="0" t="n">
        <v>-0.009508824185235</v>
      </c>
      <c r="P89" s="0" t="n">
        <v>-0.0082120399409668</v>
      </c>
      <c r="Q89" s="0" t="n">
        <v>-0.0357762160436005</v>
      </c>
      <c r="R89" s="0" t="n">
        <v>0.0082021458438212</v>
      </c>
      <c r="S89" s="0" t="n">
        <v>0.0099128018541767</v>
      </c>
      <c r="T89" s="0" t="n">
        <v>0.0071935314245439</v>
      </c>
      <c r="U89" s="0" t="n">
        <v>0.0116917910538836</v>
      </c>
      <c r="V89" s="0" t="n">
        <v>0.011021591183526</v>
      </c>
      <c r="W89" s="0" t="n">
        <v>0.0106592820577811</v>
      </c>
      <c r="X89" s="0" t="n">
        <v>0.0153592667058188</v>
      </c>
    </row>
    <row r="90">
      <c r="A90" s="0" t="inlineStr">
        <is>
          <t>2018-05-09</t>
        </is>
      </c>
      <c r="B90" s="0" t="n">
        <v>0.0113649809500202</v>
      </c>
      <c r="C90" s="0" t="n">
        <v>0.004776520208761</v>
      </c>
      <c r="D90" s="0" t="n">
        <v>0.0198595672599086</v>
      </c>
      <c r="E90" s="0" t="n">
        <v>0.0134712064527948</v>
      </c>
      <c r="F90" s="0" t="n">
        <v>0.0055186012438883</v>
      </c>
      <c r="G90" s="0" t="n">
        <v>0</v>
      </c>
      <c r="H90" s="0" t="n">
        <v>0.0370413423471251</v>
      </c>
      <c r="I90" s="0" t="n">
        <v>0.0213008388928144</v>
      </c>
      <c r="J90" s="0" t="n">
        <v>0.0073584129188306</v>
      </c>
      <c r="K90" s="0" t="n">
        <v>0.0014456390549977</v>
      </c>
      <c r="L90" s="0" t="n">
        <v>0.0359572947058284</v>
      </c>
      <c r="M90" s="0" t="n">
        <v>-0.0037031022266647</v>
      </c>
      <c r="N90" s="0" t="n">
        <v>0.07268148102156539</v>
      </c>
      <c r="O90" s="0" t="n">
        <v>0.0151709468317622</v>
      </c>
      <c r="P90" s="0" t="n">
        <v>-0.0097929305038819</v>
      </c>
      <c r="Q90" s="0" t="n">
        <v>0.009884749914260599</v>
      </c>
      <c r="R90" s="0" t="n">
        <v>0.0198955137476355</v>
      </c>
      <c r="S90" s="0" t="n">
        <v>0.0070208392039239</v>
      </c>
      <c r="T90" s="0" t="n">
        <v>0.005631340874856</v>
      </c>
      <c r="U90" s="0" t="n">
        <v>0.0021436726244674</v>
      </c>
      <c r="V90" s="0" t="n">
        <v>0.0011737358997345</v>
      </c>
      <c r="W90" s="0" t="n">
        <v>0.0164195775500659</v>
      </c>
      <c r="X90" s="0" t="n">
        <v>0.0033079877942259</v>
      </c>
    </row>
    <row r="91">
      <c r="A91" s="0" t="inlineStr">
        <is>
          <t>2018-05-10</t>
        </is>
      </c>
      <c r="B91" s="0" t="n">
        <v>-0.0006935717167015</v>
      </c>
      <c r="C91" s="0" t="n">
        <v>-0.0061454510202696</v>
      </c>
      <c r="D91" s="0" t="n">
        <v>0.0194727402312953</v>
      </c>
      <c r="E91" s="0" t="n">
        <v>-0.0017857556624352</v>
      </c>
      <c r="F91" s="0" t="n">
        <v>0.0009707390150661</v>
      </c>
      <c r="G91" s="0" t="n">
        <v>0.008583706215242</v>
      </c>
      <c r="H91" s="0" t="n">
        <v>-0.0242927215630168</v>
      </c>
      <c r="I91" s="0" t="n">
        <v>0.0036271486671375</v>
      </c>
      <c r="J91" s="0" t="n">
        <v>-0.0044085610731665</v>
      </c>
      <c r="K91" s="0" t="n">
        <v>0.0111733278119452</v>
      </c>
      <c r="L91" s="0" t="n">
        <v>0.0117040978580944</v>
      </c>
      <c r="M91" s="0" t="n">
        <v>0.013042404285116</v>
      </c>
      <c r="N91" s="0" t="n">
        <v>0.010256539293318</v>
      </c>
      <c r="O91" s="0" t="n">
        <v>0.0127787855262089</v>
      </c>
      <c r="P91" s="0" t="n">
        <v>0.0007567332004225</v>
      </c>
      <c r="Q91" s="0" t="n">
        <v>-0.0132014993928837</v>
      </c>
      <c r="R91" s="0" t="n">
        <v>0.0310628837615603</v>
      </c>
      <c r="S91" s="0" t="n">
        <v>-0.0197839738856702</v>
      </c>
      <c r="T91" s="0" t="n">
        <v>-0.008023439631945101</v>
      </c>
      <c r="U91" s="0" t="n">
        <v>-0.0152839852373984</v>
      </c>
      <c r="V91" s="0" t="n">
        <v>0.0137852696506448</v>
      </c>
      <c r="W91" s="0" t="n">
        <v>-0.0036663791527655</v>
      </c>
      <c r="X91" s="0" t="n">
        <v>-0.0006607353217327</v>
      </c>
    </row>
    <row r="92">
      <c r="A92" s="0" t="inlineStr">
        <is>
          <t>2018-05-11</t>
        </is>
      </c>
      <c r="B92" s="0" t="n">
        <v>0.0011094416666681</v>
      </c>
      <c r="C92" s="0" t="n">
        <v>0.0075060006343661</v>
      </c>
      <c r="D92" s="0" t="n">
        <v>0.0074916101850908</v>
      </c>
      <c r="E92" s="0" t="n">
        <v>-0.0008939898010407</v>
      </c>
      <c r="F92" s="0" t="n">
        <v>0.0064475000911605</v>
      </c>
      <c r="G92" s="0" t="n">
        <v>0.0064908889104442</v>
      </c>
      <c r="H92" s="0" t="n">
        <v>-0.0233708656408735</v>
      </c>
      <c r="I92" s="0" t="n">
        <v>-0.0036271486671375</v>
      </c>
      <c r="J92" s="0" t="n">
        <v>0.0087977023993872</v>
      </c>
      <c r="K92" s="0" t="n">
        <v>-0.0192314199801846</v>
      </c>
      <c r="L92" s="0" t="n">
        <v>0.0243420140056862</v>
      </c>
      <c r="M92" s="0" t="n">
        <v>0.0100897887160171</v>
      </c>
      <c r="N92" s="0" t="n">
        <v>-0.0185381523577974</v>
      </c>
      <c r="O92" s="0" t="n">
        <v>-0.0031018104747837</v>
      </c>
      <c r="P92" s="0" t="n">
        <v>0.0007560889040441</v>
      </c>
      <c r="Q92" s="0" t="n">
        <v>-0.0116960686511182</v>
      </c>
      <c r="R92" s="0" t="n">
        <v>0.0367334749464571</v>
      </c>
      <c r="S92" s="0" t="n">
        <v>0.0423811891193666</v>
      </c>
      <c r="T92" s="0" t="n">
        <v>-0.0050201903873925</v>
      </c>
      <c r="U92" s="0" t="n">
        <v>-0.0030849887520618</v>
      </c>
      <c r="V92" s="0" t="n">
        <v>0.0030804769405339</v>
      </c>
      <c r="W92" s="0" t="n">
        <v>0.0005507900481265</v>
      </c>
      <c r="X92" s="0" t="n">
        <v>-0.0013227818010164</v>
      </c>
    </row>
    <row r="93">
      <c r="A93" s="0" t="inlineStr">
        <is>
          <t>2018-05-14</t>
        </is>
      </c>
      <c r="B93" s="0" t="n">
        <v>-0.0038883366722579</v>
      </c>
      <c r="C93" s="0" t="n">
        <v>0</v>
      </c>
      <c r="D93" s="0" t="n">
        <v>-0.0104066841496672</v>
      </c>
      <c r="E93" s="0" t="n">
        <v>0.0035714288703747</v>
      </c>
      <c r="F93" s="0" t="n">
        <v>0.0032081668156709</v>
      </c>
      <c r="G93" s="0" t="n">
        <v>0.0008084259918343</v>
      </c>
      <c r="H93" s="0" t="n">
        <v>-0.0107362894358367</v>
      </c>
      <c r="I93" s="0" t="n">
        <v>-0.0190761636946681</v>
      </c>
      <c r="J93" s="0" t="n">
        <v>0.0029154512243101</v>
      </c>
      <c r="K93" s="0" t="n">
        <v>-0.0229142380616775</v>
      </c>
      <c r="L93" s="0" t="n">
        <v>-0.0040160977264149</v>
      </c>
      <c r="M93" s="0" t="n">
        <v>-0.0047519861736327</v>
      </c>
      <c r="N93" s="0" t="n">
        <v>0.0067340874039416</v>
      </c>
      <c r="O93" s="0" t="n">
        <v>-0.0031113427719136</v>
      </c>
      <c r="P93" s="0" t="n">
        <v>0.0112741197267802</v>
      </c>
      <c r="Q93" s="0" t="n">
        <v>-0.0220908962628303</v>
      </c>
      <c r="R93" s="0" t="n">
        <v>-0.0147749316140108</v>
      </c>
      <c r="S93" s="0" t="n">
        <v>-0.0105432806407876</v>
      </c>
      <c r="T93" s="0" t="n">
        <v>-0.0048256557775054</v>
      </c>
      <c r="U93" s="0" t="n">
        <v>-0.009129148591795</v>
      </c>
      <c r="V93" s="0" t="n">
        <v>0.0053680876628559</v>
      </c>
      <c r="W93" s="0" t="n">
        <v>0.0049437152577702</v>
      </c>
      <c r="X93" s="0" t="n">
        <v>0.0026437532127689</v>
      </c>
    </row>
    <row r="94">
      <c r="A94" s="0" t="inlineStr">
        <is>
          <t>2018-05-15</t>
        </is>
      </c>
      <c r="B94" s="0" t="n">
        <v>0.006172640590087</v>
      </c>
      <c r="C94" s="0" t="n">
        <v>0.0215206842694435</v>
      </c>
      <c r="D94" s="0" t="n">
        <v>-0.0126080228575942</v>
      </c>
      <c r="E94" s="0" t="n">
        <v>0.0159153980442834</v>
      </c>
      <c r="F94" s="0" t="n">
        <v>-0.00513809256736</v>
      </c>
      <c r="G94" s="0" t="n">
        <v>0.0076474726508881</v>
      </c>
      <c r="H94" s="0" t="n">
        <v>0.0069151738262815</v>
      </c>
      <c r="I94" s="0" t="n">
        <v>0.0051717659133898</v>
      </c>
      <c r="J94" s="0" t="n">
        <v>0.008695698854858699</v>
      </c>
      <c r="K94" s="0" t="n">
        <v>-0.0321333030832897</v>
      </c>
      <c r="L94" s="0" t="n">
        <v>0.0146474168213881</v>
      </c>
      <c r="M94" s="0" t="n">
        <v>-0.000280182758813</v>
      </c>
      <c r="N94" s="0" t="n">
        <v>-0.0056951024915852</v>
      </c>
      <c r="O94" s="0" t="n">
        <v>0.0065227467314303</v>
      </c>
      <c r="P94" s="0" t="n">
        <v>0.0044742406203068</v>
      </c>
      <c r="Q94" s="0" t="n">
        <v>-0.0034423408007335</v>
      </c>
      <c r="R94" s="0" t="n">
        <v>0.0043949594060306</v>
      </c>
      <c r="S94" s="0" t="n">
        <v>0.0078035773574889</v>
      </c>
      <c r="T94" s="0" t="n">
        <v>-0.0070609229145381</v>
      </c>
      <c r="U94" s="0" t="n">
        <v>0.0063991163800118</v>
      </c>
      <c r="V94" s="0" t="n">
        <v>-0.0017223265961425</v>
      </c>
      <c r="W94" s="0" t="n">
        <v>0.005282841562332</v>
      </c>
      <c r="X94" s="0" t="n">
        <v>-0.0033057376920839</v>
      </c>
    </row>
    <row r="95">
      <c r="A95" s="0" t="inlineStr">
        <is>
          <t>2018-05-16</t>
        </is>
      </c>
      <c r="B95" s="0" t="n">
        <v>-0.0008992832938695999</v>
      </c>
      <c r="C95" s="0" t="n">
        <v>0</v>
      </c>
      <c r="D95" s="0" t="n">
        <v>0.0058954155672452</v>
      </c>
      <c r="E95" s="0" t="n">
        <v>0.0052493926771073</v>
      </c>
      <c r="F95" s="0" t="n">
        <v>-0.008081505251483901</v>
      </c>
      <c r="G95" s="0" t="n">
        <v>0.0143314039121769</v>
      </c>
      <c r="H95" s="0" t="n">
        <v>-0.0567081637772362</v>
      </c>
      <c r="I95" s="0" t="n">
        <v>-0.0044312824440053</v>
      </c>
      <c r="J95" s="0" t="n">
        <v>-0.0057887227834807</v>
      </c>
      <c r="K95" s="0" t="n">
        <v>-0.0390497544572259</v>
      </c>
      <c r="L95" s="0" t="n">
        <v>-0.0066313493656102</v>
      </c>
      <c r="M95" s="0" t="n">
        <v>0.0008404197035729</v>
      </c>
      <c r="N95" s="0" t="n">
        <v>-0.0005193575199782</v>
      </c>
      <c r="O95" s="0" t="n">
        <v>-0.0115211903238532</v>
      </c>
      <c r="P95" s="0" t="n">
        <v>0.0220759662626144</v>
      </c>
      <c r="Q95" s="0" t="n">
        <v>-0.0244340851815945</v>
      </c>
      <c r="R95" s="0" t="n">
        <v>-0.0056106769203179</v>
      </c>
      <c r="S95" s="0" t="n">
        <v>-0.0110346718969456</v>
      </c>
      <c r="T95" s="0" t="n">
        <v>-0.0383707821403263</v>
      </c>
      <c r="U95" s="0" t="n">
        <v>0.0076253453038876</v>
      </c>
      <c r="V95" s="0" t="n">
        <v>0.010100182863467</v>
      </c>
      <c r="W95" s="0" t="n">
        <v>-0.015010343674533</v>
      </c>
      <c r="X95" s="0" t="n">
        <v>0.0164207298008798</v>
      </c>
    </row>
    <row r="96">
      <c r="A96" s="0" t="inlineStr">
        <is>
          <t>2018-05-17</t>
        </is>
      </c>
      <c r="B96" s="0" t="n">
        <v>-0.0029107939761887</v>
      </c>
      <c r="C96" s="0" t="n">
        <v>-0.004000020541333</v>
      </c>
      <c r="D96" s="0" t="n">
        <v>0.0050082071858934</v>
      </c>
      <c r="E96" s="0" t="n">
        <v>-0.0114086463091838</v>
      </c>
      <c r="F96" s="0" t="n">
        <v>-0.0180125793506205</v>
      </c>
      <c r="G96" s="0" t="n">
        <v>-0.0163382737202231</v>
      </c>
      <c r="H96" s="0" t="n">
        <v>-0.0212948060100188</v>
      </c>
      <c r="I96" s="0" t="n">
        <v>0.0022180957530069</v>
      </c>
      <c r="J96" s="0" t="n">
        <v>0.0115441290232345</v>
      </c>
      <c r="K96" s="0" t="n">
        <v>0.08923114923484179</v>
      </c>
      <c r="L96" s="0" t="n">
        <v>-0.0303974646507638</v>
      </c>
      <c r="M96" s="0" t="n">
        <v>-0.0019621504913707</v>
      </c>
      <c r="N96" s="0" t="n">
        <v>0.0020758136450846</v>
      </c>
      <c r="O96" s="0" t="n">
        <v>0.0037511432776744</v>
      </c>
      <c r="P96" s="0" t="n">
        <v>-0.0220759662626144</v>
      </c>
      <c r="Q96" s="0" t="n">
        <v>-0.0268592005519243</v>
      </c>
      <c r="R96" s="0" t="n">
        <v>-0.0128560687915761</v>
      </c>
      <c r="S96" s="0" t="n">
        <v>-0.009756132584045301</v>
      </c>
      <c r="T96" s="0" t="n">
        <v>-0.0057690250063231</v>
      </c>
      <c r="U96" s="0" t="n">
        <v>0.0045114214542776</v>
      </c>
      <c r="V96" s="0" t="n">
        <v>-0.0005690392524733</v>
      </c>
      <c r="W96" s="0" t="n">
        <v>-0.0096368508621518</v>
      </c>
      <c r="X96" s="0" t="n">
        <v>-0.0150971357021107</v>
      </c>
    </row>
    <row r="97">
      <c r="A97" s="0" t="inlineStr">
        <is>
          <t>2018-05-18</t>
        </is>
      </c>
      <c r="B97" s="0" t="n">
        <v>0.009738679907298001</v>
      </c>
      <c r="C97" s="0" t="n">
        <v>0.0191868023299051</v>
      </c>
      <c r="D97" s="0" t="n">
        <v>-0.0029285910075236</v>
      </c>
      <c r="E97" s="0" t="n">
        <v>0.0157621743131519</v>
      </c>
      <c r="F97" s="0" t="n">
        <v>0.0095379447200847</v>
      </c>
      <c r="G97" s="0" t="n">
        <v>-0.0048328298757054</v>
      </c>
      <c r="H97" s="0" t="n">
        <v>-0.0008280973533758001</v>
      </c>
      <c r="I97" s="0" t="n">
        <v>0.0132063770937049</v>
      </c>
      <c r="J97" s="0" t="n">
        <v>0.0042949543845094</v>
      </c>
      <c r="K97" s="0" t="n">
        <v>0.0826658645254172</v>
      </c>
      <c r="L97" s="0" t="n">
        <v>-0.0117283219253283</v>
      </c>
      <c r="M97" s="0" t="n">
        <v>0.0044792866183529</v>
      </c>
      <c r="N97" s="0" t="n">
        <v>-0.0005185495820856</v>
      </c>
      <c r="O97" s="0" t="n">
        <v>0.0167083379695012</v>
      </c>
      <c r="P97" s="0" t="n">
        <v>0.0228035202390581</v>
      </c>
      <c r="Q97" s="0" t="n">
        <v>-0.009115867960736801</v>
      </c>
      <c r="R97" s="0" t="n">
        <v>0.008894428199602599</v>
      </c>
      <c r="S97" s="0" t="n">
        <v>0.0009332925305933</v>
      </c>
      <c r="T97" s="0" t="n">
        <v>0.0124196840476398</v>
      </c>
      <c r="U97" s="0" t="n">
        <v>0.001798857722826</v>
      </c>
      <c r="V97" s="0" t="n">
        <v>-0.008956656399885</v>
      </c>
      <c r="W97" s="0" t="n">
        <v>0.0155213784815315</v>
      </c>
      <c r="X97" s="0" t="n">
        <v>0.006592006795596</v>
      </c>
    </row>
    <row r="98">
      <c r="A98" s="0" t="inlineStr">
        <is>
          <t>2018-05-21</t>
        </is>
      </c>
      <c r="B98" s="0" t="n">
        <v>-0.0027531791962633</v>
      </c>
      <c r="C98" s="0" t="n">
        <v>0.0019640340422473</v>
      </c>
      <c r="D98" s="0" t="n">
        <v>0.0047546494009074</v>
      </c>
      <c r="E98" s="0" t="n">
        <v>0.0008684523849065</v>
      </c>
      <c r="F98" s="0" t="n">
        <v>0.0110678265274821</v>
      </c>
      <c r="G98" s="0" t="n">
        <v>-0.002829987459668</v>
      </c>
      <c r="H98" s="0" t="n">
        <v>0.0342052551522247</v>
      </c>
      <c r="I98" s="0" t="n">
        <v>-0.0117303283030465</v>
      </c>
      <c r="J98" s="0" t="n">
        <v>-0.008608366291577201</v>
      </c>
      <c r="K98" s="0" t="n">
        <v>-0.0227109864324881</v>
      </c>
      <c r="L98" s="0" t="n">
        <v>-0.0013888546647007</v>
      </c>
      <c r="M98" s="0" t="n">
        <v>-0.0022370819129795</v>
      </c>
      <c r="N98" s="0" t="n">
        <v>0.0005185495820856</v>
      </c>
      <c r="O98" s="0" t="n">
        <v>-0.0049215678019978</v>
      </c>
      <c r="P98" s="0" t="n">
        <v>-0.0317721819114322</v>
      </c>
      <c r="Q98" s="0" t="n">
        <v>0.0109290600902236</v>
      </c>
      <c r="R98" s="0" t="n">
        <v>0.0018304267476159</v>
      </c>
      <c r="S98" s="0" t="n">
        <v>0.022141104448373</v>
      </c>
      <c r="T98" s="0" t="n">
        <v>-0.0022882955608785</v>
      </c>
      <c r="U98" s="0" t="n">
        <v>-0.0077582763722707</v>
      </c>
      <c r="V98" s="0" t="n">
        <v>0.00191238291923</v>
      </c>
      <c r="W98" s="0" t="n">
        <v>0.0131148949174892</v>
      </c>
      <c r="X98" s="0" t="n">
        <v>0.009156335389644801</v>
      </c>
    </row>
    <row r="99">
      <c r="A99" s="0" t="inlineStr">
        <is>
          <t>2018-05-22</t>
        </is>
      </c>
      <c r="B99" s="0" t="n">
        <v>-0.002898940302602</v>
      </c>
      <c r="C99" s="0" t="n">
        <v>-0.0753665510785106</v>
      </c>
      <c r="D99" s="0" t="n">
        <v>0.0055791421880915</v>
      </c>
      <c r="E99" s="0" t="n">
        <v>-0.0069687457323044</v>
      </c>
      <c r="F99" s="0" t="n">
        <v>-0.0146749366335332</v>
      </c>
      <c r="G99" s="0" t="n">
        <v>-0.0052771004097471</v>
      </c>
      <c r="H99" s="0" t="n">
        <v>-0.0104629197371712</v>
      </c>
      <c r="I99" s="0" t="n">
        <v>0.013186956678703</v>
      </c>
      <c r="J99" s="0" t="n">
        <v>-0.0014419943326859</v>
      </c>
      <c r="K99" s="0" t="n">
        <v>0.010662659164514</v>
      </c>
      <c r="L99" s="0" t="n">
        <v>-0.0034806989455105</v>
      </c>
      <c r="M99" s="0" t="n">
        <v>0.0069745014617157</v>
      </c>
      <c r="N99" s="0" t="n">
        <v>-0.0146217058384645</v>
      </c>
      <c r="O99" s="0" t="n">
        <v>-0.0030882813557826</v>
      </c>
      <c r="P99" s="0" t="n">
        <v>0.0015004097247022</v>
      </c>
      <c r="Q99" s="0" t="n">
        <v>-0.0018131921294868</v>
      </c>
      <c r="R99" s="0" t="n">
        <v>-0.0007622997674925</v>
      </c>
      <c r="S99" s="0" t="n">
        <v>0.0059131017320477</v>
      </c>
      <c r="T99" s="0" t="n">
        <v>0.0006870211805298</v>
      </c>
      <c r="U99" s="0" t="n">
        <v>0.0120624737898902</v>
      </c>
      <c r="V99" s="0" t="n">
        <v>0.0030522695802575</v>
      </c>
      <c r="W99" s="0" t="n">
        <v>0.0165115379869265</v>
      </c>
      <c r="X99" s="0" t="n">
        <v>-0.0117879132964939</v>
      </c>
    </row>
    <row r="100">
      <c r="A100" s="0" t="inlineStr">
        <is>
          <t>2018-05-23</t>
        </is>
      </c>
      <c r="B100" s="0" t="n">
        <v>-0.0041559305734333</v>
      </c>
      <c r="C100" s="0" t="n">
        <v>0.0291890503438816</v>
      </c>
      <c r="D100" s="0" t="n">
        <v>0.0003627641300756</v>
      </c>
      <c r="E100" s="0" t="n">
        <v>0.0156117923032792</v>
      </c>
      <c r="F100" s="0" t="n">
        <v>-0.0075845854449445</v>
      </c>
      <c r="G100" s="0" t="n">
        <v>-0.0004070925784964</v>
      </c>
      <c r="H100" s="0" t="n">
        <v>0.0064516293271643</v>
      </c>
      <c r="I100" s="0" t="n">
        <v>0.0336346746573887</v>
      </c>
      <c r="J100" s="0" t="n">
        <v>-0.0014440077763353</v>
      </c>
      <c r="K100" s="0" t="n">
        <v>-0.0276515049971071</v>
      </c>
      <c r="L100" s="0" t="n">
        <v>0.0048695536102112</v>
      </c>
      <c r="M100" s="0" t="n">
        <v>-0.0022266034908904</v>
      </c>
      <c r="N100" s="0" t="n">
        <v>-0.0261139146051196</v>
      </c>
      <c r="O100" s="0" t="n">
        <v>0.0138228877026813</v>
      </c>
      <c r="P100" s="0" t="n">
        <v>-0.0288993580582825</v>
      </c>
      <c r="Q100" s="0" t="n">
        <v>0.0072332974208091</v>
      </c>
      <c r="R100" s="0" t="n">
        <v>-0.0068865057498035</v>
      </c>
      <c r="S100" s="0" t="n">
        <v>-0.004545393013184</v>
      </c>
      <c r="T100" s="0" t="n">
        <v>-0.0025215052981879</v>
      </c>
      <c r="U100" s="0" t="n">
        <v>0.0001789088578139</v>
      </c>
      <c r="V100" s="0" t="n">
        <v>0.0036124885600172</v>
      </c>
      <c r="W100" s="0" t="n">
        <v>-0.0272457476941578</v>
      </c>
      <c r="X100" s="0" t="n">
        <v>-0.0019782852954319</v>
      </c>
    </row>
    <row r="101">
      <c r="A101" s="0" t="inlineStr">
        <is>
          <t>2018-05-24</t>
        </is>
      </c>
      <c r="B101" s="0" t="n">
        <v>-0.0029891783025908</v>
      </c>
      <c r="C101" s="0" t="n">
        <v>0.0020526602218251</v>
      </c>
      <c r="D101" s="0" t="n">
        <v>0.0007251337052425</v>
      </c>
      <c r="E101" s="0" t="n">
        <v>-0.0095114989558813</v>
      </c>
      <c r="F101" s="0" t="n">
        <v>-0.0016564270126648</v>
      </c>
      <c r="G101" s="0" t="n">
        <v>0.0020338076699975</v>
      </c>
      <c r="H101" s="0" t="n">
        <v>-0.0162077951951036</v>
      </c>
      <c r="I101" s="0" t="n">
        <v>-0.0113235354383354</v>
      </c>
      <c r="J101" s="0" t="n">
        <v>0.0043258514781205</v>
      </c>
      <c r="K101" s="0" t="n">
        <v>-0.034868868298304</v>
      </c>
      <c r="L101" s="0" t="n">
        <v>-0.0267245243407354</v>
      </c>
      <c r="M101" s="0" t="n">
        <v>-0.0058683718884009</v>
      </c>
      <c r="N101" s="0" t="n">
        <v>-0.0185291483996143</v>
      </c>
      <c r="O101" s="0" t="n">
        <v>-0.0082708533898512</v>
      </c>
      <c r="P101" s="0" t="n">
        <v>-0.0250012779872466</v>
      </c>
      <c r="Q101" s="0" t="n">
        <v>-0.0181823884470551</v>
      </c>
      <c r="R101" s="0" t="n">
        <v>0.0138774018478544</v>
      </c>
      <c r="S101" s="0" t="n">
        <v>0.0243035815149337</v>
      </c>
      <c r="T101" s="0" t="n">
        <v>-0.0071404513996844</v>
      </c>
      <c r="U101" s="0" t="n">
        <v>-0.0046628190734736</v>
      </c>
      <c r="V101" s="0" t="n">
        <v>0.0015171979346764</v>
      </c>
      <c r="W101" s="0" t="n">
        <v>0.0041982968952245</v>
      </c>
      <c r="X101" s="0" t="n">
        <v>-0.0033057376920839</v>
      </c>
    </row>
    <row r="102">
      <c r="A102" s="0" t="inlineStr">
        <is>
          <t>2018-05-25</t>
        </is>
      </c>
      <c r="B102" s="0" t="n">
        <v>-0.016991198376524</v>
      </c>
      <c r="C102" s="0" t="n">
        <v>-0.0312417105657067</v>
      </c>
      <c r="D102" s="0" t="n">
        <v>-0.003994850703334</v>
      </c>
      <c r="E102" s="0" t="n">
        <v>-0.0061002933473979</v>
      </c>
      <c r="F102" s="0" t="n">
        <v>-0.0406010021764733</v>
      </c>
      <c r="G102" s="0" t="n">
        <v>-0.0044797716532403</v>
      </c>
      <c r="H102" s="0" t="n">
        <v>-0.0632321864441092</v>
      </c>
      <c r="I102" s="0" t="n">
        <v>0.008504649731587001</v>
      </c>
      <c r="J102" s="0" t="n">
        <v>0.004307287374037</v>
      </c>
      <c r="K102" s="0" t="n">
        <v>0.0048270745735587</v>
      </c>
      <c r="L102" s="0" t="n">
        <v>-0.0429625712081453</v>
      </c>
      <c r="M102" s="0" t="n">
        <v>0.0005603938915048</v>
      </c>
      <c r="N102" s="0" t="n">
        <v>0.0021977486097704</v>
      </c>
      <c r="O102" s="0" t="n">
        <v>-0.0055520343128301</v>
      </c>
      <c r="P102" s="0" t="n">
        <v>-0.011938110068042</v>
      </c>
      <c r="Q102" s="0" t="n">
        <v>-0.0469569847703299</v>
      </c>
      <c r="R102" s="0" t="n">
        <v>-0.018803515266125</v>
      </c>
      <c r="S102" s="0" t="n">
        <v>-0.0247592766053585</v>
      </c>
      <c r="T102" s="0" t="n">
        <v>-0.0067261555302344</v>
      </c>
      <c r="U102" s="0" t="n">
        <v>0.0017959500799431</v>
      </c>
      <c r="V102" s="0" t="n">
        <v>-0.009520254609766301</v>
      </c>
      <c r="W102" s="0" t="n">
        <v>-0.0361652898531787</v>
      </c>
      <c r="X102" s="0" t="n">
        <v>-0.0446926646784224</v>
      </c>
    </row>
    <row r="103">
      <c r="A103" s="0" t="inlineStr">
        <is>
          <t>2018-05-29</t>
        </is>
      </c>
      <c r="B103" s="0" t="n">
        <v>0.0098647496314541</v>
      </c>
      <c r="C103" s="0" t="n">
        <v>-0.0007054351190456</v>
      </c>
      <c r="D103" s="0" t="n">
        <v>0.0170779633842386</v>
      </c>
      <c r="E103" s="0" t="n">
        <v>0.0095695042097734</v>
      </c>
      <c r="F103" s="0" t="n">
        <v>0.0181356791618458</v>
      </c>
      <c r="G103" s="0" t="n">
        <v>0.019402368821543</v>
      </c>
      <c r="H103" s="0" t="n">
        <v>0.0017391292506174</v>
      </c>
      <c r="I103" s="0" t="n">
        <v>0.0119257867254147</v>
      </c>
      <c r="J103" s="0" t="n">
        <v>0.0198587898438493</v>
      </c>
      <c r="K103" s="0" t="n">
        <v>0.0190784620251904</v>
      </c>
      <c r="L103" s="0" t="n">
        <v>0.0074129607932529</v>
      </c>
      <c r="M103" s="0" t="n">
        <v>0.0097561324111423</v>
      </c>
      <c r="N103" s="0" t="n">
        <v>0.0049274753734311</v>
      </c>
      <c r="O103" s="0" t="n">
        <v>0.0073959615445629</v>
      </c>
      <c r="P103" s="0" t="n">
        <v>0.0377107131042619</v>
      </c>
      <c r="Q103" s="0" t="n">
        <v>0.011472481355675</v>
      </c>
      <c r="R103" s="0" t="n">
        <v>0.0181975325700403</v>
      </c>
      <c r="S103" s="0" t="n">
        <v>0.0022763149694022</v>
      </c>
      <c r="T103" s="0" t="n">
        <v>-0.0027966167611555</v>
      </c>
      <c r="U103" s="0" t="n">
        <v>0.0153137004833174</v>
      </c>
      <c r="V103" s="0" t="n">
        <v>0.0142466080121663</v>
      </c>
      <c r="W103" s="0" t="n">
        <v>0.0238861659557247</v>
      </c>
      <c r="X103" s="0" t="n">
        <v>0.0286709117804417</v>
      </c>
    </row>
    <row r="104">
      <c r="A104" s="0" t="inlineStr">
        <is>
          <t>2018-05-30</t>
        </is>
      </c>
      <c r="B104" s="0" t="n">
        <v>-0.009227675045934801</v>
      </c>
      <c r="C104" s="0" t="n">
        <v>-0.0063716921354846</v>
      </c>
      <c r="D104" s="0" t="n">
        <v>0.0139729957786993</v>
      </c>
      <c r="E104" s="0" t="n">
        <v>0</v>
      </c>
      <c r="F104" s="0" t="n">
        <v>-0.0153769935828291</v>
      </c>
      <c r="G104" s="0" t="n">
        <v>-0.0263653327125905</v>
      </c>
      <c r="H104" s="0" t="n">
        <v>0.0034692110058491</v>
      </c>
      <c r="I104" s="0" t="n">
        <v>-0.0013957055908502</v>
      </c>
      <c r="J104" s="0" t="n">
        <v>-0.0028129387354847</v>
      </c>
      <c r="K104" s="0" t="n">
        <v>-0.0158733341377967</v>
      </c>
      <c r="L104" s="0" t="n">
        <v>0.0044215561244755</v>
      </c>
      <c r="M104" s="0" t="n">
        <v>-0.003334232948541</v>
      </c>
      <c r="N104" s="0" t="n">
        <v>-0.0049274753734311</v>
      </c>
      <c r="O104" s="0" t="n">
        <v>-0.0077053857077244</v>
      </c>
      <c r="P104" s="0" t="n">
        <v>-0.0210370404704889</v>
      </c>
      <c r="Q104" s="0" t="n">
        <v>0</v>
      </c>
      <c r="R104" s="0" t="n">
        <v>-0.0401970723557365</v>
      </c>
      <c r="S104" s="0" t="n">
        <v>-0.0206760799263867</v>
      </c>
      <c r="T104" s="0" t="n">
        <v>-0.0032725460165385</v>
      </c>
      <c r="U104" s="0" t="n">
        <v>-0.0151342416845769</v>
      </c>
      <c r="V104" s="0" t="n">
        <v>-0.0075729541811804</v>
      </c>
      <c r="W104" s="0" t="n">
        <v>-0.0044353770931468</v>
      </c>
      <c r="X104" s="0" t="n">
        <v>0.0006727365901761</v>
      </c>
    </row>
    <row r="105">
      <c r="A105" s="0" t="inlineStr">
        <is>
          <t>2018-05-31</t>
        </is>
      </c>
      <c r="B105" s="0" t="n">
        <v>0.0045188201024561</v>
      </c>
      <c r="C105" s="0" t="n">
        <v>0.0014194520497725</v>
      </c>
      <c r="D105" s="0" t="n">
        <v>-0.0022367711025532</v>
      </c>
      <c r="E105" s="0" t="n">
        <v>0.0137577273856233</v>
      </c>
      <c r="F105" s="0" t="n">
        <v>0.0123204398864564</v>
      </c>
      <c r="G105" s="0" t="n">
        <v>0.0036923181471646</v>
      </c>
      <c r="H105" s="0" t="n">
        <v>0.0094787965339904</v>
      </c>
      <c r="I105" s="0" t="n">
        <v>-0.0169017949100491</v>
      </c>
      <c r="J105" s="0" t="n">
        <v>-0.0042342664265044</v>
      </c>
      <c r="K105" s="0" t="n">
        <v>-0.0014410096797448</v>
      </c>
      <c r="L105" s="0" t="n">
        <v>0.0311280542904168</v>
      </c>
      <c r="M105" s="0" t="n">
        <v>0.008866771681636101</v>
      </c>
      <c r="N105" s="0" t="n">
        <v>-0.0266978901660364</v>
      </c>
      <c r="O105" s="0" t="n">
        <v>0.0046303994989784</v>
      </c>
      <c r="P105" s="0" t="n">
        <v>-0.023905536598749</v>
      </c>
      <c r="Q105" s="0" t="n">
        <v>0.0018992886707389</v>
      </c>
      <c r="R105" s="0" t="n">
        <v>0.0106701202202081</v>
      </c>
      <c r="S105" s="0" t="n">
        <v>0.0288283128377027</v>
      </c>
      <c r="T105" s="0" t="n">
        <v>0.0219992842094116</v>
      </c>
      <c r="U105" s="0" t="n">
        <v>-0.0003588813468171</v>
      </c>
      <c r="V105" s="0" t="n">
        <v>0.0096455052531667</v>
      </c>
      <c r="W105" s="0" t="n">
        <v>0.0128819769295511</v>
      </c>
      <c r="X105" s="0" t="n">
        <v>0.0212915362071757</v>
      </c>
    </row>
    <row r="106">
      <c r="A106" s="0" t="inlineStr">
        <is>
          <t>2018-06-01</t>
        </is>
      </c>
      <c r="B106" s="0" t="n">
        <v>0.0076494030680542</v>
      </c>
      <c r="C106" s="0" t="n">
        <v>-0.0280493033481366</v>
      </c>
      <c r="D106" s="0" t="n">
        <v>0.0025894697034605</v>
      </c>
      <c r="E106" s="0" t="n">
        <v>0.0025586140367859</v>
      </c>
      <c r="F106" s="0" t="n">
        <v>0</v>
      </c>
      <c r="G106" s="0" t="n">
        <v>0.0134230172079008</v>
      </c>
      <c r="H106" s="0" t="n">
        <v>0.0262393132290119</v>
      </c>
      <c r="I106" s="0" t="n">
        <v>-0.0164700851350048</v>
      </c>
      <c r="J106" s="0" t="n">
        <v>0.0042342664265044</v>
      </c>
      <c r="K106" s="0" t="n">
        <v>0.0109952134163378</v>
      </c>
      <c r="L106" s="0" t="n">
        <v>0.0021360411455662</v>
      </c>
      <c r="M106" s="0" t="n">
        <v>0.0055020980851065</v>
      </c>
      <c r="N106" s="0" t="n">
        <v>-0.0056529480011975</v>
      </c>
      <c r="O106" s="0" t="n">
        <v>-0.0018496112641468</v>
      </c>
      <c r="P106" s="0" t="n">
        <v>-0.0220147094568088</v>
      </c>
      <c r="Q106" s="0" t="n">
        <v>0.0131953226126009</v>
      </c>
      <c r="R106" s="0" t="n">
        <v>0.0004681092341929</v>
      </c>
      <c r="S106" s="0" t="n">
        <v>-0.0036150027299539</v>
      </c>
      <c r="T106" s="0" t="n">
        <v>-0.0018339760944718</v>
      </c>
      <c r="U106" s="0" t="n">
        <v>0.0053696071839821</v>
      </c>
      <c r="V106" s="0" t="n">
        <v>-0.0321312834578444</v>
      </c>
      <c r="W106" s="0" t="n">
        <v>0.0025566705628596</v>
      </c>
      <c r="X106" s="0" t="n">
        <v>0.0052528602253696</v>
      </c>
    </row>
    <row r="107">
      <c r="A107" s="0" t="inlineStr">
        <is>
          <t>2018-06-04</t>
        </is>
      </c>
      <c r="B107" s="0" t="n">
        <v>0.0046035073597607</v>
      </c>
      <c r="C107" s="0" t="n">
        <v>0.0065430874229654</v>
      </c>
      <c r="D107" s="0" t="n">
        <v>-0.002943082951921</v>
      </c>
      <c r="E107" s="0" t="n">
        <v>0.0076368766370502</v>
      </c>
      <c r="F107" s="0" t="n">
        <v>-0.009569409221161699</v>
      </c>
      <c r="G107" s="0" t="n">
        <v>0.0064438341338219</v>
      </c>
      <c r="H107" s="0" t="n">
        <v>-0.0452875518473878</v>
      </c>
      <c r="I107" s="0" t="n">
        <v>0.0129126149053799</v>
      </c>
      <c r="J107" s="0" t="n">
        <v>-0.0056497272149671</v>
      </c>
      <c r="K107" s="0" t="n">
        <v>0.0599718304441267</v>
      </c>
      <c r="L107" s="0" t="n">
        <v>0.0070871612623588</v>
      </c>
      <c r="M107" s="0" t="n">
        <v>-0.0002744446803952</v>
      </c>
      <c r="N107" s="0" t="n">
        <v>-0.0119761389376358</v>
      </c>
      <c r="O107" s="0" t="n">
        <v>0.0082962668847001</v>
      </c>
      <c r="P107" s="0" t="n">
        <v>0.0016474059993774</v>
      </c>
      <c r="Q107" s="0" t="n">
        <v>-0.0323529782692273</v>
      </c>
      <c r="R107" s="0" t="n">
        <v>-0.0120851606807104</v>
      </c>
      <c r="S107" s="0" t="n">
        <v>-0.0027198323566728</v>
      </c>
      <c r="T107" s="0" t="n">
        <v>0.0020629540357059</v>
      </c>
      <c r="U107" s="0" t="n">
        <v>0.0055185074090786</v>
      </c>
      <c r="V107" s="0" t="n">
        <v>0.009093560020173299</v>
      </c>
      <c r="W107" s="0" t="n">
        <v>-0.0060368211418828</v>
      </c>
      <c r="X107" s="0" t="n">
        <v>0.0006546170541517</v>
      </c>
    </row>
    <row r="108">
      <c r="A108" s="0" t="inlineStr">
        <is>
          <t>2018-06-05</t>
        </is>
      </c>
      <c r="B108" s="0" t="n">
        <v>0.0070040142972498</v>
      </c>
      <c r="C108" s="0" t="n">
        <v>-0.0116619117160037</v>
      </c>
      <c r="D108" s="0" t="n">
        <v>0.0130016544280557</v>
      </c>
      <c r="E108" s="0" t="n">
        <v>0.0117648703369499</v>
      </c>
      <c r="F108" s="0" t="n">
        <v>0.0311046052245624</v>
      </c>
      <c r="G108" s="0" t="n">
        <v>-0.009276111746027301</v>
      </c>
      <c r="H108" s="0" t="n">
        <v>-0.0337809576352732</v>
      </c>
      <c r="I108" s="0" t="n">
        <v>0.0099291840051094</v>
      </c>
      <c r="J108" s="0" t="n">
        <v>0.0126673266437487</v>
      </c>
      <c r="K108" s="0" t="n">
        <v>0.1207636846935678</v>
      </c>
      <c r="L108" s="0" t="n">
        <v>0.0319693690043436</v>
      </c>
      <c r="M108" s="0" t="n">
        <v>-0.0016478322554625</v>
      </c>
      <c r="N108" s="0" t="n">
        <v>0.009137690383582199</v>
      </c>
      <c r="O108" s="0" t="n">
        <v>0.0211936709022411</v>
      </c>
      <c r="P108" s="0" t="n">
        <v>0.0041067977153339</v>
      </c>
      <c r="Q108" s="0" t="n">
        <v>-0.0195318518160361</v>
      </c>
      <c r="R108" s="0" t="n">
        <v>0.0272581310450297</v>
      </c>
      <c r="S108" s="0" t="n">
        <v>0.003624830491673</v>
      </c>
      <c r="T108" s="0" t="n">
        <v>0.0134199711319005</v>
      </c>
      <c r="U108" s="0" t="n">
        <v>-0.0003551217578987</v>
      </c>
      <c r="V108" s="0" t="n">
        <v>0.0190772675173387</v>
      </c>
      <c r="W108" s="0" t="n">
        <v>0.0196227555896473</v>
      </c>
      <c r="X108" s="0" t="n">
        <v>0.0200849265945675</v>
      </c>
    </row>
    <row r="109">
      <c r="A109" s="0" t="inlineStr">
        <is>
          <t>2018-06-06</t>
        </is>
      </c>
      <c r="B109" s="0" t="n">
        <v>0.0044816421415889</v>
      </c>
      <c r="C109" s="0" t="n">
        <v>0.0102115796098103</v>
      </c>
      <c r="D109" s="0" t="n">
        <v>-0.0005820738476245</v>
      </c>
      <c r="E109" s="0" t="n">
        <v>0.0049999659116259</v>
      </c>
      <c r="F109" s="0" t="n">
        <v>0.0016630383401281</v>
      </c>
      <c r="G109" s="0" t="n">
        <v>0.0120822749697304</v>
      </c>
      <c r="H109" s="0" t="n">
        <v>-0.0491066890485187</v>
      </c>
      <c r="I109" s="0" t="n">
        <v>-0.0028268542911962</v>
      </c>
      <c r="J109" s="0" t="n">
        <v>0.0041869891078443</v>
      </c>
      <c r="K109" s="0" t="n">
        <v>-0.0186921151611056</v>
      </c>
      <c r="L109" s="0" t="n">
        <v>-0.0548274852792762</v>
      </c>
      <c r="M109" s="0" t="n">
        <v>0.0030190939964165</v>
      </c>
      <c r="N109" s="0" t="n">
        <v>0.0017041007134612</v>
      </c>
      <c r="O109" s="0" t="n">
        <v>0.0127997071053407</v>
      </c>
      <c r="P109" s="0" t="n">
        <v>0.0218898450004365</v>
      </c>
      <c r="Q109" s="0" t="n">
        <v>-0.0443621661753472</v>
      </c>
      <c r="R109" s="0" t="n">
        <v>-0.0009224472397688</v>
      </c>
      <c r="S109" s="0" t="n">
        <v>0.0040623007702942</v>
      </c>
      <c r="T109" s="0" t="n">
        <v>-0.0138779794572752</v>
      </c>
      <c r="U109" s="0" t="n">
        <v>0.0067256404570636</v>
      </c>
      <c r="V109" s="0" t="n">
        <v>-0.0056850493328344</v>
      </c>
      <c r="W109" s="0" t="n">
        <v>0.0008991860287013</v>
      </c>
      <c r="X109" s="0" t="n">
        <v>-0.001926147139335</v>
      </c>
    </row>
    <row r="110">
      <c r="A110" s="0" t="inlineStr">
        <is>
          <t>2018-06-07</t>
        </is>
      </c>
      <c r="B110" s="0" t="n">
        <v>0.0053516338997745</v>
      </c>
      <c r="C110" s="0" t="n">
        <v>0.0108265276831542</v>
      </c>
      <c r="D110" s="0" t="n">
        <v>0.0023261766560667</v>
      </c>
      <c r="E110" s="0" t="n">
        <v>0.0058019763394399</v>
      </c>
      <c r="F110" s="0" t="n">
        <v>-0.0026622286338757</v>
      </c>
      <c r="G110" s="0" t="n">
        <v>0.0150976672642908</v>
      </c>
      <c r="H110" s="0" t="n">
        <v>0.048202121795972</v>
      </c>
      <c r="I110" s="0" t="n">
        <v>0.0021208726940118</v>
      </c>
      <c r="J110" s="0" t="n">
        <v>0.008321815632248399</v>
      </c>
      <c r="K110" s="0" t="n">
        <v>-0.0342734022092454</v>
      </c>
      <c r="L110" s="0" t="n">
        <v>-0.0065241371020796</v>
      </c>
      <c r="M110" s="0" t="n">
        <v>0.0049206357035682</v>
      </c>
      <c r="N110" s="0" t="n">
        <v>0.0017010936286663</v>
      </c>
      <c r="O110" s="0" t="n">
        <v>0.0005913795801029</v>
      </c>
      <c r="P110" s="0" t="n">
        <v>-0.0048231941846856</v>
      </c>
      <c r="Q110" s="0" t="n">
        <v>0.0482991752544017</v>
      </c>
      <c r="R110" s="0" t="n">
        <v>0.0154143024728696</v>
      </c>
      <c r="S110" s="0" t="n">
        <v>-0.0204785657101824</v>
      </c>
      <c r="T110" s="0" t="n">
        <v>-0.0039022655178793</v>
      </c>
      <c r="U110" s="0" t="n">
        <v>0.0178326487469595</v>
      </c>
      <c r="V110" s="0" t="n">
        <v>0.0102099756612017</v>
      </c>
      <c r="W110" s="0" t="n">
        <v>0.000898378219504</v>
      </c>
      <c r="X110" s="0" t="n">
        <v>0.0083199942828287</v>
      </c>
    </row>
    <row r="111">
      <c r="A111" s="0" t="inlineStr">
        <is>
          <t>2018-06-08</t>
        </is>
      </c>
      <c r="B111" s="0" t="n">
        <v>0.0030063048029624</v>
      </c>
      <c r="C111" s="0" t="n">
        <v>0.0035829271649059</v>
      </c>
      <c r="D111" s="0" t="n">
        <v>-0.0025590477799228</v>
      </c>
      <c r="E111" s="0" t="n">
        <v>-0.0058019763394399</v>
      </c>
      <c r="F111" s="0" t="n">
        <v>0.0016646994793125</v>
      </c>
      <c r="G111" s="0" t="n">
        <v>0.00707273281468</v>
      </c>
      <c r="H111" s="0" t="n">
        <v>-0.0228843375856149</v>
      </c>
      <c r="I111" s="0" t="n">
        <v>0.004228365663899</v>
      </c>
      <c r="J111" s="0" t="n">
        <v>-0.0027662509387049</v>
      </c>
      <c r="K111" s="0" t="n">
        <v>-0.050632877963904</v>
      </c>
      <c r="L111" s="0" t="n">
        <v>-0.0043732154635525</v>
      </c>
      <c r="M111" s="0" t="n">
        <v>-0.0101412118967285</v>
      </c>
      <c r="N111" s="0" t="n">
        <v>0.0112677678302111</v>
      </c>
      <c r="O111" s="0" t="n">
        <v>0.0102926496981434</v>
      </c>
      <c r="P111" s="0" t="n">
        <v>0.0293788411341591</v>
      </c>
      <c r="Q111" s="0" t="n">
        <v>-0.0019666139685081</v>
      </c>
      <c r="R111" s="0" t="n">
        <v>0.013687566535359</v>
      </c>
      <c r="S111" s="0" t="n">
        <v>-0.01762564893207</v>
      </c>
      <c r="T111" s="0" t="n">
        <v>0.004818159805862</v>
      </c>
      <c r="U111" s="0" t="n">
        <v>0.009313639587211301</v>
      </c>
      <c r="V111" s="0" t="n">
        <v>-0.0007527459141059</v>
      </c>
      <c r="W111" s="0" t="n">
        <v>-0.0030578670421785</v>
      </c>
      <c r="X111" s="0" t="n">
        <v>-0.0083199942828287</v>
      </c>
    </row>
    <row r="112">
      <c r="A112" s="0" t="inlineStr">
        <is>
          <t>2018-06-11</t>
        </is>
      </c>
      <c r="B112" s="0" t="n">
        <v>0.0019764415304086</v>
      </c>
      <c r="C112" s="0" t="n">
        <v>0</v>
      </c>
      <c r="D112" s="0" t="n">
        <v>-0.00431868485503</v>
      </c>
      <c r="E112" s="0" t="n">
        <v>0.0066280214249703</v>
      </c>
      <c r="F112" s="0" t="n">
        <v>-0.0053368989199849</v>
      </c>
      <c r="G112" s="0" t="n">
        <v>0.0058559454591375</v>
      </c>
      <c r="H112" s="0" t="n">
        <v>-0.0009263540008319</v>
      </c>
      <c r="I112" s="0" t="n">
        <v>0.0028089878832777</v>
      </c>
      <c r="J112" s="0" t="n">
        <v>0.0069013650764335</v>
      </c>
      <c r="K112" s="0" t="n">
        <v>0.0023446368132005</v>
      </c>
      <c r="L112" s="0" t="n">
        <v>0.0195304914177896</v>
      </c>
      <c r="M112" s="0" t="n">
        <v>0</v>
      </c>
      <c r="N112" s="0" t="n">
        <v>0.0055866278413767</v>
      </c>
      <c r="O112" s="0" t="n">
        <v>0.0049612876309117</v>
      </c>
      <c r="P112" s="0" t="n">
        <v>0.0101207649840788</v>
      </c>
      <c r="Q112" s="0" t="n">
        <v>-0.0059229655153496</v>
      </c>
      <c r="R112" s="0" t="n">
        <v>-0.008852994473945001</v>
      </c>
      <c r="S112" s="0" t="n">
        <v>0.0111680901601123</v>
      </c>
      <c r="T112" s="0" t="n">
        <v>0.005705824171958</v>
      </c>
      <c r="U112" s="0" t="n">
        <v>-0.0063721722285672</v>
      </c>
      <c r="V112" s="0" t="n">
        <v>0.0001882755060709</v>
      </c>
      <c r="W112" s="0" t="n">
        <v>-0.0023446174350354</v>
      </c>
      <c r="X112" s="0" t="n">
        <v>0.001926147139335</v>
      </c>
    </row>
    <row r="113">
      <c r="A113" s="0" t="inlineStr">
        <is>
          <t>2018-06-12</t>
        </is>
      </c>
      <c r="B113" s="0" t="n">
        <v>-0.0035467536771394</v>
      </c>
      <c r="C113" s="0" t="n">
        <v>-0.0064585691600451</v>
      </c>
      <c r="D113" s="0" t="n">
        <v>0.0026867997958959</v>
      </c>
      <c r="E113" s="0" t="n">
        <v>-0.007459562024088</v>
      </c>
      <c r="F113" s="0" t="n">
        <v>-0.0020086871893605</v>
      </c>
      <c r="G113" s="0" t="n">
        <v>0.0123792563499902</v>
      </c>
      <c r="H113" s="0" t="n">
        <v>-0.0149395729475292</v>
      </c>
      <c r="I113" s="0" t="n">
        <v>-0.0049209694361151</v>
      </c>
      <c r="J113" s="0" t="n">
        <v>0.005486977012151</v>
      </c>
      <c r="K113" s="0" t="n">
        <v>0.0156843586621928</v>
      </c>
      <c r="L113" s="0" t="n">
        <v>-0.0035881051011203</v>
      </c>
      <c r="M113" s="0" t="n">
        <v>-0.0022062340954613</v>
      </c>
      <c r="N113" s="0" t="n">
        <v>-0.0231061182973002</v>
      </c>
      <c r="O113" s="0" t="n">
        <v>-0.06401455861151591</v>
      </c>
      <c r="P113" s="0" t="n">
        <v>-0.0085570072124618</v>
      </c>
      <c r="Q113" s="0" t="n">
        <v>-0.0099503686224473</v>
      </c>
      <c r="R113" s="0" t="n">
        <v>0.0305753285238949</v>
      </c>
      <c r="S113" s="0" t="n">
        <v>0.0178862545955809</v>
      </c>
      <c r="T113" s="0" t="n">
        <v>0.0015918069820086</v>
      </c>
      <c r="U113" s="0" t="n">
        <v>-0.0078051000271637</v>
      </c>
      <c r="V113" s="0" t="n">
        <v>0.0061919330186497</v>
      </c>
      <c r="W113" s="0" t="n">
        <v>-0.003980486871014</v>
      </c>
      <c r="X113" s="0" t="n">
        <v>-0.0025690419660837</v>
      </c>
    </row>
    <row r="114">
      <c r="A114" s="0" t="inlineStr">
        <is>
          <t>2018-06-13</t>
        </is>
      </c>
      <c r="B114" s="0" t="n">
        <v>-0.007888973469738001</v>
      </c>
      <c r="C114" s="0" t="n">
        <v>-0.0181624652978253</v>
      </c>
      <c r="D114" s="0" t="n">
        <v>0.0073226020758623</v>
      </c>
      <c r="E114" s="0" t="n">
        <v>-0.0108742276129549</v>
      </c>
      <c r="F114" s="0" t="n">
        <v>-0.0114595171033209</v>
      </c>
      <c r="G114" s="0" t="n">
        <v>0.0057504324958044</v>
      </c>
      <c r="H114" s="0" t="n">
        <v>-0.0511447898917658</v>
      </c>
      <c r="I114" s="0" t="n">
        <v>0.009119678620687299</v>
      </c>
      <c r="J114" s="0" t="n">
        <v>0.0095303881852895</v>
      </c>
      <c r="K114" s="0" t="n">
        <v>-0.014514028821106</v>
      </c>
      <c r="L114" s="0" t="n">
        <v>-0.0181361519934695</v>
      </c>
      <c r="M114" s="0" t="n">
        <v>-0.0016579548535498</v>
      </c>
      <c r="N114" s="0" t="n">
        <v>0.0264431327558845</v>
      </c>
      <c r="O114" s="0" t="n">
        <v>0.0092678831206529</v>
      </c>
      <c r="P114" s="0" t="n">
        <v>-0.0078432073806804</v>
      </c>
      <c r="Q114" s="0" t="n">
        <v>0.0019980483476693</v>
      </c>
      <c r="R114" s="0" t="n">
        <v>0.0103250979275388</v>
      </c>
      <c r="S114" s="0" t="n">
        <v>-0.0109690208521073</v>
      </c>
      <c r="T114" s="0" t="n">
        <v>0.0153328895313968</v>
      </c>
      <c r="U114" s="0" t="n">
        <v>-0.0127925960006507</v>
      </c>
      <c r="V114" s="0" t="n">
        <v>0.0031749393259015</v>
      </c>
      <c r="W114" s="0" t="n">
        <v>-0.0076433158837625</v>
      </c>
      <c r="X114" s="0" t="n">
        <v>-0.0083952778082405</v>
      </c>
    </row>
    <row r="115">
      <c r="A115" s="0" t="inlineStr">
        <is>
          <t>2018-06-14</t>
        </is>
      </c>
      <c r="B115" s="0" t="n">
        <v>0.001307701372224</v>
      </c>
      <c r="C115" s="0" t="n">
        <v>-0.0252426392752203</v>
      </c>
      <c r="D115" s="0" t="n">
        <v>0.0061190376502855</v>
      </c>
      <c r="E115" s="0" t="n">
        <v>-0.0008414160100334</v>
      </c>
      <c r="F115" s="0" t="n">
        <v>-0.0074855508016558</v>
      </c>
      <c r="G115" s="0" t="n">
        <v>-0.0107610835513032</v>
      </c>
      <c r="H115" s="0" t="n">
        <v>0.0225169080269971</v>
      </c>
      <c r="I115" s="0" t="n">
        <v>-0.0247449478380255</v>
      </c>
      <c r="J115" s="0" t="n">
        <v>0.0267395354698356</v>
      </c>
      <c r="K115" s="0" t="n">
        <v>0.0029197072579048</v>
      </c>
      <c r="L115" s="0" t="n">
        <v>-0.0365303214240277</v>
      </c>
      <c r="M115" s="0" t="n">
        <v>0.0055157547914466</v>
      </c>
      <c r="N115" s="0" t="n">
        <v>0.0005551056868191</v>
      </c>
      <c r="O115" s="0" t="n">
        <v>0.0191874639054168</v>
      </c>
      <c r="P115" s="0" t="n">
        <v>-0.0442728400561804</v>
      </c>
      <c r="Q115" s="0" t="n">
        <v>-0.0060060659151908</v>
      </c>
      <c r="R115" s="0" t="n">
        <v>0.0139359140313315</v>
      </c>
      <c r="S115" s="0" t="n">
        <v>0.0068697141368629</v>
      </c>
      <c r="T115" s="0" t="n">
        <v>-0.009894360762152599</v>
      </c>
      <c r="U115" s="0" t="n">
        <v>0.0190415419825722</v>
      </c>
      <c r="V115" s="0" t="n">
        <v>0.0215815471205078</v>
      </c>
      <c r="W115" s="0" t="n">
        <v>0.0043747401360354</v>
      </c>
      <c r="X115" s="0" t="n">
        <v>-0.0058536851759609</v>
      </c>
    </row>
    <row r="116">
      <c r="A116" s="0" t="inlineStr">
        <is>
          <t>2018-06-15</t>
        </is>
      </c>
      <c r="B116" s="0" t="n">
        <v>-0.0062787226479255</v>
      </c>
      <c r="C116" s="0" t="n">
        <v>-0.0075472344476898</v>
      </c>
      <c r="D116" s="0" t="n">
        <v>-0.008902268775992501</v>
      </c>
      <c r="E116" s="0" t="n">
        <v>0.009216626382455999</v>
      </c>
      <c r="F116" s="0" t="n">
        <v>0.0040899488253565</v>
      </c>
      <c r="G116" s="0" t="n">
        <v>0.0050106510554988</v>
      </c>
      <c r="H116" s="0" t="n">
        <v>-0.0225169080269971</v>
      </c>
      <c r="I116" s="0" t="n">
        <v>0.0028591843026326</v>
      </c>
      <c r="J116" s="0" t="n">
        <v>0.007884396113605601</v>
      </c>
      <c r="K116" s="0" t="n">
        <v>0.008708319454179899</v>
      </c>
      <c r="L116" s="0" t="n">
        <v>0</v>
      </c>
      <c r="M116" s="0" t="n">
        <v>-0.0055157547914466</v>
      </c>
      <c r="N116" s="0" t="n">
        <v>0.0060857008937147</v>
      </c>
      <c r="O116" s="0" t="n">
        <v>-0.0293869600127227</v>
      </c>
      <c r="P116" s="0" t="n">
        <v>0.0219789442582909</v>
      </c>
      <c r="Q116" s="0" t="n">
        <v>0.0020059690287439</v>
      </c>
      <c r="R116" s="0" t="n">
        <v>-0.0341032624096673</v>
      </c>
      <c r="S116" s="0" t="n">
        <v>-0.0064102503693455</v>
      </c>
      <c r="T116" s="0" t="n">
        <v>-0.0009043843243898</v>
      </c>
      <c r="U116" s="0" t="n">
        <v>-0.020806807921855</v>
      </c>
      <c r="V116" s="0" t="n">
        <v>-0.0212086825136514</v>
      </c>
      <c r="W116" s="0" t="n">
        <v>0.0018172326929066</v>
      </c>
      <c r="X116" s="0" t="n">
        <v>0</v>
      </c>
    </row>
    <row r="117">
      <c r="A117" s="0" t="inlineStr">
        <is>
          <t>2018-06-18</t>
        </is>
      </c>
      <c r="B117" s="0" t="n">
        <v>-0.0040224886190376</v>
      </c>
      <c r="C117" s="0" t="n">
        <v>-0.0191210005415478</v>
      </c>
      <c r="D117" s="0" t="n">
        <v>0.0082114505602888</v>
      </c>
      <c r="E117" s="0" t="n">
        <v>-0.008375210372422601</v>
      </c>
      <c r="F117" s="0" t="n">
        <v>-0.0047732579551511</v>
      </c>
      <c r="G117" s="0" t="n">
        <v>-0.0007692484134591</v>
      </c>
      <c r="H117" s="0" t="n">
        <v>0.0407428146974013</v>
      </c>
      <c r="I117" s="0" t="n">
        <v>-0.0209167349254686</v>
      </c>
      <c r="J117" s="0" t="n">
        <v>-0.0225026146447899</v>
      </c>
      <c r="K117" s="0" t="n">
        <v>0.0396652188763413</v>
      </c>
      <c r="L117" s="0" t="n">
        <v>-0.0153025026316586</v>
      </c>
      <c r="M117" s="0" t="n">
        <v>0.0016579548535498</v>
      </c>
      <c r="N117" s="0" t="n">
        <v>0.0169542686133614</v>
      </c>
      <c r="O117" s="0" t="n">
        <v>0.0061939116907332</v>
      </c>
      <c r="P117" s="0" t="n">
        <v>-0.016234107052929</v>
      </c>
      <c r="Q117" s="0" t="n">
        <v>0.0020020485387775</v>
      </c>
      <c r="R117" s="0" t="n">
        <v>0.0437583187993837</v>
      </c>
      <c r="S117" s="0" t="n">
        <v>-0.0208873112901435</v>
      </c>
      <c r="T117" s="0" t="n">
        <v>-0.008860659926531501</v>
      </c>
      <c r="U117" s="0" t="n">
        <v>0.0033513117604728</v>
      </c>
      <c r="V117" s="0" t="n">
        <v>-0.0001864504832527</v>
      </c>
      <c r="W117" s="0" t="n">
        <v>0</v>
      </c>
      <c r="X117" s="0" t="n">
        <v>0.0026058621978224</v>
      </c>
    </row>
    <row r="118">
      <c r="A118" s="0" t="inlineStr">
        <is>
          <t>2018-06-19</t>
        </is>
      </c>
      <c r="B118" s="0" t="n">
        <v>-0.0088646727088912</v>
      </c>
      <c r="C118" s="0" t="n">
        <v>-0.0054201265756947</v>
      </c>
      <c r="D118" s="0" t="n">
        <v>-0.0062391989836108</v>
      </c>
      <c r="E118" s="0" t="n">
        <v>-0.0016835405972188</v>
      </c>
      <c r="F118" s="0" t="n">
        <v>-0.0006837763604421</v>
      </c>
      <c r="G118" s="0" t="n">
        <v>0.0072839322917186</v>
      </c>
      <c r="H118" s="0" t="n">
        <v>0.0066319460119395</v>
      </c>
      <c r="I118" s="0" t="n">
        <v>-0.0087848209692293</v>
      </c>
      <c r="J118" s="0" t="n">
        <v>0.0053405251950531</v>
      </c>
      <c r="K118" s="0" t="n">
        <v>0.0421544967219289</v>
      </c>
      <c r="L118" s="0" t="n">
        <v>0.001540794146118</v>
      </c>
      <c r="M118" s="0" t="n">
        <v>0.0066042579823299</v>
      </c>
      <c r="N118" s="0" t="n">
        <v>0.0070251118404507</v>
      </c>
      <c r="O118" s="0" t="n">
        <v>-0.0121138115396841</v>
      </c>
      <c r="P118" s="0" t="n">
        <v>0.0170389544789371</v>
      </c>
      <c r="Q118" s="0" t="n">
        <v>-0.0222456362508791</v>
      </c>
      <c r="R118" s="0" t="n">
        <v>0.0116599180021648</v>
      </c>
      <c r="S118" s="0" t="n">
        <v>0.0199681725511102</v>
      </c>
      <c r="T118" s="0" t="n">
        <v>-0.0018272735806696</v>
      </c>
      <c r="U118" s="0" t="n">
        <v>-0.0007046136491064</v>
      </c>
      <c r="V118" s="0" t="n">
        <v>0.0113079453857558</v>
      </c>
      <c r="W118" s="0" t="n">
        <v>-0.0109530536651627</v>
      </c>
      <c r="X118" s="0" t="n">
        <v>0.0051914408936846</v>
      </c>
    </row>
    <row r="119">
      <c r="A119" s="0" t="inlineStr">
        <is>
          <t>2018-06-20</t>
        </is>
      </c>
      <c r="B119" s="0" t="n">
        <v>-0.0097225287428992</v>
      </c>
      <c r="C119" s="0" t="n">
        <v>-0.009360401239756099</v>
      </c>
      <c r="D119" s="0" t="n">
        <v>-0.0024368922570836</v>
      </c>
      <c r="E119" s="0" t="n">
        <v>-0.0135710181131205</v>
      </c>
      <c r="F119" s="0" t="n">
        <v>0.0017085650430948</v>
      </c>
      <c r="G119" s="0" t="n">
        <v>0.0929460849193164</v>
      </c>
      <c r="H119" s="0" t="n">
        <v>-0.0181043361911619</v>
      </c>
      <c r="I119" s="0" t="n">
        <v>-0.0110907289244335</v>
      </c>
      <c r="J119" s="0" t="n">
        <v>-0.0477255365915887</v>
      </c>
      <c r="K119" s="0" t="n">
        <v>0.0468225516349143</v>
      </c>
      <c r="L119" s="0" t="n">
        <v>-0.0320715678550662</v>
      </c>
      <c r="M119" s="0" t="n">
        <v>-0.0043980238868686</v>
      </c>
      <c r="N119" s="0" t="n">
        <v>-0.0064829470925409</v>
      </c>
      <c r="O119" s="0" t="n">
        <v>-0.0125787701350335</v>
      </c>
      <c r="P119" s="0" t="n">
        <v>-0.0194970210040179</v>
      </c>
      <c r="Q119" s="0" t="n">
        <v>-0.0144183125063193</v>
      </c>
      <c r="R119" s="0" t="n">
        <v>-0.0072890236085143</v>
      </c>
      <c r="S119" s="0" t="n">
        <v>-0.0237275719369356</v>
      </c>
      <c r="T119" s="0" t="n">
        <v>-0.0133489167678142</v>
      </c>
      <c r="U119" s="0" t="n">
        <v>-0.0010578522498727</v>
      </c>
      <c r="V119" s="0" t="n">
        <v>-0.0057307001685891</v>
      </c>
      <c r="W119" s="0" t="n">
        <v>-0.0020211419263156</v>
      </c>
      <c r="X119" s="0" t="n">
        <v>0.0103027215351141</v>
      </c>
    </row>
    <row r="120">
      <c r="A120" s="0" t="inlineStr">
        <is>
          <t>2018-06-21</t>
        </is>
      </c>
      <c r="B120" s="0" t="n">
        <v>0.0002123581887882</v>
      </c>
      <c r="C120" s="0" t="n">
        <v>0.0224728264877915</v>
      </c>
      <c r="D120" s="0" t="n">
        <v>-0.0017443056663166</v>
      </c>
      <c r="E120" s="0" t="n">
        <v>-0.0051370335997402</v>
      </c>
      <c r="F120" s="0" t="n">
        <v>-0.0102952570586118</v>
      </c>
      <c r="G120" s="0" t="n">
        <v>0.0328684497055635</v>
      </c>
      <c r="H120" s="0" t="n">
        <v>0.0019212283298242</v>
      </c>
      <c r="I120" s="0" t="n">
        <v>0.0198755498936629</v>
      </c>
      <c r="J120" s="0" t="n">
        <v>-0.0027972020093998</v>
      </c>
      <c r="K120" s="0" t="n">
        <v>-0.044162978213103</v>
      </c>
      <c r="L120" s="0" t="n">
        <v>0.0181179034580125</v>
      </c>
      <c r="M120" s="0" t="n">
        <v>0.0057684294415589</v>
      </c>
      <c r="N120" s="0" t="n">
        <v>0.009171905082264</v>
      </c>
      <c r="O120" s="0" t="n">
        <v>0.0028440578906958</v>
      </c>
      <c r="P120" s="0" t="n">
        <v>0.0464827968210972</v>
      </c>
      <c r="Q120" s="0" t="n">
        <v>-0.0020768914553774</v>
      </c>
      <c r="R120" s="0" t="n">
        <v>0.015356974395698</v>
      </c>
      <c r="S120" s="0" t="n">
        <v>0.0032902354514066</v>
      </c>
      <c r="T120" s="0" t="n">
        <v>0.0009263760561668</v>
      </c>
      <c r="U120" s="0" t="n">
        <v>0.0058042874010109</v>
      </c>
      <c r="V120" s="0" t="n">
        <v>0.0220031022745454</v>
      </c>
      <c r="W120" s="0" t="n">
        <v>-0.0079402192605444</v>
      </c>
      <c r="X120" s="0" t="n">
        <v>-0.0167962136489161</v>
      </c>
    </row>
    <row r="121">
      <c r="A121" s="0" t="inlineStr">
        <is>
          <t>2018-06-22</t>
        </is>
      </c>
      <c r="B121" s="0" t="n">
        <v>-0.0177817772218782</v>
      </c>
      <c r="C121" s="0" t="n">
        <v>-0.0232568746821835</v>
      </c>
      <c r="D121" s="0" t="n">
        <v>-0.001747353585852</v>
      </c>
      <c r="E121" s="0" t="n">
        <v>-0.0129591118983221</v>
      </c>
      <c r="F121" s="0" t="n">
        <v>-0.0177488645677521</v>
      </c>
      <c r="G121" s="0" t="n">
        <v>-0.0121994263753286</v>
      </c>
      <c r="H121" s="0" t="n">
        <v>0.0047869839679401</v>
      </c>
      <c r="I121" s="0" t="n">
        <v>-0.0191323147097994</v>
      </c>
      <c r="J121" s="0" t="n">
        <v>-0.0112677142517265</v>
      </c>
      <c r="K121" s="0" t="n">
        <v>-0.0323915288870104</v>
      </c>
      <c r="L121" s="0" t="n">
        <v>-0.021302616502854</v>
      </c>
      <c r="M121" s="0" t="n">
        <v>-0.0035669472448152</v>
      </c>
      <c r="N121" s="0" t="n">
        <v>0.0085561934221787</v>
      </c>
      <c r="O121" s="0" t="n">
        <v>0.0006308691229857</v>
      </c>
      <c r="P121" s="0" t="n">
        <v>-0.0310164293907839</v>
      </c>
      <c r="Q121" s="0" t="n">
        <v>0.0062176800334392</v>
      </c>
      <c r="R121" s="0" t="n">
        <v>-0.0104450500033683</v>
      </c>
      <c r="S121" s="0" t="n">
        <v>-0.0544843910010159</v>
      </c>
      <c r="T121" s="0" t="n">
        <v>-0.0212898397775127</v>
      </c>
      <c r="U121" s="0" t="n">
        <v>0.000876487688572</v>
      </c>
      <c r="V121" s="0" t="n">
        <v>-0.0085603151124784</v>
      </c>
      <c r="W121" s="0" t="n">
        <v>0.0003707221207971</v>
      </c>
      <c r="X121" s="0" t="n">
        <v>-0.009820083580769801</v>
      </c>
    </row>
    <row r="122">
      <c r="A122" s="0" t="inlineStr">
        <is>
          <t>2018-06-25</t>
        </is>
      </c>
      <c r="B122" s="0" t="n">
        <v>0.0020873693116776</v>
      </c>
      <c r="C122" s="0" t="n">
        <v>0.07478003998742409</v>
      </c>
      <c r="D122" s="0" t="n">
        <v>-0.0077247112033491</v>
      </c>
      <c r="E122" s="0" t="n">
        <v>0.00173765963497</v>
      </c>
      <c r="F122" s="0" t="n">
        <v>0.0021045736568208</v>
      </c>
      <c r="G122" s="0" t="n">
        <v>-0.0113150504016599</v>
      </c>
      <c r="H122" s="0" t="n">
        <v>-0.0124941437777044</v>
      </c>
      <c r="I122" s="0" t="n">
        <v>-0.0014870231771584</v>
      </c>
      <c r="J122" s="0" t="n">
        <v>-0.0200292627455551</v>
      </c>
      <c r="K122" s="0" t="n">
        <v>-0.0306430365990533</v>
      </c>
      <c r="L122" s="0" t="n">
        <v>0.0181751737284985</v>
      </c>
      <c r="M122" s="0" t="n">
        <v>0</v>
      </c>
      <c r="N122" s="0" t="n">
        <v>-0.0015987579262901</v>
      </c>
      <c r="O122" s="0" t="n">
        <v>-0.0028422013558282</v>
      </c>
      <c r="P122" s="0" t="n">
        <v>0.0317991515546496</v>
      </c>
      <c r="Q122" s="0" t="n">
        <v>-0.0187701342084136</v>
      </c>
      <c r="R122" s="0" t="n">
        <v>-0.0229407224291042</v>
      </c>
      <c r="S122" s="0" t="n">
        <v>-0.0134699196359249</v>
      </c>
      <c r="T122" s="0" t="n">
        <v>0.0061291639557738</v>
      </c>
      <c r="U122" s="0" t="n">
        <v>-0.0171427938718391</v>
      </c>
      <c r="V122" s="0" t="n">
        <v>0.0043803990978616</v>
      </c>
      <c r="W122" s="0" t="n">
        <v>-0.009870622691403499</v>
      </c>
      <c r="X122" s="0" t="n">
        <v>-0.009917411435586601</v>
      </c>
    </row>
    <row r="123">
      <c r="A123" s="0" t="inlineStr">
        <is>
          <t>2018-06-26</t>
        </is>
      </c>
      <c r="B123" s="0" t="n">
        <v>-0.0115708994004686</v>
      </c>
      <c r="C123" s="0" t="n">
        <v>0.0158847997846716</v>
      </c>
      <c r="D123" s="0" t="n">
        <v>-0.0051832186317888</v>
      </c>
      <c r="E123" s="0" t="n">
        <v>-0.0087184840955796</v>
      </c>
      <c r="F123" s="0" t="n">
        <v>-0.0105672396072726</v>
      </c>
      <c r="G123" s="0" t="n">
        <v>0.0003447760365951</v>
      </c>
      <c r="H123" s="0" t="n">
        <v>-0.0394528813980368</v>
      </c>
      <c r="I123" s="0" t="n">
        <v>-0.0127294210332746</v>
      </c>
      <c r="J123" s="0" t="n">
        <v>-0.0397989116459847</v>
      </c>
      <c r="K123" s="0" t="n">
        <v>-0.0507723808751554</v>
      </c>
      <c r="L123" s="0" t="n">
        <v>-0.0245751894703882</v>
      </c>
      <c r="M123" s="0" t="n">
        <v>-0.0046839039562094</v>
      </c>
      <c r="N123" s="0" t="n">
        <v>-0.0053476267807361</v>
      </c>
      <c r="O123" s="0" t="n">
        <v>0.0009482782148828</v>
      </c>
      <c r="P123" s="0" t="n">
        <v>0.0413852141460324</v>
      </c>
      <c r="Q123" s="0" t="n">
        <v>-0.0255877252311467</v>
      </c>
      <c r="R123" s="0" t="n">
        <v>0.003432085338284</v>
      </c>
      <c r="S123" s="0" t="n">
        <v>0.0104922765307162</v>
      </c>
      <c r="T123" s="0" t="n">
        <v>-0.0051837392994635</v>
      </c>
      <c r="U123" s="0" t="n">
        <v>-0.001962651990607</v>
      </c>
      <c r="V123" s="0" t="n">
        <v>-0.008045364705767</v>
      </c>
      <c r="W123" s="0" t="n">
        <v>-0.0028113883603344</v>
      </c>
      <c r="X123" s="0" t="n">
        <v>-0.0113599667724297</v>
      </c>
    </row>
    <row r="124">
      <c r="A124" s="0" t="inlineStr">
        <is>
          <t>2018-06-27</t>
        </is>
      </c>
      <c r="B124" s="0" t="n">
        <v>0.0184496272392982</v>
      </c>
      <c r="C124" s="0" t="n">
        <v>-0.009355951863047199</v>
      </c>
      <c r="D124" s="0" t="n">
        <v>0.009638059021661099</v>
      </c>
      <c r="E124" s="0" t="n">
        <v>-0.0123349885114487</v>
      </c>
      <c r="F124" s="0" t="n">
        <v>0.0151118780362251</v>
      </c>
      <c r="G124" s="0" t="n">
        <v>-0.020195669625874</v>
      </c>
      <c r="H124" s="0" t="n">
        <v>0.0355769113142423</v>
      </c>
      <c r="I124" s="0" t="n">
        <v>0.0015059870145548</v>
      </c>
      <c r="J124" s="0" t="n">
        <v>0.0252426280169304</v>
      </c>
      <c r="K124" s="0" t="n">
        <v>0.0493569200866927</v>
      </c>
      <c r="L124" s="0" t="n">
        <v>0.0253579116342539</v>
      </c>
      <c r="M124" s="0" t="n">
        <v>0.004133987601901</v>
      </c>
      <c r="N124" s="0" t="n">
        <v>0.0026774390237576</v>
      </c>
      <c r="O124" s="0" t="n">
        <v>0.0169176661112482</v>
      </c>
      <c r="P124" s="0" t="n">
        <v>-0.0174180506225107</v>
      </c>
      <c r="Q124" s="0" t="n">
        <v>0.0128757018433089</v>
      </c>
      <c r="R124" s="0" t="n">
        <v>-0.06289349414488569</v>
      </c>
      <c r="S124" s="0" t="n">
        <v>0.07881850933078691</v>
      </c>
      <c r="T124" s="0" t="n">
        <v>0.0143076626795108</v>
      </c>
      <c r="U124" s="0" t="n">
        <v>0.0229529710622884</v>
      </c>
      <c r="V124" s="0" t="n">
        <v>0.0151227809257736</v>
      </c>
      <c r="W124" s="0" t="n">
        <v>0.0065476295901705</v>
      </c>
      <c r="X124" s="0" t="n">
        <v>0.00067183265732</v>
      </c>
    </row>
    <row r="125">
      <c r="A125" s="0" t="inlineStr">
        <is>
          <t>2018-06-28</t>
        </is>
      </c>
      <c r="B125" s="0" t="n">
        <v>-0.0024308037261331</v>
      </c>
      <c r="C125" s="0" t="n">
        <v>-0.0160353181585293</v>
      </c>
      <c r="D125" s="0" t="n">
        <v>-0.0018732710430642</v>
      </c>
      <c r="E125" s="0" t="n">
        <v>-0.018792503244422</v>
      </c>
      <c r="F125" s="0" t="n">
        <v>-0.0168839584854332</v>
      </c>
      <c r="G125" s="0" t="n">
        <v>0.0007032509919966</v>
      </c>
      <c r="H125" s="0" t="n">
        <v>0.0077369750093412</v>
      </c>
      <c r="I125" s="0" t="n">
        <v>0.0311136265018401</v>
      </c>
      <c r="J125" s="0" t="n">
        <v>-0.0073584129188306</v>
      </c>
      <c r="K125" s="0" t="n">
        <v>0.0014154607884626</v>
      </c>
      <c r="L125" s="0" t="n">
        <v>0.0031249996327451</v>
      </c>
      <c r="M125" s="0" t="n">
        <v>-0.0022026944954123</v>
      </c>
      <c r="N125" s="0" t="n">
        <v>-0.0032137881461791</v>
      </c>
      <c r="O125" s="0" t="n">
        <v>-0.0024882755391093</v>
      </c>
      <c r="P125" s="0" t="n">
        <v>-0.0030604431942364</v>
      </c>
      <c r="Q125" s="0" t="n">
        <v>-0.0128757018433089</v>
      </c>
      <c r="R125" s="0" t="n">
        <v>-0.0219789118735977</v>
      </c>
      <c r="S125" s="0" t="n">
        <v>-0.0152745351617213</v>
      </c>
      <c r="T125" s="0" t="n">
        <v>0.0020937580128466</v>
      </c>
      <c r="U125" s="0" t="n">
        <v>-0.0087658343904459</v>
      </c>
      <c r="V125" s="0" t="n">
        <v>0.0007230823841446</v>
      </c>
      <c r="W125" s="0" t="n">
        <v>0.0331926971996767</v>
      </c>
      <c r="X125" s="0" t="n">
        <v>-0.008769035073961901</v>
      </c>
    </row>
    <row r="126">
      <c r="A126" s="0" t="inlineStr">
        <is>
          <t>2018-06-29</t>
        </is>
      </c>
      <c r="B126" s="0" t="n">
        <v>0.0011446822219038</v>
      </c>
      <c r="C126" s="0" t="n">
        <v>-0.0177914200444218</v>
      </c>
      <c r="D126" s="0" t="n">
        <v>0.0061919558980942</v>
      </c>
      <c r="E126" s="0" t="n">
        <v>0.002706423532206</v>
      </c>
      <c r="F126" s="0" t="n">
        <v>0.0031875412376707</v>
      </c>
      <c r="G126" s="0" t="n">
        <v>-0.008117265296398999</v>
      </c>
      <c r="H126" s="0" t="n">
        <v>-0.0038610049255467</v>
      </c>
      <c r="I126" s="0" t="n">
        <v>-0.0117389349545589</v>
      </c>
      <c r="J126" s="0" t="n">
        <v>0.0073584129188306</v>
      </c>
      <c r="K126" s="0" t="n">
        <v>0.0278957847331073</v>
      </c>
      <c r="L126" s="0" t="n">
        <v>-0.0260781218755816</v>
      </c>
      <c r="M126" s="0" t="n">
        <v>0.0013773050335217</v>
      </c>
      <c r="N126" s="0" t="n">
        <v>-0.0059186991601114</v>
      </c>
      <c r="O126" s="0" t="n">
        <v>0.0031094078098399</v>
      </c>
      <c r="P126" s="0" t="n">
        <v>-0.0287621753078304</v>
      </c>
      <c r="Q126" s="0" t="n">
        <v>0.0043103472929866</v>
      </c>
      <c r="R126" s="0" t="n">
        <v>0.0126623019177465</v>
      </c>
      <c r="S126" s="0" t="n">
        <v>0.0013982187970582</v>
      </c>
      <c r="T126" s="0" t="n">
        <v>-0.0051257662462571</v>
      </c>
      <c r="U126" s="0" t="n">
        <v>-0.0163327256574286</v>
      </c>
      <c r="V126" s="0" t="n">
        <v>-0.0027142245476188</v>
      </c>
      <c r="W126" s="0" t="n">
        <v>0.015748376320297</v>
      </c>
      <c r="X126" s="0" t="n">
        <v>0.0047313163260467</v>
      </c>
    </row>
    <row r="127">
      <c r="A127" s="0" t="inlineStr">
        <is>
          <t>2018-07-02</t>
        </is>
      </c>
      <c r="B127" s="0" t="n">
        <v>-0.0020756066421592</v>
      </c>
      <c r="C127" s="0" t="n">
        <v>0</v>
      </c>
      <c r="D127" s="0" t="n">
        <v>0.0075419689806359</v>
      </c>
      <c r="E127" s="0" t="n">
        <v>-0.009959395095772801</v>
      </c>
      <c r="F127" s="0" t="n">
        <v>-0.0178385032651648</v>
      </c>
      <c r="G127" s="0" t="n">
        <v>0.0168662272560382</v>
      </c>
      <c r="H127" s="0" t="n">
        <v>0.0257770589012669</v>
      </c>
      <c r="I127" s="0" t="n">
        <v>0.0269400989850767</v>
      </c>
      <c r="J127" s="0" t="n">
        <v>-0.0103169921412218</v>
      </c>
      <c r="K127" s="0" t="n">
        <v>-0.0208485795711181</v>
      </c>
      <c r="L127" s="0" t="n">
        <v>0.0047923749635105</v>
      </c>
      <c r="M127" s="0" t="n">
        <v>0.0005502653683824</v>
      </c>
      <c r="N127" s="0" t="n">
        <v>0.0302972776716705</v>
      </c>
      <c r="O127" s="0" t="n">
        <v>0.0154038786416652</v>
      </c>
      <c r="P127" s="0" t="n">
        <v>0.0164258705093391</v>
      </c>
      <c r="Q127" s="0" t="n">
        <v>0.008565354550322301</v>
      </c>
      <c r="R127" s="0" t="n">
        <v>-0.0103339884459732</v>
      </c>
      <c r="S127" s="0" t="n">
        <v>-0.0211821926827284</v>
      </c>
      <c r="T127" s="0" t="n">
        <v>-0.0032756979476817</v>
      </c>
      <c r="U127" s="0" t="n">
        <v>0.0105048622566492</v>
      </c>
      <c r="V127" s="0" t="n">
        <v>0.0083003525723199</v>
      </c>
      <c r="W127" s="0" t="n">
        <v>-0.0135861638277798</v>
      </c>
      <c r="X127" s="0" t="n">
        <v>-0.0074450195639985</v>
      </c>
    </row>
    <row r="128">
      <c r="A128" s="0" t="inlineStr">
        <is>
          <t>2018-07-03</t>
        </is>
      </c>
      <c r="B128" s="0" t="n">
        <v>0.0132385232479457</v>
      </c>
      <c r="C128" s="0" t="n">
        <v>0.004477636489367</v>
      </c>
      <c r="D128" s="0" t="n">
        <v>0.000577748007652</v>
      </c>
      <c r="E128" s="0" t="n">
        <v>0.0054446976356778</v>
      </c>
      <c r="F128" s="0" t="n">
        <v>0.0050269185833045</v>
      </c>
      <c r="G128" s="0" t="n">
        <v>-0.003490418184922</v>
      </c>
      <c r="H128" s="0" t="n">
        <v>0.0047014616850382</v>
      </c>
      <c r="I128" s="0" t="n">
        <v>0.0128481640515523</v>
      </c>
      <c r="J128" s="0" t="n">
        <v>0.0219789205401419</v>
      </c>
      <c r="K128" s="0" t="n">
        <v>0.0001404294001201</v>
      </c>
      <c r="L128" s="0" t="n">
        <v>0.0103052923007807</v>
      </c>
      <c r="M128" s="0" t="n">
        <v>0.0142040212741716</v>
      </c>
      <c r="N128" s="0" t="n">
        <v>0.0145532081337012</v>
      </c>
      <c r="O128" s="0" t="n">
        <v>-0.003368571994514</v>
      </c>
      <c r="P128" s="0" t="n">
        <v>-0.0132762646811026</v>
      </c>
      <c r="Q128" s="0" t="n">
        <v>0.0063761604878294</v>
      </c>
      <c r="R128" s="0" t="n">
        <v>0.009105647520325199</v>
      </c>
      <c r="S128" s="0" t="n">
        <v>0.0151088657975955</v>
      </c>
      <c r="T128" s="0" t="n">
        <v>-0.0025811769873516</v>
      </c>
      <c r="U128" s="0" t="n">
        <v>0.0205108773727493</v>
      </c>
      <c r="V128" s="0" t="n">
        <v>0.0053763432532667</v>
      </c>
      <c r="W128" s="0" t="n">
        <v>-0.0057761836773231</v>
      </c>
      <c r="X128" s="0" t="n">
        <v>0.0020359513445549</v>
      </c>
    </row>
    <row r="129">
      <c r="A129" s="0" t="inlineStr">
        <is>
          <t>2018-07-05</t>
        </is>
      </c>
      <c r="B129" s="0" t="n">
        <v>0.0073967657494904</v>
      </c>
      <c r="C129" s="0" t="n">
        <v>0.0307941942107174</v>
      </c>
      <c r="D129" s="0" t="n">
        <v>0.0095430657618402</v>
      </c>
      <c r="E129" s="0" t="n">
        <v>0.0009045888093800999</v>
      </c>
      <c r="F129" s="0" t="n">
        <v>0.0039321090467407</v>
      </c>
      <c r="G129" s="0" t="n">
        <v>0.0180185209844041</v>
      </c>
      <c r="H129" s="0" t="n">
        <v>0.0204278694360977</v>
      </c>
      <c r="I129" s="0" t="n">
        <v>-0.009978724371895099</v>
      </c>
      <c r="J129" s="0" t="n">
        <v>0.0143887236307327</v>
      </c>
      <c r="K129" s="0" t="n">
        <v>-0.0057742418211945</v>
      </c>
      <c r="L129" s="0" t="n">
        <v>0.0272283975667981</v>
      </c>
      <c r="M129" s="0" t="n">
        <v>0.0064883082433095</v>
      </c>
      <c r="N129" s="0" t="n">
        <v>0.0143445437991607</v>
      </c>
      <c r="O129" s="0" t="n">
        <v>0.0024510377635471</v>
      </c>
      <c r="P129" s="0" t="n">
        <v>0.0062696069219256</v>
      </c>
      <c r="Q129" s="0" t="n">
        <v>-0.0149415150381517</v>
      </c>
      <c r="R129" s="0" t="n">
        <v>0.0211303297205303</v>
      </c>
      <c r="S129" s="0" t="n">
        <v>0.0134979481415267</v>
      </c>
      <c r="T129" s="0" t="n">
        <v>0.0035181861169091</v>
      </c>
      <c r="U129" s="0" t="n">
        <v>0.0113872837812918</v>
      </c>
      <c r="V129" s="0" t="n">
        <v>0.0108435974745404</v>
      </c>
      <c r="W129" s="0" t="n">
        <v>0.0116981034349405</v>
      </c>
      <c r="X129" s="0" t="n">
        <v>0.0081026699901407</v>
      </c>
    </row>
    <row r="130">
      <c r="A130" s="0" t="inlineStr">
        <is>
          <t>2018-07-06</t>
        </is>
      </c>
      <c r="B130" s="0" t="n">
        <v>0.0133163587610081</v>
      </c>
      <c r="C130" s="0" t="n">
        <v>0.0071943030979917</v>
      </c>
      <c r="D130" s="0" t="n">
        <v>0.00547762810986</v>
      </c>
      <c r="E130" s="0" t="n">
        <v>0.012578727236935</v>
      </c>
      <c r="F130" s="0" t="n">
        <v>0.03574306736144</v>
      </c>
      <c r="G130" s="0" t="n">
        <v>-0.0127874849049538</v>
      </c>
      <c r="H130" s="0" t="n">
        <v>0.0027535557056166</v>
      </c>
      <c r="I130" s="0" t="n">
        <v>-0.0079108398905298</v>
      </c>
      <c r="J130" s="0" t="n">
        <v>0.0056980156960337</v>
      </c>
      <c r="K130" s="0" t="n">
        <v>-0.011363747874334</v>
      </c>
      <c r="L130" s="0" t="n">
        <v>0.0106871509048311</v>
      </c>
      <c r="M130" s="0" t="n">
        <v>0.0013464183197999</v>
      </c>
      <c r="N130" s="0" t="n">
        <v>0.011630955221844</v>
      </c>
      <c r="O130" s="0" t="n">
        <v>-0.0163507811852379</v>
      </c>
      <c r="P130" s="0" t="n">
        <v>0.0155041716348041</v>
      </c>
      <c r="Q130" s="0" t="n">
        <v>0.0042918479094491</v>
      </c>
      <c r="R130" s="0" t="n">
        <v>0.0172983139642672</v>
      </c>
      <c r="S130" s="0" t="n">
        <v>0.0174157047719063</v>
      </c>
      <c r="T130" s="0" t="n">
        <v>-0.0009370091295575</v>
      </c>
      <c r="U130" s="0" t="n">
        <v>-0.0046427811808662</v>
      </c>
      <c r="V130" s="0" t="n">
        <v>-0.0019467417575835</v>
      </c>
      <c r="W130" s="0" t="n">
        <v>0.0156225628850927</v>
      </c>
      <c r="X130" s="0" t="n">
        <v>0.0226073560032511</v>
      </c>
    </row>
    <row r="131">
      <c r="A131" s="0" t="inlineStr">
        <is>
          <t>2018-07-09</t>
        </is>
      </c>
      <c r="B131" s="0" t="n">
        <v>0.0022138183891993</v>
      </c>
      <c r="C131" s="0" t="n">
        <v>0.0156475344970141</v>
      </c>
      <c r="D131" s="0" t="n">
        <v>0.0020463888365016</v>
      </c>
      <c r="E131" s="0" t="n">
        <v>0.0044543673792789</v>
      </c>
      <c r="F131" s="0" t="n">
        <v>-0.0076019480309716</v>
      </c>
      <c r="G131" s="0" t="n">
        <v>0.000695426231243</v>
      </c>
      <c r="H131" s="0" t="n">
        <v>0.0118452294241413</v>
      </c>
      <c r="I131" s="0" t="n">
        <v>0.0007217088147077</v>
      </c>
      <c r="J131" s="0" t="n">
        <v>-0.0028449494306481</v>
      </c>
      <c r="K131" s="0" t="n">
        <v>-0.0071685169224779</v>
      </c>
      <c r="L131" s="0" t="n">
        <v>-0.0060929299695624</v>
      </c>
      <c r="M131" s="0" t="n">
        <v>0.0072396202301803</v>
      </c>
      <c r="N131" s="0" t="n">
        <v>0.0110001719556827</v>
      </c>
      <c r="O131" s="0" t="n">
        <v>0.0108275911908233</v>
      </c>
      <c r="P131" s="0" t="n">
        <v>0.014509577454441</v>
      </c>
      <c r="Q131" s="0" t="n">
        <v>0.0274568696324353</v>
      </c>
      <c r="R131" s="0" t="n">
        <v>0.008831356871906899</v>
      </c>
      <c r="S131" s="0" t="n">
        <v>0.0291043429286976</v>
      </c>
      <c r="T131" s="0" t="n">
        <v>0.004442949998102</v>
      </c>
      <c r="U131" s="0" t="n">
        <v>0.0126735361578766</v>
      </c>
      <c r="V131" s="0" t="n">
        <v>-0.0047944770027799</v>
      </c>
      <c r="W131" s="0" t="n">
        <v>-0.0026457644269877</v>
      </c>
      <c r="X131" s="0" t="n">
        <v>-0.0152371612484705</v>
      </c>
    </row>
    <row r="132">
      <c r="A132" s="0" t="inlineStr">
        <is>
          <t>2018-07-10</t>
        </is>
      </c>
      <c r="B132" s="0" t="n">
        <v>0.0015880943801667</v>
      </c>
      <c r="C132" s="0" t="n">
        <v>-0.0127842432113478</v>
      </c>
      <c r="D132" s="0" t="n">
        <v>-0.0055806248295917</v>
      </c>
      <c r="E132" s="0" t="n">
        <v>-0.0161294094977053</v>
      </c>
      <c r="F132" s="0" t="n">
        <v>-0.0052164826318348</v>
      </c>
      <c r="G132" s="0" t="n">
        <v>-0.0282007108100912</v>
      </c>
      <c r="H132" s="0" t="n">
        <v>-0.0118452294241413</v>
      </c>
      <c r="I132" s="0" t="n">
        <v>-0.0465200254645603</v>
      </c>
      <c r="J132" s="0" t="n">
        <v>0.0042644285580686</v>
      </c>
      <c r="K132" s="0" t="n">
        <v>-0.0144929937809541</v>
      </c>
      <c r="L132" s="0" t="n">
        <v>-0.0341914065608182</v>
      </c>
      <c r="M132" s="0" t="n">
        <v>-0.0058950123153826</v>
      </c>
      <c r="N132" s="0" t="n">
        <v>-0.0155353349670166</v>
      </c>
      <c r="O132" s="0" t="n">
        <v>-0.0195749345734257</v>
      </c>
      <c r="P132" s="0" t="n">
        <v>-0.0261150938883893</v>
      </c>
      <c r="Q132" s="0" t="n">
        <v>-0.0403880716798077</v>
      </c>
      <c r="R132" s="0" t="n">
        <v>-0.0138705898824911</v>
      </c>
      <c r="S132" s="0" t="n">
        <v>-0.0414473777011408</v>
      </c>
      <c r="T132" s="0" t="n">
        <v>-0.0067892316147561</v>
      </c>
      <c r="U132" s="0" t="n">
        <v>-0.0011919915697111</v>
      </c>
      <c r="V132" s="0" t="n">
        <v>-0.0076834167679766</v>
      </c>
      <c r="W132" s="0" t="n">
        <v>-0.009761356126309</v>
      </c>
      <c r="X132" s="0" t="n">
        <v>-0.0100637965254777</v>
      </c>
    </row>
    <row r="133">
      <c r="A133" s="0" t="inlineStr">
        <is>
          <t>2018-07-11</t>
        </is>
      </c>
      <c r="B133" s="0" t="n">
        <v>0.0103641719101288</v>
      </c>
      <c r="C133" s="0" t="n">
        <v>0</v>
      </c>
      <c r="D133" s="0" t="n">
        <v>0.0153004185499989</v>
      </c>
      <c r="E133" s="0" t="n">
        <v>-0.0018082739278888</v>
      </c>
      <c r="F133" s="0" t="n">
        <v>0.0031331671024652</v>
      </c>
      <c r="G133" s="0" t="n">
        <v>-0.0007152557668219</v>
      </c>
      <c r="H133" s="0" t="n">
        <v>0.018165786103685</v>
      </c>
      <c r="I133" s="0" t="n">
        <v>0.0052771060422402</v>
      </c>
      <c r="J133" s="0" t="n">
        <v>0.008474618714779</v>
      </c>
      <c r="K133" s="0" t="n">
        <v>-0.0073259981205757</v>
      </c>
      <c r="L133" s="0" t="n">
        <v>0.0288294869211034</v>
      </c>
      <c r="M133" s="0" t="n">
        <v>0.008296618584353099</v>
      </c>
      <c r="N133" s="0" t="n">
        <v>0.0100503743857975</v>
      </c>
      <c r="O133" s="0" t="n">
        <v>0.0112325268620496</v>
      </c>
      <c r="P133" s="0" t="n">
        <v>0.0046583520116061</v>
      </c>
      <c r="Q133" s="0" t="n">
        <v>0.0214600301570047</v>
      </c>
      <c r="R133" s="0" t="n">
        <v>0.0102003221223281</v>
      </c>
      <c r="S133" s="0" t="n">
        <v>0.0182320285477493</v>
      </c>
      <c r="T133" s="0" t="n">
        <v>0.0234485988611514</v>
      </c>
      <c r="U133" s="0" t="n">
        <v>-0.0116539506273012</v>
      </c>
      <c r="V133" s="0" t="n">
        <v>0.0188349804022101</v>
      </c>
      <c r="W133" s="0" t="n">
        <v>-0.0007136649022223</v>
      </c>
      <c r="X133" s="0" t="n">
        <v>-0.0054090682194436</v>
      </c>
    </row>
    <row r="134">
      <c r="A134" s="0" t="inlineStr">
        <is>
          <t>2018-07-12</t>
        </is>
      </c>
      <c r="B134" s="0" t="n">
        <v>-0.0037626387403344</v>
      </c>
      <c r="C134" s="0" t="n">
        <v>-0.0071736592177136</v>
      </c>
      <c r="D134" s="0" t="n">
        <v>0.008957572043787099</v>
      </c>
      <c r="E134" s="0" t="n">
        <v>-0.0063550508341316</v>
      </c>
      <c r="F134" s="0" t="n">
        <v>-0.0076762840955066</v>
      </c>
      <c r="G134" s="0" t="n">
        <v>0.0035713778717481</v>
      </c>
      <c r="H134" s="0" t="n">
        <v>0.0345013989681168</v>
      </c>
      <c r="I134" s="0" t="n">
        <v>-0.0052771060422402</v>
      </c>
      <c r="J134" s="0" t="n">
        <v>-0.0014074919783095</v>
      </c>
      <c r="K134" s="0" t="n">
        <v>-0.0345610617444034</v>
      </c>
      <c r="L134" s="0" t="n">
        <v>0.0091743672456048</v>
      </c>
      <c r="M134" s="0" t="n">
        <v>0.0002664442823183</v>
      </c>
      <c r="N134" s="0" t="n">
        <v>-0.0060181145405233</v>
      </c>
      <c r="O134" s="0" t="n">
        <v>-0.0175278186647385</v>
      </c>
      <c r="P134" s="0" t="n">
        <v>0.0252403401825196</v>
      </c>
      <c r="Q134" s="0" t="n">
        <v>0.021009156094053</v>
      </c>
      <c r="R134" s="0" t="n">
        <v>0.0093691127818118</v>
      </c>
      <c r="S134" s="0" t="n">
        <v>-0.0127273890433459</v>
      </c>
      <c r="T134" s="0" t="n">
        <v>-0.0421806446213977</v>
      </c>
      <c r="U134" s="0" t="n">
        <v>0.008411373693932399</v>
      </c>
      <c r="V134" s="0" t="n">
        <v>0.0008797262147028</v>
      </c>
      <c r="W134" s="0" t="n">
        <v>-0.0120299174560436</v>
      </c>
      <c r="X134" s="0" t="n">
        <v>-0.0068027733616422</v>
      </c>
    </row>
    <row r="135">
      <c r="A135" s="0" t="inlineStr">
        <is>
          <t>2018-07-13</t>
        </is>
      </c>
      <c r="B135" s="0" t="n">
        <v>-0.003020232812684</v>
      </c>
      <c r="C135" s="0" t="n">
        <v>0.0007197217957561</v>
      </c>
      <c r="D135" s="0" t="n">
        <v>-0.0071596613482505</v>
      </c>
      <c r="E135" s="0" t="n">
        <v>-0.0119102792457352</v>
      </c>
      <c r="F135" s="0" t="n">
        <v>0.0421801409340369</v>
      </c>
      <c r="G135" s="0" t="n">
        <v>-0.0021413094193469</v>
      </c>
      <c r="H135" s="0" t="n">
        <v>-0.0078568641363414</v>
      </c>
      <c r="I135" s="0" t="n">
        <v>-0.0075872464957424</v>
      </c>
      <c r="J135" s="0" t="n">
        <v>-0.0084866058638899</v>
      </c>
      <c r="K135" s="0" t="n">
        <v>-0.0691668098697906</v>
      </c>
      <c r="L135" s="0" t="n">
        <v>-0.0114812261218681</v>
      </c>
      <c r="M135" s="0" t="n">
        <v>-0.0040047500189386</v>
      </c>
      <c r="N135" s="0" t="n">
        <v>-0.0136744876807068</v>
      </c>
      <c r="O135" s="0" t="n">
        <v>0.0072361348729228</v>
      </c>
      <c r="P135" s="0" t="n">
        <v>-0.0377112616172792</v>
      </c>
      <c r="Q135" s="0" t="n">
        <v>0.0226114737895917</v>
      </c>
      <c r="R135" s="0" t="n">
        <v>-0.0056988450216488</v>
      </c>
      <c r="S135" s="0" t="n">
        <v>-0.0330186232134304</v>
      </c>
      <c r="T135" s="0" t="n">
        <v>0.0170863490193555</v>
      </c>
      <c r="U135" s="0" t="n">
        <v>-0.0235223681168701</v>
      </c>
      <c r="V135" s="0" t="n">
        <v>-0.0075911795680507</v>
      </c>
      <c r="W135" s="0" t="n">
        <v>0.0290185209643096</v>
      </c>
      <c r="X135" s="0" t="n">
        <v>0.0169208779252314</v>
      </c>
    </row>
    <row r="136">
      <c r="A136" s="0" t="inlineStr">
        <is>
          <t>2018-07-16</t>
        </is>
      </c>
      <c r="B136" s="0" t="n">
        <v>-0.0136357962396287</v>
      </c>
      <c r="C136" s="0" t="n">
        <v>-0.0152232226229882</v>
      </c>
      <c r="D136" s="0" t="n">
        <v>0.0055978650624517</v>
      </c>
      <c r="E136" s="0" t="n">
        <v>0.0009211677473075</v>
      </c>
      <c r="F136" s="0" t="n">
        <v>0.0076936167659953</v>
      </c>
      <c r="G136" s="0" t="n">
        <v>0.0152458300033804</v>
      </c>
      <c r="H136" s="0" t="n">
        <v>0.0216740582302188</v>
      </c>
      <c r="I136" s="0" t="n">
        <v>0.009097855401538599</v>
      </c>
      <c r="J136" s="0" t="n">
        <v>0.0042523394373854</v>
      </c>
      <c r="K136" s="0" t="n">
        <v>-0.017609333823539</v>
      </c>
      <c r="L136" s="0" t="n">
        <v>0.0198177393695719</v>
      </c>
      <c r="M136" s="0" t="n">
        <v>0.0071971641719659</v>
      </c>
      <c r="N136" s="0" t="n">
        <v>0.0010192942030151</v>
      </c>
      <c r="O136" s="0" t="n">
        <v>-0.0043983542469581</v>
      </c>
      <c r="P136" s="0" t="n">
        <v>0.0194180858571018</v>
      </c>
      <c r="Q136" s="0" t="n">
        <v>0.0161293664229842</v>
      </c>
      <c r="R136" s="0" t="n">
        <v>-0.0044058732115788</v>
      </c>
      <c r="S136" s="0" t="n">
        <v>0.0256724082490205</v>
      </c>
      <c r="T136" s="0" t="n">
        <v>-0.0037718066197811</v>
      </c>
      <c r="U136" s="0" t="n">
        <v>0.0036684308480063</v>
      </c>
      <c r="V136" s="0" t="n">
        <v>0.00353796159792</v>
      </c>
      <c r="W136" s="0" t="n">
        <v>-0.0075737974302922</v>
      </c>
      <c r="X136" s="0" t="n">
        <v>0.0013414125397317</v>
      </c>
    </row>
    <row r="137">
      <c r="A137" s="0" t="inlineStr">
        <is>
          <t>2018-07-17</t>
        </is>
      </c>
      <c r="B137" s="0" t="n">
        <v>0.0071525511996792</v>
      </c>
      <c r="C137" s="0" t="n">
        <v>0.0043732014095372</v>
      </c>
      <c r="D137" s="0" t="n">
        <v>0.0051224954815536</v>
      </c>
      <c r="E137" s="0" t="n">
        <v>0.0009204077126989</v>
      </c>
      <c r="F137" s="0" t="n">
        <v>0.0039906582093345</v>
      </c>
      <c r="G137" s="0" t="n">
        <v>-0.009901095357049</v>
      </c>
      <c r="H137" s="0" t="n">
        <v>-0.0077486939019184</v>
      </c>
      <c r="I137" s="0" t="n">
        <v>0.0097635108209841</v>
      </c>
      <c r="J137" s="0" t="n">
        <v>0.008450746288091599</v>
      </c>
      <c r="K137" s="0" t="n">
        <v>0.004472868775601</v>
      </c>
      <c r="L137" s="0" t="n">
        <v>0.0120031334826915</v>
      </c>
      <c r="M137" s="0" t="n">
        <v>0.0002655244033893</v>
      </c>
      <c r="N137" s="0" t="n">
        <v>-0.0061317991692422</v>
      </c>
      <c r="O137" s="0" t="n">
        <v>-0.0015755839071673</v>
      </c>
      <c r="P137" s="0" t="n">
        <v>-0.0030816635939689</v>
      </c>
      <c r="Q137" s="0" t="n">
        <v>-0.0283994470495985</v>
      </c>
      <c r="R137" s="0" t="n">
        <v>-0.0005889416300837</v>
      </c>
      <c r="S137" s="0" t="n">
        <v>-0.0055453394103253</v>
      </c>
      <c r="T137" s="0" t="n">
        <v>-0.0030751312060037</v>
      </c>
      <c r="U137" s="0" t="n">
        <v>0.0013940032211321</v>
      </c>
      <c r="V137" s="0" t="n">
        <v>0.0044049052863721</v>
      </c>
      <c r="W137" s="0" t="n">
        <v>0.0001767580918388</v>
      </c>
      <c r="X137" s="0" t="n">
        <v>0.0086754039791476</v>
      </c>
    </row>
    <row r="138">
      <c r="A138" s="0" t="inlineStr">
        <is>
          <t>2018-07-18</t>
        </is>
      </c>
      <c r="B138" s="0" t="n">
        <v>0.0321378493179915</v>
      </c>
      <c r="C138" s="0" t="n">
        <v>-0.001455609849021</v>
      </c>
      <c r="D138" s="0" t="n">
        <v>-0.0066867347909926</v>
      </c>
      <c r="E138" s="0" t="n">
        <v>-0.004610445391425</v>
      </c>
      <c r="F138" s="0" t="n">
        <v>-0.015384888414315</v>
      </c>
      <c r="G138" s="0" t="n">
        <v>-0.0007109332092425</v>
      </c>
      <c r="H138" s="0" t="n">
        <v>0.006890693833756</v>
      </c>
      <c r="I138" s="0" t="n">
        <v>-0.0022446498324457</v>
      </c>
      <c r="J138" s="0" t="n">
        <v>0.0014015071751722</v>
      </c>
      <c r="K138" s="0" t="n">
        <v>-0.0422003531314789</v>
      </c>
      <c r="L138" s="0" t="n">
        <v>-0.0403249563535506</v>
      </c>
      <c r="M138" s="0" t="n">
        <v>-0.0079978894796082</v>
      </c>
      <c r="N138" s="0" t="n">
        <v>-0.0144556305705085</v>
      </c>
      <c r="O138" s="0" t="n">
        <v>-0.0139728735695561</v>
      </c>
      <c r="P138" s="0" t="n">
        <v>0</v>
      </c>
      <c r="Q138" s="0" t="n">
        <v>0</v>
      </c>
      <c r="R138" s="0" t="n">
        <v>-0.026262358711623</v>
      </c>
      <c r="S138" s="0" t="n">
        <v>0.0060059854248448</v>
      </c>
      <c r="T138" s="0" t="n">
        <v>0.0044912601210351</v>
      </c>
      <c r="U138" s="0" t="n">
        <v>-0.0085687624584007</v>
      </c>
      <c r="V138" s="0" t="n">
        <v>-0.0059954358153779</v>
      </c>
      <c r="W138" s="0" t="n">
        <v>-0.0042515185479325</v>
      </c>
      <c r="X138" s="0" t="n">
        <v>-0.0033278027660874</v>
      </c>
    </row>
    <row r="139">
      <c r="A139" s="0" t="inlineStr">
        <is>
          <t>2018-07-19</t>
        </is>
      </c>
      <c r="B139" s="0" t="n">
        <v>-0.0195547303177239</v>
      </c>
      <c r="C139" s="0" t="n">
        <v>-0.0454454236003454</v>
      </c>
      <c r="D139" s="0" t="n">
        <v>-0.010792674477317</v>
      </c>
      <c r="E139" s="0" t="n">
        <v>-0.0243229271990048</v>
      </c>
      <c r="F139" s="0" t="n">
        <v>0.015384888414315</v>
      </c>
      <c r="G139" s="0" t="n">
        <v>0.0007109332092425</v>
      </c>
      <c r="H139" s="0" t="n">
        <v>0.0461297274423366</v>
      </c>
      <c r="I139" s="0" t="n">
        <v>0.0192883780168329</v>
      </c>
      <c r="J139" s="0" t="n">
        <v>-0.0042104950584498</v>
      </c>
      <c r="K139" s="0" t="n">
        <v>-0.0279739086004937</v>
      </c>
      <c r="L139" s="0" t="n">
        <v>0.0038744868245421</v>
      </c>
      <c r="M139" s="0" t="n">
        <v>-0.0008032877206964</v>
      </c>
      <c r="N139" s="0" t="n">
        <v>-0.0247445800174221</v>
      </c>
      <c r="O139" s="0" t="n">
        <v>-0.0054513546577226</v>
      </c>
      <c r="P139" s="0" t="n">
        <v>0</v>
      </c>
      <c r="Q139" s="0" t="n">
        <v>0.0143004878503445</v>
      </c>
      <c r="R139" s="0" t="n">
        <v>-0.0133943744261495</v>
      </c>
      <c r="S139" s="0" t="n">
        <v>0.0068855689498903</v>
      </c>
      <c r="T139" s="0" t="n">
        <v>-0.009240752998314001</v>
      </c>
      <c r="U139" s="0" t="n">
        <v>0.0122187028106148</v>
      </c>
      <c r="V139" s="0" t="n">
        <v>0.0030021774239124</v>
      </c>
      <c r="W139" s="0" t="n">
        <v>0.0014191596344304</v>
      </c>
      <c r="X139" s="0" t="n">
        <v>0.006644567981564</v>
      </c>
    </row>
    <row r="140">
      <c r="A140" s="0" t="inlineStr">
        <is>
          <t>2018-07-20</t>
        </is>
      </c>
      <c r="B140" s="0" t="n">
        <v>-0.0044513625871482</v>
      </c>
      <c r="C140" s="0" t="n">
        <v>-0.0099579524842612</v>
      </c>
      <c r="D140" s="0" t="n">
        <v>0.0046235891360089</v>
      </c>
      <c r="E140" s="0" t="n">
        <v>-0.0085592676279153</v>
      </c>
      <c r="F140" s="0" t="n">
        <v>0.020368668964064</v>
      </c>
      <c r="G140" s="0" t="n">
        <v>0.0053163876792785</v>
      </c>
      <c r="H140" s="0" t="n">
        <v>-0.0190324141451623</v>
      </c>
      <c r="I140" s="0" t="n">
        <v>-0.0305879762948881</v>
      </c>
      <c r="J140" s="0" t="n">
        <v>0.0014054467571751</v>
      </c>
      <c r="K140" s="0" t="n">
        <v>0.0348467811309982</v>
      </c>
      <c r="L140" s="0" t="n">
        <v>0.0183913051622854</v>
      </c>
      <c r="M140" s="0" t="n">
        <v>-0.0032198242227834</v>
      </c>
      <c r="N140" s="0" t="n">
        <v>0.0031931621631269</v>
      </c>
      <c r="O140" s="0" t="n">
        <v>-0.0032206269659496</v>
      </c>
      <c r="P140" s="0" t="n">
        <v>-0.0139862658124521</v>
      </c>
      <c r="Q140" s="0" t="n">
        <v>-0.0061037286555243</v>
      </c>
      <c r="R140" s="0" t="n">
        <v>0.0164136544174526</v>
      </c>
      <c r="S140" s="0" t="n">
        <v>-0.0055046395044033</v>
      </c>
      <c r="T140" s="0" t="n">
        <v>0.0011895576980069</v>
      </c>
      <c r="U140" s="0" t="n">
        <v>-0.0008678163741571</v>
      </c>
      <c r="V140" s="0" t="n">
        <v>-0.01474399237871</v>
      </c>
      <c r="W140" s="0" t="n">
        <v>0.0277965654995142</v>
      </c>
      <c r="X140" s="0" t="n">
        <v>0.0177227810209972</v>
      </c>
    </row>
    <row r="141">
      <c r="A141" s="0" t="inlineStr">
        <is>
          <t>2018-07-23</t>
        </is>
      </c>
      <c r="B141" s="0" t="n">
        <v>0.0046563212745116</v>
      </c>
      <c r="C141" s="0" t="n">
        <v>0.0099579524842612</v>
      </c>
      <c r="D141" s="0" t="n">
        <v>0.0490687392127116</v>
      </c>
      <c r="E141" s="0" t="n">
        <v>0.009505720623635701</v>
      </c>
      <c r="F141" s="0" t="n">
        <v>0.0025982451708665</v>
      </c>
      <c r="G141" s="0" t="n">
        <v>-0.011733533054274</v>
      </c>
      <c r="H141" s="0" t="n">
        <v>0.0141022526734175</v>
      </c>
      <c r="I141" s="0" t="n">
        <v>0.0082988487907291</v>
      </c>
      <c r="J141" s="0" t="n">
        <v>-0.0198587898438493</v>
      </c>
      <c r="K141" s="0" t="n">
        <v>-0.0746349934402703</v>
      </c>
      <c r="L141" s="0" t="n">
        <v>0.0445508244359125</v>
      </c>
      <c r="M141" s="0" t="n">
        <v>0.0130825969368908</v>
      </c>
      <c r="N141" s="0" t="n">
        <v>-0.0058620265882471</v>
      </c>
      <c r="O141" s="0" t="n">
        <v>0.0216983720941525</v>
      </c>
      <c r="P141" s="0" t="n">
        <v>0.0116687883307986</v>
      </c>
      <c r="Q141" s="0" t="n">
        <v>0.0182006393160008</v>
      </c>
      <c r="R141" s="0" t="n">
        <v>-0.0115221789793409</v>
      </c>
      <c r="S141" s="0" t="n">
        <v>-0.0087780900183869</v>
      </c>
      <c r="T141" s="0" t="n">
        <v>0.0078152680407512</v>
      </c>
      <c r="U141" s="0" t="n">
        <v>0.0069216666642857</v>
      </c>
      <c r="V141" s="0" t="n">
        <v>0.0417091692181461</v>
      </c>
      <c r="W141" s="0" t="n">
        <v>0.006016322035693</v>
      </c>
      <c r="X141" s="0" t="n">
        <v>-0.0052185326586973</v>
      </c>
    </row>
    <row r="142">
      <c r="A142" s="0" t="inlineStr">
        <is>
          <t>2018-07-24</t>
        </is>
      </c>
      <c r="B142" s="0" t="n">
        <v>0.0016381589627583</v>
      </c>
      <c r="C142" s="0" t="n">
        <v>-0.0007625264503805</v>
      </c>
      <c r="D142" s="0" t="n">
        <v>0.0324615060450845</v>
      </c>
      <c r="E142" s="0" t="n">
        <v>-0.0047415201870451</v>
      </c>
      <c r="F142" s="0" t="n">
        <v>0.0077544741593618</v>
      </c>
      <c r="G142" s="0" t="n">
        <v>0.011379980687197</v>
      </c>
      <c r="H142" s="0" t="n">
        <v>0.0443085116019341</v>
      </c>
      <c r="I142" s="0" t="n">
        <v>0.0037494784772449</v>
      </c>
      <c r="J142" s="0" t="n">
        <v>0.022663838145124</v>
      </c>
      <c r="K142" s="0" t="n">
        <v>-0.0186224939071999</v>
      </c>
      <c r="L142" s="0" t="n">
        <v>0.0165649836311461</v>
      </c>
      <c r="M142" s="0" t="n">
        <v>0.0076628966902529</v>
      </c>
      <c r="N142" s="0" t="n">
        <v>-0.0243452036520581</v>
      </c>
      <c r="O142" s="0" t="n">
        <v>-0.0461893921024483</v>
      </c>
      <c r="P142" s="0" t="n">
        <v>0.0236923168357998</v>
      </c>
      <c r="Q142" s="0" t="n">
        <v>0.0198419966450826</v>
      </c>
      <c r="R142" s="0" t="n">
        <v>0.0062323836858633</v>
      </c>
      <c r="S142" s="0" t="n">
        <v>0.0069365145583804</v>
      </c>
      <c r="T142" s="0" t="n">
        <v>0.0180016658884674</v>
      </c>
      <c r="U142" s="0" t="n">
        <v>-0.002417183569209</v>
      </c>
      <c r="V142" s="0" t="n">
        <v>0.0132994730777635</v>
      </c>
      <c r="W142" s="0" t="n">
        <v>-0.0020586545943865</v>
      </c>
      <c r="X142" s="0" t="n">
        <v>-0.0125042483622999</v>
      </c>
    </row>
    <row r="143">
      <c r="A143" s="0" t="inlineStr">
        <is>
          <t>2018-07-25</t>
        </is>
      </c>
      <c r="B143" s="0" t="n">
        <v>0.0006137224214581</v>
      </c>
      <c r="C143" s="0" t="n">
        <v>0.0030464724695087</v>
      </c>
      <c r="D143" s="0" t="n">
        <v>-0.013047520787766</v>
      </c>
      <c r="E143" s="0" t="n">
        <v>-0.061754070474469</v>
      </c>
      <c r="F143" s="0" t="n">
        <v>-0.0041928511767617</v>
      </c>
      <c r="G143" s="0" t="n">
        <v>0.0126494554726632</v>
      </c>
      <c r="H143" s="0" t="n">
        <v>-0.0287789365738859</v>
      </c>
      <c r="I143" s="0" t="n">
        <v>-0.064937740176143</v>
      </c>
      <c r="J143" s="0" t="n">
        <v>0.0083682418790596</v>
      </c>
      <c r="K143" s="0" t="n">
        <v>-0.0113422653574539</v>
      </c>
      <c r="L143" s="0" t="n">
        <v>0.007826411917589</v>
      </c>
      <c r="M143" s="0" t="n">
        <v>0.0044648312001123</v>
      </c>
      <c r="N143" s="0" t="n">
        <v>0.0070941177254866</v>
      </c>
      <c r="O143" s="0" t="n">
        <v>0.0033003455976756</v>
      </c>
      <c r="P143" s="0" t="n">
        <v>-0.0060606189193674</v>
      </c>
      <c r="Q143" s="0" t="n">
        <v>0.042313963937461</v>
      </c>
      <c r="R143" s="0" t="n">
        <v>0.0052897952934776</v>
      </c>
      <c r="S143" s="0" t="n">
        <v>0.0164536939111217</v>
      </c>
      <c r="T143" s="0" t="n">
        <v>0.0085361906668715</v>
      </c>
      <c r="U143" s="0" t="n">
        <v>-0.0307176419338297</v>
      </c>
      <c r="V143" s="0" t="n">
        <v>-0.0191524793351698</v>
      </c>
      <c r="W143" s="0" t="n">
        <v>0.001372950797891</v>
      </c>
      <c r="X143" s="0" t="n">
        <v>0.0138114679938321</v>
      </c>
    </row>
    <row r="144">
      <c r="A144" s="0" t="inlineStr">
        <is>
          <t>2018-07-26</t>
        </is>
      </c>
      <c r="B144" s="0" t="n">
        <v>-0.0106902464934712</v>
      </c>
      <c r="C144" s="0" t="n">
        <v>-0.0068676230519009</v>
      </c>
      <c r="D144" s="0" t="n">
        <v>0.0148088865233582</v>
      </c>
      <c r="E144" s="0" t="n">
        <v>0.0040363284410367</v>
      </c>
      <c r="F144" s="0" t="n">
        <v>0.003870938120162</v>
      </c>
      <c r="G144" s="0" t="n">
        <v>0.0020928285675445</v>
      </c>
      <c r="H144" s="0" t="n">
        <v>0.0072726945939671</v>
      </c>
      <c r="I144" s="0" t="n">
        <v>-0.0015987579262897</v>
      </c>
      <c r="J144" s="0" t="n">
        <v>-0.0168071026014087</v>
      </c>
      <c r="K144" s="0" t="n">
        <v>0.0169654728189523</v>
      </c>
      <c r="L144" s="0" t="n">
        <v>0.0231183628725042</v>
      </c>
      <c r="M144" s="0" t="n">
        <v>0.0065299958037536</v>
      </c>
      <c r="N144" s="0" t="n">
        <v>-0.0010880605148804</v>
      </c>
      <c r="O144" s="0" t="n">
        <v>0.0237679929701601</v>
      </c>
      <c r="P144" s="0" t="n">
        <v>-0.0038066427145917</v>
      </c>
      <c r="Q144" s="0" t="n">
        <v>-0.0056656870232671</v>
      </c>
      <c r="R144" s="0" t="n">
        <v>0.0049620708487472</v>
      </c>
      <c r="S144" s="0" t="n">
        <v>-0.0178371705470503</v>
      </c>
      <c r="T144" s="0" t="n">
        <v>-0.0223005548501427</v>
      </c>
      <c r="U144" s="0" t="n">
        <v>0.0315816256032608</v>
      </c>
      <c r="V144" s="0" t="n">
        <v>-0.017415975411211</v>
      </c>
      <c r="W144" s="0" t="n">
        <v>0.005472900408403</v>
      </c>
      <c r="X144" s="0" t="n">
        <v>0.0129787548678903</v>
      </c>
    </row>
    <row r="145">
      <c r="A145" s="0" t="inlineStr">
        <is>
          <t>2018-07-27</t>
        </is>
      </c>
      <c r="B145" s="0" t="n">
        <v>0.0023397450626694</v>
      </c>
      <c r="C145" s="0" t="n">
        <v>0.0076277555364159</v>
      </c>
      <c r="D145" s="0" t="n">
        <v>0.0145927798113412</v>
      </c>
      <c r="E145" s="0" t="n">
        <v>0.0140001676352428</v>
      </c>
      <c r="F145" s="0" t="n">
        <v>0.0080167177550647</v>
      </c>
      <c r="G145" s="0" t="n">
        <v>0.0349230473969077</v>
      </c>
      <c r="H145" s="0" t="n">
        <v>0.0159747660051277</v>
      </c>
      <c r="I145" s="0" t="n">
        <v>0.0031948878544958</v>
      </c>
      <c r="J145" s="0" t="n">
        <v>-0.0127933734281113</v>
      </c>
      <c r="K145" s="0" t="n">
        <v>-0.0322915199500977</v>
      </c>
      <c r="L145" s="0" t="n">
        <v>0.008275967183016099</v>
      </c>
      <c r="M145" s="0" t="n">
        <v>0.0046753411184008</v>
      </c>
      <c r="N145" s="0" t="n">
        <v>0.0145908316012315</v>
      </c>
      <c r="O145" s="0" t="n">
        <v>0.0291713797550401</v>
      </c>
      <c r="P145" s="0" t="n">
        <v>0.0285733816651312</v>
      </c>
      <c r="Q145" s="0" t="n">
        <v>-0.0056980608510668</v>
      </c>
      <c r="R145" s="0" t="n">
        <v>0.0113349781067855</v>
      </c>
      <c r="S145" s="0" t="n">
        <v>-0.0200426334712275</v>
      </c>
      <c r="T145" s="0" t="n">
        <v>-0.009440748333583601</v>
      </c>
      <c r="U145" s="0" t="n">
        <v>0.009454290038289201</v>
      </c>
      <c r="V145" s="0" t="n">
        <v>0.0347035629757011</v>
      </c>
      <c r="W145" s="0" t="n">
        <v>-0.0023907010424402</v>
      </c>
      <c r="X145" s="0" t="n">
        <v>-0.0012903522928224</v>
      </c>
    </row>
    <row r="146">
      <c r="A146" s="0" t="inlineStr">
        <is>
          <t>2018-07-30</t>
        </is>
      </c>
      <c r="B146" s="0" t="n">
        <v>-0.0038565767854228</v>
      </c>
      <c r="C146" s="0" t="n">
        <v>0.0350913432008304</v>
      </c>
      <c r="D146" s="0" t="n">
        <v>0.0080272842648163</v>
      </c>
      <c r="E146" s="0" t="n">
        <v>-0.0029835659609465</v>
      </c>
      <c r="F146" s="0" t="n">
        <v>-0.0138288203018923</v>
      </c>
      <c r="G146" s="0" t="n">
        <v>-0.0245243667592647</v>
      </c>
      <c r="H146" s="0" t="n">
        <v>-0.0512098404257894</v>
      </c>
      <c r="I146" s="0" t="n">
        <v>-0.0031948878544958</v>
      </c>
      <c r="J146" s="0" t="n">
        <v>0.0042826918191629</v>
      </c>
      <c r="K146" s="0" t="n">
        <v>0.0508105505458003</v>
      </c>
      <c r="L146" s="0" t="n">
        <v>0.0068446144616864</v>
      </c>
      <c r="M146" s="0" t="n">
        <v>0.0341347492142936</v>
      </c>
      <c r="N146" s="0" t="n">
        <v>0.0069500984732036</v>
      </c>
      <c r="O146" s="0" t="n">
        <v>-0.0009379612057842</v>
      </c>
      <c r="P146" s="0" t="n">
        <v>-0.0037133493793639</v>
      </c>
      <c r="Q146" s="0" t="n">
        <v>-0.021175023112024</v>
      </c>
      <c r="R146" s="0" t="n">
        <v>-0.0388589169828428</v>
      </c>
      <c r="S146" s="0" t="n">
        <v>0.0032902354514066</v>
      </c>
      <c r="T146" s="0" t="n">
        <v>0.0028416487955089</v>
      </c>
      <c r="U146" s="0" t="n">
        <v>0.0039272575045252</v>
      </c>
      <c r="V146" s="0" t="n">
        <v>-0.0030591510041686</v>
      </c>
      <c r="W146" s="0" t="n">
        <v>-0.0207297237505148</v>
      </c>
      <c r="X146" s="0" t="n">
        <v>-0.0032331222332917</v>
      </c>
    </row>
    <row r="147">
      <c r="A147" s="0" t="inlineStr">
        <is>
          <t>2018-07-31</t>
        </is>
      </c>
      <c r="B147" s="0" t="n">
        <v>-0.009915781498497299</v>
      </c>
      <c r="C147" s="0" t="n">
        <v>-0.0290306953644603</v>
      </c>
      <c r="D147" s="0" t="n">
        <v>-0.0011138739788787</v>
      </c>
      <c r="E147" s="0" t="n">
        <v>-0.0140423918558361</v>
      </c>
      <c r="F147" s="0" t="n">
        <v>0.0119106782030828</v>
      </c>
      <c r="G147" s="0" t="n">
        <v>-0.0107471813784356</v>
      </c>
      <c r="H147" s="0" t="n">
        <v>0.009132474886275299</v>
      </c>
      <c r="I147" s="0" t="n">
        <v>-0.0136933333196704</v>
      </c>
      <c r="J147" s="0" t="n">
        <v>-0.0230557541201641</v>
      </c>
      <c r="K147" s="0" t="n">
        <v>-0.0354845034146549</v>
      </c>
      <c r="L147" s="0" t="n">
        <v>-0.0417887698228205</v>
      </c>
      <c r="M147" s="0" t="n">
        <v>0.0084788575128254</v>
      </c>
      <c r="N147" s="0" t="n">
        <v>-0.0107125160556575</v>
      </c>
      <c r="O147" s="0" t="n">
        <v>-0.0021919437614421</v>
      </c>
      <c r="P147" s="0" t="n">
        <v>0.0422496103836826</v>
      </c>
      <c r="Q147" s="0" t="n">
        <v>0.0038834964306657</v>
      </c>
      <c r="R147" s="0" t="n">
        <v>-0.0119428219134354</v>
      </c>
      <c r="S147" s="0" t="n">
        <v>-0.0051752033834877</v>
      </c>
      <c r="T147" s="0" t="n">
        <v>-0.0102199415345509</v>
      </c>
      <c r="U147" s="0" t="n">
        <v>-0.010277556432495</v>
      </c>
      <c r="V147" s="0" t="n">
        <v>0.0146999173102724</v>
      </c>
      <c r="W147" s="0" t="n">
        <v>0.0062641687819811</v>
      </c>
      <c r="X147" s="0" t="n">
        <v>0.0032331222332917</v>
      </c>
    </row>
    <row r="148">
      <c r="A148" s="0" t="inlineStr">
        <is>
          <t>2018-08-01</t>
        </is>
      </c>
      <c r="B148" s="0" t="n">
        <v>-0.0037701173852475</v>
      </c>
      <c r="C148" s="0" t="n">
        <v>-0.0053010174052694</v>
      </c>
      <c r="D148" s="0" t="n">
        <v>0.0077711879164921</v>
      </c>
      <c r="E148" s="0" t="n">
        <v>0.0020182103794552</v>
      </c>
      <c r="F148" s="0" t="n">
        <v>0.0009595614462822</v>
      </c>
      <c r="G148" s="0" t="n">
        <v>0.0359442847278765</v>
      </c>
      <c r="H148" s="0" t="n">
        <v>0.003300329912371</v>
      </c>
      <c r="I148" s="0" t="n">
        <v>-0.0130613977201314</v>
      </c>
      <c r="J148" s="0" t="n">
        <v>0.0144720186266804</v>
      </c>
      <c r="K148" s="0" t="n">
        <v>-0.0191945203411003</v>
      </c>
      <c r="L148" s="0" t="n">
        <v>-0.0014235203465897</v>
      </c>
      <c r="M148" s="0" t="n">
        <v>-0.0155157996661632</v>
      </c>
      <c r="N148" s="0" t="n">
        <v>0.008579133085056799</v>
      </c>
      <c r="O148" s="0" t="n">
        <v>-0.0015686038372564</v>
      </c>
      <c r="P148" s="0" t="n">
        <v>0.0134610305363205</v>
      </c>
      <c r="Q148" s="0" t="n">
        <v>-0.0136586893817687</v>
      </c>
      <c r="R148" s="0" t="n">
        <v>-0.0048486459333947</v>
      </c>
      <c r="S148" s="0" t="n">
        <v>0.0173022285872304</v>
      </c>
      <c r="T148" s="0" t="n">
        <v>0.0158789489647395</v>
      </c>
      <c r="U148" s="0" t="n">
        <v>0.0128305579579066</v>
      </c>
      <c r="V148" s="0" t="n">
        <v>-0.0058877868114315</v>
      </c>
      <c r="W148" s="0" t="n">
        <v>0.0110402945808347</v>
      </c>
      <c r="X148" s="0" t="n">
        <v>0.0147391643349514</v>
      </c>
    </row>
    <row r="149">
      <c r="A149" s="0" t="inlineStr">
        <is>
          <t>2018-08-02</t>
        </is>
      </c>
      <c r="B149" s="0" t="n">
        <v>0.0326182510610379</v>
      </c>
      <c r="C149" s="0" t="n">
        <v>-0.002280549122164</v>
      </c>
      <c r="D149" s="0" t="n">
        <v>0.0110973455123808</v>
      </c>
      <c r="E149" s="0" t="n">
        <v>0.0120241814763808</v>
      </c>
      <c r="F149" s="0" t="n">
        <v>0.0073260254042741</v>
      </c>
      <c r="G149" s="0" t="n">
        <v>0.00636839872501</v>
      </c>
      <c r="H149" s="0" t="n">
        <v>0.038777035627143</v>
      </c>
      <c r="I149" s="0" t="n">
        <v>0.013872117574095</v>
      </c>
      <c r="J149" s="0" t="n">
        <v>-0.0130153902510239</v>
      </c>
      <c r="K149" s="0" t="n">
        <v>-0.0195700779311911</v>
      </c>
      <c r="L149" s="0" t="n">
        <v>0.0106270657200102</v>
      </c>
      <c r="M149" s="0" t="n">
        <v>0.0221981770426009</v>
      </c>
      <c r="N149" s="0" t="n">
        <v>0.0053248466014728</v>
      </c>
      <c r="O149" s="0" t="n">
        <v>0.0131006262540518</v>
      </c>
      <c r="P149" s="0" t="n">
        <v>-0.0350913030330453</v>
      </c>
      <c r="Q149" s="0" t="n">
        <v>0.0194558476625283</v>
      </c>
      <c r="R149" s="0" t="n">
        <v>0.0172538767845011</v>
      </c>
      <c r="S149" s="0" t="n">
        <v>-0.009315337650283599</v>
      </c>
      <c r="T149" s="0" t="n">
        <v>0.0070291538155884</v>
      </c>
      <c r="U149" s="0" t="n">
        <v>0.0151824390794628</v>
      </c>
      <c r="V149" s="0" t="n">
        <v>-0.0018576482597509</v>
      </c>
      <c r="W149" s="0" t="n">
        <v>0.009221392236989701</v>
      </c>
      <c r="X149" s="0" t="n">
        <v>0.0006358839812463</v>
      </c>
    </row>
    <row r="150">
      <c r="A150" s="0" t="inlineStr">
        <is>
          <t>2018-08-03</t>
        </is>
      </c>
      <c r="B150" s="0" t="n">
        <v>-0.0113710971823488</v>
      </c>
      <c r="C150" s="0" t="n">
        <v>-0.0030487188921139</v>
      </c>
      <c r="D150" s="0" t="n">
        <v>0.0140193643354944</v>
      </c>
      <c r="E150" s="0" t="n">
        <v>-0.0009965351132521</v>
      </c>
      <c r="F150" s="0" t="n">
        <v>0.0003173164796703</v>
      </c>
      <c r="G150" s="0" t="n">
        <v>-0.0006684645206362</v>
      </c>
      <c r="H150" s="0" t="n">
        <v>-0.0151698801864332</v>
      </c>
      <c r="I150" s="0" t="n">
        <v>-0.013872117574095</v>
      </c>
      <c r="J150" s="0" t="n">
        <v>0.002906976071378</v>
      </c>
      <c r="K150" s="0" t="n">
        <v>0.0195700779311911</v>
      </c>
      <c r="L150" s="0" t="n">
        <v>-0.008492612164177901</v>
      </c>
      <c r="M150" s="0" t="n">
        <v>0.0122580595635226</v>
      </c>
      <c r="N150" s="0" t="n">
        <v>-0.0069277739578965</v>
      </c>
      <c r="O150" s="0" t="n">
        <v>-0.0049704931397274</v>
      </c>
      <c r="P150" s="0" t="n">
        <v>0.0108735843152927</v>
      </c>
      <c r="Q150" s="0" t="n">
        <v>-0.0116280267120847</v>
      </c>
      <c r="R150" s="0" t="n">
        <v>0.0023089600887935</v>
      </c>
      <c r="S150" s="0" t="n">
        <v>0.022212830397545</v>
      </c>
      <c r="T150" s="0" t="n">
        <v>0.0109137830096308</v>
      </c>
      <c r="U150" s="0" t="n">
        <v>0.008004037190453899</v>
      </c>
      <c r="V150" s="0" t="n">
        <v>0.0038802164874018</v>
      </c>
      <c r="W150" s="0" t="n">
        <v>0.0010193265913445</v>
      </c>
      <c r="X150" s="0" t="n">
        <v>0.0038071378827844</v>
      </c>
    </row>
    <row r="151">
      <c r="A151" s="0" t="inlineStr">
        <is>
          <t>2018-08-06</t>
        </is>
      </c>
      <c r="B151" s="0" t="n">
        <v>0.0066885026168357</v>
      </c>
      <c r="C151" s="0" t="n">
        <v>0.0045696375831774</v>
      </c>
      <c r="D151" s="0" t="n">
        <v>-0.0005883844229321</v>
      </c>
      <c r="E151" s="0" t="n">
        <v>0.0049726797235467</v>
      </c>
      <c r="F151" s="0" t="n">
        <v>-0.0003173164796703</v>
      </c>
      <c r="G151" s="0" t="n">
        <v>0.0030045141218666</v>
      </c>
      <c r="H151" s="0" t="n">
        <v>-0.014586954157953</v>
      </c>
      <c r="I151" s="0" t="n">
        <v>-0.0115704054787748</v>
      </c>
      <c r="J151" s="0" t="n">
        <v>-0.0043636044470345</v>
      </c>
      <c r="K151" s="0" t="n">
        <v>-0.0933740817880479</v>
      </c>
      <c r="L151" s="0" t="n">
        <v>-0.0057020771194751</v>
      </c>
      <c r="M151" s="0" t="n">
        <v>-0.0048852261379841</v>
      </c>
      <c r="N151" s="0" t="n">
        <v>-0.0032137881461791</v>
      </c>
      <c r="O151" s="0" t="n">
        <v>0.008990942783742399</v>
      </c>
      <c r="P151" s="0" t="n">
        <v>-0.0123324071639463</v>
      </c>
      <c r="Q151" s="0" t="n">
        <v>-0.0157174004343014</v>
      </c>
      <c r="R151" s="0" t="n">
        <v>0.0062839664126634</v>
      </c>
      <c r="S151" s="0" t="n">
        <v>0.0145390880693669</v>
      </c>
      <c r="T151" s="0" t="n">
        <v>0.0064457541438183</v>
      </c>
      <c r="U151" s="0" t="n">
        <v>-0.0108542053977087</v>
      </c>
      <c r="V151" s="0" t="n">
        <v>-0.0069274561249672</v>
      </c>
      <c r="W151" s="0" t="n">
        <v>-0.0011893586546651</v>
      </c>
      <c r="X151" s="0" t="n">
        <v>0.0050537014755134</v>
      </c>
    </row>
    <row r="152">
      <c r="A152" s="0" t="inlineStr">
        <is>
          <t>2018-08-07</t>
        </is>
      </c>
      <c r="B152" s="0" t="n">
        <v>-0.0008165711217902</v>
      </c>
      <c r="C152" s="0" t="n">
        <v>-0.0083937865265246</v>
      </c>
      <c r="D152" s="0" t="n">
        <v>0.0032319131323568</v>
      </c>
      <c r="E152" s="0" t="n">
        <v>-0.0029806015907007</v>
      </c>
      <c r="F152" s="0" t="n">
        <v>0.009161302761357</v>
      </c>
      <c r="G152" s="0" t="n">
        <v>0.0201293912347786</v>
      </c>
      <c r="H152" s="0" t="n">
        <v>-0.016461260579387</v>
      </c>
      <c r="I152" s="0" t="n">
        <v>0.0082782246008155</v>
      </c>
      <c r="J152" s="0" t="n">
        <v>0.0130341709323005</v>
      </c>
      <c r="K152" s="0" t="n">
        <v>0.0162502558924835</v>
      </c>
      <c r="L152" s="0" t="n">
        <v>-0.0028632777223767</v>
      </c>
      <c r="M152" s="0" t="n">
        <v>0.0138603968399673</v>
      </c>
      <c r="N152" s="0" t="n">
        <v>-0.0053791669943596</v>
      </c>
      <c r="O152" s="0" t="n">
        <v>-0.0012353588417228</v>
      </c>
      <c r="P152" s="0" t="n">
        <v>-0.0117475542450513</v>
      </c>
      <c r="Q152" s="0" t="n">
        <v>0.0098522399742357</v>
      </c>
      <c r="R152" s="0" t="n">
        <v>0.040718112785977</v>
      </c>
      <c r="S152" s="0" t="n">
        <v>-0.0031624012847544</v>
      </c>
      <c r="T152" s="0" t="n">
        <v>0.0059482745879098</v>
      </c>
      <c r="U152" s="0" t="n">
        <v>-0.016078889970962</v>
      </c>
      <c r="V152" s="0" t="n">
        <v>0.0199754631751112</v>
      </c>
      <c r="W152" s="0" t="n">
        <v>0.0062706575636815</v>
      </c>
      <c r="X152" s="0" t="n">
        <v>0.013145731679002</v>
      </c>
    </row>
    <row r="153">
      <c r="A153" s="0" t="inlineStr">
        <is>
          <t>2018-08-08</t>
        </is>
      </c>
      <c r="B153" s="0" t="n">
        <v>-0.0145376975101516</v>
      </c>
      <c r="C153" s="0" t="n">
        <v>-0.008464838998762001</v>
      </c>
      <c r="D153" s="0" t="n">
        <v>-0.0007824924787254</v>
      </c>
      <c r="E153" s="0" t="n">
        <v>-0.0140283205391464</v>
      </c>
      <c r="F153" s="0" t="n">
        <v>-0.0063091331296312</v>
      </c>
      <c r="G153" s="0" t="n">
        <v>-0.0261474737942712</v>
      </c>
      <c r="H153" s="0" t="n">
        <v>-0.0209651677012399</v>
      </c>
      <c r="I153" s="0" t="n">
        <v>-0.0074472956781725</v>
      </c>
      <c r="J153" s="0" t="n">
        <v>0.0071685169224779</v>
      </c>
      <c r="K153" s="0" t="n">
        <v>0.0006278663697141</v>
      </c>
      <c r="L153" s="0" t="n">
        <v>-0.0232062404899311</v>
      </c>
      <c r="M153" s="0" t="n">
        <v>-0.0099503271683603</v>
      </c>
      <c r="N153" s="0" t="n">
        <v>0.123162202650743</v>
      </c>
      <c r="O153" s="0" t="n">
        <v>0.0040092902904476</v>
      </c>
      <c r="P153" s="0" t="n">
        <v>-0.0059259376160945</v>
      </c>
      <c r="Q153" s="0" t="n">
        <v>-0.0098522399742357</v>
      </c>
      <c r="R153" s="0" t="n">
        <v>0.0058505583311312</v>
      </c>
      <c r="S153" s="0" t="n">
        <v>-0.0187262763237008</v>
      </c>
      <c r="T153" s="0" t="n">
        <v>-0.001369581908273</v>
      </c>
      <c r="U153" s="0" t="n">
        <v>0.01035400238435</v>
      </c>
      <c r="V153" s="0" t="n">
        <v>-0.0106934921412849</v>
      </c>
      <c r="W153" s="0" t="n">
        <v>-0.012752022117894</v>
      </c>
      <c r="X153" s="0" t="n">
        <v>-0.0093721159269155</v>
      </c>
    </row>
    <row r="154">
      <c r="A154" s="0" t="inlineStr">
        <is>
          <t>2018-08-09</t>
        </is>
      </c>
      <c r="B154" s="0" t="n">
        <v>-0.0020052455806327</v>
      </c>
      <c r="C154" s="0" t="n">
        <v>-0.0132246312127106</v>
      </c>
      <c r="D154" s="0" t="n">
        <v>0.0005869454079414</v>
      </c>
      <c r="E154" s="0" t="n">
        <v>-0.0173032387892497</v>
      </c>
      <c r="F154" s="0" t="n">
        <v>-0.0130595849222618</v>
      </c>
      <c r="G154" s="0" t="n">
        <v>0.0106738738451368</v>
      </c>
      <c r="H154" s="0" t="n">
        <v>-0.0468429257710036</v>
      </c>
      <c r="I154" s="0" t="n">
        <v>-0.0108560661568586</v>
      </c>
      <c r="J154" s="0" t="n">
        <v>-0.005730669228098</v>
      </c>
      <c r="K154" s="0" t="n">
        <v>-0.0262838504721056</v>
      </c>
      <c r="L154" s="0" t="n">
        <v>-0.0177650687613768</v>
      </c>
      <c r="M154" s="0" t="n">
        <v>-0.0017087687439549</v>
      </c>
      <c r="N154" s="0" t="n">
        <v>0.0193630541740539</v>
      </c>
      <c r="O154" s="0" t="n">
        <v>-0.0071043806743227</v>
      </c>
      <c r="P154" s="0" t="n">
        <v>0.0044477774223965</v>
      </c>
      <c r="Q154" s="0" t="n">
        <v>-0.0301530564772256</v>
      </c>
      <c r="R154" s="0" t="n">
        <v>0.006975807205948</v>
      </c>
      <c r="S154" s="0" t="n">
        <v>-0.0366238433179018</v>
      </c>
      <c r="T154" s="0" t="n">
        <v>0</v>
      </c>
      <c r="U154" s="0" t="n">
        <v>-0.0028748135633227</v>
      </c>
      <c r="V154" s="0" t="n">
        <v>-0.0037024176545239</v>
      </c>
      <c r="W154" s="0" t="n">
        <v>-0.0066958683822351</v>
      </c>
      <c r="X154" s="0" t="n">
        <v>-0.0056657470599028</v>
      </c>
    </row>
    <row r="155">
      <c r="A155" s="0" t="inlineStr">
        <is>
          <t>2018-08-10</t>
        </is>
      </c>
      <c r="B155" s="0" t="n">
        <v>-0.0123264139395526</v>
      </c>
      <c r="C155" s="0" t="n">
        <v>-0.0253779866212573</v>
      </c>
      <c r="D155" s="0" t="n">
        <v>0.0018564902409607</v>
      </c>
      <c r="E155" s="0" t="n">
        <v>-0.0291687070590449</v>
      </c>
      <c r="F155" s="0" t="n">
        <v>-0.0230268319424791</v>
      </c>
      <c r="G155" s="0" t="n">
        <v>-0.0083292170718785</v>
      </c>
      <c r="H155" s="0" t="n">
        <v>-0.0044503813775769</v>
      </c>
      <c r="I155" s="0" t="n">
        <v>-0.0332936755512887</v>
      </c>
      <c r="J155" s="0" t="n">
        <v>-0.0014378476943799</v>
      </c>
      <c r="K155" s="0" t="n">
        <v>-0.0407683782357328</v>
      </c>
      <c r="L155" s="0" t="n">
        <v>-0.0014948027889949</v>
      </c>
      <c r="M155" s="0" t="n">
        <v>-0.0029361148917934</v>
      </c>
      <c r="N155" s="0" t="n">
        <v>0.0231170728538923</v>
      </c>
      <c r="O155" s="0" t="n">
        <v>-0.0015510857483045</v>
      </c>
      <c r="P155" s="0" t="n">
        <v>-0.0277483748584086</v>
      </c>
      <c r="Q155" s="0" t="n">
        <v>-0.0020429483961008</v>
      </c>
      <c r="R155" s="0" t="n">
        <v>0.0064958285190979</v>
      </c>
      <c r="S155" s="0" t="n">
        <v>-0.005755360236348</v>
      </c>
      <c r="T155" s="0" t="n">
        <v>-0.0006854514084268999</v>
      </c>
      <c r="U155" s="0" t="n">
        <v>-0.0011861340973506</v>
      </c>
      <c r="V155" s="0" t="n">
        <v>0.0018528902139047</v>
      </c>
      <c r="W155" s="0" t="n">
        <v>-0.0076085206622682</v>
      </c>
      <c r="X155" s="0" t="n">
        <v>-0.008240941323626801</v>
      </c>
    </row>
    <row r="156">
      <c r="A156" s="0" t="inlineStr">
        <is>
          <t>2018-08-13</t>
        </is>
      </c>
      <c r="B156" s="0" t="n">
        <v>0.0045443073262694</v>
      </c>
      <c r="C156" s="0" t="n">
        <v>-0.0080645904768683</v>
      </c>
      <c r="D156" s="0" t="n">
        <v>0</v>
      </c>
      <c r="E156" s="0" t="n">
        <v>0.0042194115102587</v>
      </c>
      <c r="F156" s="0" t="n">
        <v>0.0101192758710242</v>
      </c>
      <c r="G156" s="0" t="n">
        <v>0.0185620633354672</v>
      </c>
      <c r="H156" s="0" t="n">
        <v>0.0246708314535641</v>
      </c>
      <c r="I156" s="0" t="n">
        <v>-0.0148669174670956</v>
      </c>
      <c r="J156" s="0" t="n">
        <v>0.0014378476943799</v>
      </c>
      <c r="K156" s="0" t="n">
        <v>-0.0864014112385727</v>
      </c>
      <c r="L156" s="0" t="n">
        <v>0.0199932950312842</v>
      </c>
      <c r="M156" s="0" t="n">
        <v>-0.0024534430426759</v>
      </c>
      <c r="N156" s="0" t="n">
        <v>0.0217007363858878</v>
      </c>
      <c r="O156" s="0" t="n">
        <v>0.0009310347806432</v>
      </c>
      <c r="P156" s="0" t="n">
        <v>0.0075758228175626</v>
      </c>
      <c r="Q156" s="0" t="n">
        <v>0.0242436845985485</v>
      </c>
      <c r="R156" s="0" t="n">
        <v>0.0266909270129538</v>
      </c>
      <c r="S156" s="0" t="n">
        <v>-0.014535194826438</v>
      </c>
      <c r="T156" s="0" t="n">
        <v>0.0056980211146377</v>
      </c>
      <c r="U156" s="0" t="n">
        <v>0.0038920354555145</v>
      </c>
      <c r="V156" s="0" t="n">
        <v>0.0090468187464285</v>
      </c>
      <c r="W156" s="0" t="n">
        <v>0.007952999789815699</v>
      </c>
      <c r="X156" s="0" t="n">
        <v>0.0139066883835297</v>
      </c>
    </row>
    <row r="157">
      <c r="A157" s="0" t="inlineStr">
        <is>
          <t>2018-08-14</t>
        </is>
      </c>
      <c r="B157" s="0" t="n">
        <v>0.0038291761452065</v>
      </c>
      <c r="C157" s="0" t="n">
        <v>-0.0105821093305369</v>
      </c>
      <c r="D157" s="0" t="n">
        <v>0.008650482782846801</v>
      </c>
      <c r="E157" s="0" t="n">
        <v>-0.0052770772844277</v>
      </c>
      <c r="F157" s="0" t="n">
        <v>-0.0140640190397407</v>
      </c>
      <c r="G157" s="0" t="n">
        <v>-0.0128906526529477</v>
      </c>
      <c r="H157" s="0" t="n">
        <v>-0.0166743504420772</v>
      </c>
      <c r="I157" s="0" t="n">
        <v>-0.0533822015318943</v>
      </c>
      <c r="J157" s="0" t="n">
        <v>-0.008658054402634599</v>
      </c>
      <c r="K157" s="0" t="n">
        <v>0.1733382463046233</v>
      </c>
      <c r="L157" s="0" t="n">
        <v>-0.0526834209407267</v>
      </c>
      <c r="M157" s="0" t="n">
        <v>0.0109931672327765</v>
      </c>
      <c r="N157" s="0" t="n">
        <v>0.0049073800554353</v>
      </c>
      <c r="O157" s="0" t="n">
        <v>0.0071086540095017</v>
      </c>
      <c r="P157" s="0" t="n">
        <v>-0.046340367414412</v>
      </c>
      <c r="Q157" s="0" t="n">
        <v>-0.0060060659151908</v>
      </c>
      <c r="R157" s="0" t="n">
        <v>0.0036358890891072</v>
      </c>
      <c r="S157" s="0" t="n">
        <v>-0.0197147646583326</v>
      </c>
      <c r="T157" s="0" t="n">
        <v>-0.0031868770126148</v>
      </c>
      <c r="U157" s="0" t="n">
        <v>0.0162496451916416</v>
      </c>
      <c r="V157" s="0" t="n">
        <v>0.0049908478829792</v>
      </c>
      <c r="W157" s="0" t="n">
        <v>-0.0013785632962273</v>
      </c>
      <c r="X157" s="0" t="n">
        <v>-0.0012563103202518</v>
      </c>
    </row>
    <row r="158">
      <c r="A158" s="0" t="inlineStr">
        <is>
          <t>2018-08-15</t>
        </is>
      </c>
      <c r="B158" s="0" t="n">
        <v>0.009887670362343301</v>
      </c>
      <c r="C158" s="0" t="n">
        <v>0.0065253334459614</v>
      </c>
      <c r="D158" s="0" t="n">
        <v>0.0099186981703285</v>
      </c>
      <c r="E158" s="0" t="n">
        <v>0.0063291793027215</v>
      </c>
      <c r="F158" s="0" t="n">
        <v>0.0117879132964939</v>
      </c>
      <c r="G158" s="0" t="n">
        <v>0.0155144626791909</v>
      </c>
      <c r="H158" s="0" t="n">
        <v>-0.0017714779649518</v>
      </c>
      <c r="I158" s="0" t="n">
        <v>-0.0349917378504729</v>
      </c>
      <c r="J158" s="0" t="n">
        <v>0.0057803573391554</v>
      </c>
      <c r="K158" s="0" t="n">
        <v>-0.026180578707986</v>
      </c>
      <c r="L158" s="0" t="n">
        <v>-0.0147919850404441</v>
      </c>
      <c r="M158" s="0" t="n">
        <v>0.0062969045017591</v>
      </c>
      <c r="N158" s="0" t="n">
        <v>0.0375590271242161</v>
      </c>
      <c r="O158" s="0" t="n">
        <v>0.0189145028352668</v>
      </c>
      <c r="P158" s="0" t="n">
        <v>-0.0079365042420294</v>
      </c>
      <c r="Q158" s="0" t="n">
        <v>-0.024391429482077</v>
      </c>
      <c r="R158" s="0" t="n">
        <v>0.021541810603777</v>
      </c>
      <c r="S158" s="0" t="n">
        <v>0.0089197966251584</v>
      </c>
      <c r="T158" s="0" t="n">
        <v>0.0292089789969867</v>
      </c>
      <c r="U158" s="0" t="n">
        <v>0.0107430421608434</v>
      </c>
      <c r="V158" s="0" t="n">
        <v>0.0140070230461688</v>
      </c>
      <c r="W158" s="0" t="n">
        <v>0.0114874501156574</v>
      </c>
      <c r="X158" s="0" t="n">
        <v>0.0056408894807766</v>
      </c>
    </row>
    <row r="159">
      <c r="A159" s="0" t="inlineStr">
        <is>
          <t>2018-08-16</t>
        </is>
      </c>
      <c r="B159" s="0" t="n">
        <v>0.0049416794852268</v>
      </c>
      <c r="C159" s="0" t="n">
        <v>0</v>
      </c>
      <c r="D159" s="0" t="n">
        <v>0.0113383370901933</v>
      </c>
      <c r="E159" s="0" t="n">
        <v>0.0041972738400866</v>
      </c>
      <c r="F159" s="0" t="n">
        <v>0.0006508447369872</v>
      </c>
      <c r="G159" s="0" t="n">
        <v>0.0265044500093911</v>
      </c>
      <c r="H159" s="0" t="n">
        <v>-0.0251359490607585</v>
      </c>
      <c r="I159" s="0" t="n">
        <v>0.0331312296148489</v>
      </c>
      <c r="J159" s="0" t="n">
        <v>0.0043134119070677</v>
      </c>
      <c r="K159" s="0" t="n">
        <v>0.0452751798470267</v>
      </c>
      <c r="L159" s="0" t="n">
        <v>0.0194180858571018</v>
      </c>
      <c r="M159" s="0" t="n">
        <v>0.0160463746473364</v>
      </c>
      <c r="N159" s="0" t="n">
        <v>0.0064088927008669</v>
      </c>
      <c r="O159" s="0" t="n">
        <v>-0.0018149240995284</v>
      </c>
      <c r="P159" s="0" t="n">
        <v>0.001592317548261</v>
      </c>
      <c r="Q159" s="0" t="n">
        <v>0.0102354453449635</v>
      </c>
      <c r="R159" s="0" t="n">
        <v>0.0065360168123751</v>
      </c>
      <c r="S159" s="0" t="n">
        <v>-0.0244706221385211</v>
      </c>
      <c r="T159" s="0" t="n">
        <v>0.0155995494207434</v>
      </c>
      <c r="U159" s="0" t="n">
        <v>0.002790745739519</v>
      </c>
      <c r="V159" s="0" t="n">
        <v>-0.0036065812979328</v>
      </c>
      <c r="W159" s="0" t="n">
        <v>0.0034036922267945</v>
      </c>
      <c r="X159" s="0" t="n">
        <v>0.0062305734444079</v>
      </c>
    </row>
    <row r="160">
      <c r="A160" s="0" t="inlineStr">
        <is>
          <t>2018-08-17</t>
        </is>
      </c>
      <c r="B160" s="0" t="n">
        <v>0.0030761685429077</v>
      </c>
      <c r="C160" s="0" t="n">
        <v>0</v>
      </c>
      <c r="D160" s="0" t="n">
        <v>0.0025547313848308</v>
      </c>
      <c r="E160" s="0" t="n">
        <v>0.0176444714795711</v>
      </c>
      <c r="F160" s="0" t="n">
        <v>0.004220135035402</v>
      </c>
      <c r="G160" s="0" t="n">
        <v>0.0015936015184672</v>
      </c>
      <c r="H160" s="0" t="n">
        <v>-0.019275540834398</v>
      </c>
      <c r="I160" s="0" t="n">
        <v>0.0046447079650824</v>
      </c>
      <c r="J160" s="0" t="n">
        <v>-0.0028735625379685</v>
      </c>
      <c r="K160" s="0" t="n">
        <v>0.1647298284793723</v>
      </c>
      <c r="L160" s="0" t="n">
        <v>0.0023050131818318</v>
      </c>
      <c r="M160" s="0" t="n">
        <v>0.0056859113817417</v>
      </c>
      <c r="N160" s="0" t="n">
        <v>0.0160544667863065</v>
      </c>
      <c r="O160" s="0" t="n">
        <v>0.0024191675479183</v>
      </c>
      <c r="P160" s="0" t="n">
        <v>-0.0063846925117716</v>
      </c>
      <c r="Q160" s="0" t="n">
        <v>-0.0102354453449635</v>
      </c>
      <c r="R160" s="0" t="n">
        <v>0.0126772085116373</v>
      </c>
      <c r="S160" s="0" t="n">
        <v>0.0030287486389521</v>
      </c>
      <c r="T160" s="0" t="n">
        <v>0.0076013459335704</v>
      </c>
      <c r="U160" s="0" t="n">
        <v>-0.000163920344586</v>
      </c>
      <c r="V160" s="0" t="n">
        <v>-0.009405228956222899</v>
      </c>
      <c r="W160" s="0" t="n">
        <v>0.0028840153983553</v>
      </c>
      <c r="X160" s="0" t="n">
        <v>0.000620939391196</v>
      </c>
    </row>
    <row r="161">
      <c r="A161" s="0" t="inlineStr">
        <is>
          <t>2018-08-20</t>
        </is>
      </c>
      <c r="B161" s="0" t="n">
        <v>-0.0036925185145948</v>
      </c>
      <c r="C161" s="0" t="n">
        <v>0.0264756552136815</v>
      </c>
      <c r="D161" s="0" t="n">
        <v>-0.0071127427958872</v>
      </c>
      <c r="E161" s="0" t="n">
        <v>0.0143004878503445</v>
      </c>
      <c r="F161" s="0" t="n">
        <v>0.0048473068053231</v>
      </c>
      <c r="G161" s="0" t="n">
        <v>-0.0012746658205418</v>
      </c>
      <c r="H161" s="0" t="n">
        <v>-0.0310612913546735</v>
      </c>
      <c r="I161" s="0" t="n">
        <v>0.0073869148703318</v>
      </c>
      <c r="J161" s="0" t="n">
        <v>-0.0014398493690992</v>
      </c>
      <c r="K161" s="0" t="n">
        <v>0.07081143827469839</v>
      </c>
      <c r="L161" s="0" t="n">
        <v>-0.0146890604977616</v>
      </c>
      <c r="M161" s="0" t="n">
        <v>-0.004024197175648</v>
      </c>
      <c r="N161" s="0" t="n">
        <v>0.0050166882596691</v>
      </c>
      <c r="O161" s="0" t="n">
        <v>0.0087205756744408</v>
      </c>
      <c r="P161" s="0" t="n">
        <v>0.01430869454239</v>
      </c>
      <c r="Q161" s="0" t="n">
        <v>-0.0292297102379601</v>
      </c>
      <c r="R161" s="0" t="n">
        <v>-0.012541466690922</v>
      </c>
      <c r="S161" s="0" t="n">
        <v>0.0229207389168681</v>
      </c>
      <c r="T161" s="0" t="n">
        <v>-0.009565343397076801</v>
      </c>
      <c r="U161" s="0" t="n">
        <v>-0.0175327242664273</v>
      </c>
      <c r="V161" s="0" t="n">
        <v>-0.0039866807075998</v>
      </c>
      <c r="W161" s="0" t="n">
        <v>-0.0011865362200884</v>
      </c>
      <c r="X161" s="0" t="n">
        <v>0.0061880441930282</v>
      </c>
    </row>
    <row r="162">
      <c r="A162" s="0" t="inlineStr">
        <is>
          <t>2018-08-21</t>
        </is>
      </c>
      <c r="B162" s="0" t="n">
        <v>-0.0050135451377615</v>
      </c>
      <c r="C162" s="0" t="n">
        <v>-0.0127491460019522</v>
      </c>
      <c r="D162" s="0" t="n">
        <v>-0.0003807797839243</v>
      </c>
      <c r="E162" s="0" t="n">
        <v>-0.0173917511962145</v>
      </c>
      <c r="F162" s="0" t="n">
        <v>-0.0012903522928224</v>
      </c>
      <c r="G162" s="0" t="n">
        <v>0.0120444929421665</v>
      </c>
      <c r="H162" s="0" t="n">
        <v>0.0142384804548842</v>
      </c>
      <c r="I162" s="0" t="n">
        <v>0.0272249293063895</v>
      </c>
      <c r="J162" s="0" t="n">
        <v>0.008608366291577201</v>
      </c>
      <c r="K162" s="0" t="n">
        <v>-0.0157029425298012</v>
      </c>
      <c r="L162" s="0" t="n">
        <v>0.0215724646477051</v>
      </c>
      <c r="M162" s="0" t="n">
        <v>-0.0021370102654199</v>
      </c>
      <c r="N162" s="0" t="n">
        <v>-0.0672667094630186</v>
      </c>
      <c r="O162" s="0" t="n">
        <v>-0.0217926663375442</v>
      </c>
      <c r="P162" s="0" t="n">
        <v>0.0210862562902098</v>
      </c>
      <c r="Q162" s="0" t="n">
        <v>-0.0106496671287026</v>
      </c>
      <c r="R162" s="0" t="n">
        <v>0.0029810484353456</v>
      </c>
      <c r="S162" s="0" t="n">
        <v>0.0068729429990499</v>
      </c>
      <c r="T162" s="0" t="n">
        <v>0.0045767301883046</v>
      </c>
      <c r="U162" s="0" t="n">
        <v>-0.0102307074371346</v>
      </c>
      <c r="V162" s="0" t="n">
        <v>0.0081226780216372</v>
      </c>
      <c r="W162" s="0" t="n">
        <v>0.0035553933898011</v>
      </c>
      <c r="X162" s="0" t="n">
        <v>0</v>
      </c>
    </row>
    <row r="163">
      <c r="A163" s="0" t="inlineStr">
        <is>
          <t>2018-08-22</t>
        </is>
      </c>
      <c r="B163" s="0" t="n">
        <v>0.0008945984819499</v>
      </c>
      <c r="C163" s="0" t="n">
        <v>0.0055977570557743</v>
      </c>
      <c r="D163" s="0" t="n">
        <v>-0.002001421549667</v>
      </c>
      <c r="E163" s="0" t="n">
        <v>-0.0062111449047508</v>
      </c>
      <c r="F163" s="0" t="n">
        <v>-0.0045292665697642</v>
      </c>
      <c r="G163" s="0" t="n">
        <v>0.0177991144528819</v>
      </c>
      <c r="H163" s="0" t="n">
        <v>-0.0492615519395058</v>
      </c>
      <c r="I163" s="0" t="n">
        <v>-0.0336854681205549</v>
      </c>
      <c r="J163" s="0" t="n">
        <v>-0.0143887236307327</v>
      </c>
      <c r="K163" s="0" t="n">
        <v>-0.010063353500735</v>
      </c>
      <c r="L163" s="0" t="n">
        <v>-0.0145875584073977</v>
      </c>
      <c r="M163" s="0" t="n">
        <v>0.0030853487726703</v>
      </c>
      <c r="N163" s="0" t="n">
        <v>0.0172455918360308</v>
      </c>
      <c r="O163" s="0" t="n">
        <v>-0.0058308779880711</v>
      </c>
      <c r="P163" s="0" t="n">
        <v>-0.0108780708181464</v>
      </c>
      <c r="Q163" s="0" t="n">
        <v>-0.0172790307018366</v>
      </c>
      <c r="R163" s="0" t="n">
        <v>-0.0036598382684589</v>
      </c>
      <c r="S163" s="0" t="n">
        <v>-0.009832958352693001</v>
      </c>
      <c r="T163" s="0" t="n">
        <v>0.0006520765061046</v>
      </c>
      <c r="U163" s="0" t="n">
        <v>0.0083935359750713</v>
      </c>
      <c r="V163" s="0" t="n">
        <v>-0.0079562750692989</v>
      </c>
      <c r="W163" s="0" t="n">
        <v>-0.009338708681199501</v>
      </c>
      <c r="X163" s="0" t="n">
        <v>-0.0018523487767709</v>
      </c>
    </row>
    <row r="164">
      <c r="A164" s="0" t="inlineStr">
        <is>
          <t>2018-08-23</t>
        </is>
      </c>
      <c r="B164" s="0" t="n">
        <v>0.0045983279652652</v>
      </c>
      <c r="C164" s="0" t="n">
        <v>-0.0031949030451432</v>
      </c>
      <c r="D164" s="0" t="n">
        <v>0.009022303139317</v>
      </c>
      <c r="E164" s="0" t="n">
        <v>0.0051786951210828</v>
      </c>
      <c r="F164" s="0" t="n">
        <v>0.0016199335287625</v>
      </c>
      <c r="G164" s="0" t="n">
        <v>-0.0349587030713727</v>
      </c>
      <c r="H164" s="0" t="n">
        <v>0.0078896503012575</v>
      </c>
      <c r="I164" s="0" t="n">
        <v>0.0318933119027864</v>
      </c>
      <c r="J164" s="0" t="n">
        <v>0.008658054402634599</v>
      </c>
      <c r="K164" s="0" t="n">
        <v>0.0723586030517642</v>
      </c>
      <c r="L164" s="0" t="n">
        <v>0.0221806382364766</v>
      </c>
      <c r="M164" s="0" t="n">
        <v>0.0047281591045216</v>
      </c>
      <c r="N164" s="0" t="n">
        <v>-0.0026338674860264</v>
      </c>
      <c r="O164" s="0" t="n">
        <v>0.0046061100543743</v>
      </c>
      <c r="P164" s="0" t="n">
        <v>0.0147346272359265</v>
      </c>
      <c r="Q164" s="0" t="n">
        <v>0.0151353580773692</v>
      </c>
      <c r="R164" s="0" t="n">
        <v>0.0059572669786227</v>
      </c>
      <c r="S164" s="0" t="n">
        <v>0.0122761179695181</v>
      </c>
      <c r="T164" s="0" t="n">
        <v>0.0064977321220367</v>
      </c>
      <c r="U164" s="0" t="n">
        <v>-0.0175384078767848</v>
      </c>
      <c r="V164" s="0" t="n">
        <v>-0.0019989833495106</v>
      </c>
      <c r="W164" s="0" t="n">
        <v>0.0011934141094371</v>
      </c>
      <c r="X164" s="0" t="n">
        <v>0.0018523487767709</v>
      </c>
    </row>
    <row r="165">
      <c r="A165" s="0" t="inlineStr">
        <is>
          <t>2018-08-24</t>
        </is>
      </c>
      <c r="B165" s="0" t="n">
        <v>0.0044410223283364</v>
      </c>
      <c r="C165" s="0" t="n">
        <v>0.0213699897603407</v>
      </c>
      <c r="D165" s="0" t="n">
        <v>-0.0062594669598583</v>
      </c>
      <c r="E165" s="0" t="n">
        <v>0.0315226369344583</v>
      </c>
      <c r="F165" s="0" t="n">
        <v>0.0135050311096023</v>
      </c>
      <c r="G165" s="0" t="n">
        <v>-0.0003205715261929</v>
      </c>
      <c r="H165" s="0" t="n">
        <v>0.0319021428811119</v>
      </c>
      <c r="I165" s="0" t="n">
        <v>0.0142478635358207</v>
      </c>
      <c r="J165" s="0" t="n">
        <v>0.0085837354934836</v>
      </c>
      <c r="K165" s="0" t="n">
        <v>0.0745413989463614</v>
      </c>
      <c r="L165" s="0" t="n">
        <v>0.0276033847686152</v>
      </c>
      <c r="M165" s="0" t="n">
        <v>-0.0195290717588463</v>
      </c>
      <c r="N165" s="0" t="n">
        <v>0.0052608993335496</v>
      </c>
      <c r="O165" s="0" t="n">
        <v>0.0058042758909153</v>
      </c>
      <c r="P165" s="0" t="n">
        <v>0.006139691224138</v>
      </c>
      <c r="Q165" s="0" t="n">
        <v>0.0064171792653406</v>
      </c>
      <c r="R165" s="0" t="n">
        <v>0.0118090106614374</v>
      </c>
      <c r="S165" s="0" t="n">
        <v>0</v>
      </c>
      <c r="T165" s="0" t="n">
        <v>0.0058121024275106</v>
      </c>
      <c r="U165" s="0" t="n">
        <v>0.0039052524018581</v>
      </c>
      <c r="V165" s="0" t="n">
        <v>0.0006667294959878</v>
      </c>
      <c r="W165" s="0" t="n">
        <v>0.0069615674222784</v>
      </c>
      <c r="X165" s="0" t="n">
        <v>0.0036946700979765</v>
      </c>
    </row>
    <row r="166">
      <c r="A166" s="0" t="inlineStr">
        <is>
          <t>2018-08-27</t>
        </is>
      </c>
      <c r="B166" s="0" t="n">
        <v>-0.0006819838230223</v>
      </c>
      <c r="C166" s="0" t="n">
        <v>-0.0007833562763188</v>
      </c>
      <c r="D166" s="0" t="n">
        <v>0.0006657444206084</v>
      </c>
      <c r="E166" s="0" t="n">
        <v>0.0020000464430798</v>
      </c>
      <c r="F166" s="0" t="n">
        <v>-0.0012783321724016</v>
      </c>
      <c r="G166" s="0" t="n">
        <v>-0.0025682172137417</v>
      </c>
      <c r="H166" s="0" t="n">
        <v>-0.0153406504487179</v>
      </c>
      <c r="I166" s="0" t="n">
        <v>-0.0160431516597601</v>
      </c>
      <c r="J166" s="0" t="n">
        <v>-0.0028530662653856</v>
      </c>
      <c r="K166" s="0" t="n">
        <v>-0.073025136032468</v>
      </c>
      <c r="L166" s="0" t="n">
        <v>-0.0110989355174839</v>
      </c>
      <c r="M166" s="0" t="n">
        <v>-0.0019258992301227</v>
      </c>
      <c r="N166" s="0" t="n">
        <v>-0.0163107355201348</v>
      </c>
      <c r="O166" s="0" t="n">
        <v>-0.0048856177213232</v>
      </c>
      <c r="P166" s="0" t="n">
        <v>-0.0053701468252604</v>
      </c>
      <c r="Q166" s="0" t="n">
        <v>-0.0172047086882456</v>
      </c>
      <c r="R166" s="0" t="n">
        <v>-0.0005337725808658</v>
      </c>
      <c r="S166" s="0" t="n">
        <v>0.0048685773700829</v>
      </c>
      <c r="T166" s="0" t="n">
        <v>0.0076972928004868</v>
      </c>
      <c r="U166" s="0" t="n">
        <v>-0.0095351916543746</v>
      </c>
      <c r="V166" s="0" t="n">
        <v>0.0026626717692677</v>
      </c>
      <c r="W166" s="0" t="n">
        <v>-0.0005077224406555</v>
      </c>
      <c r="X166" s="0" t="n">
        <v>0</v>
      </c>
    </row>
    <row r="167">
      <c r="A167" s="0" t="inlineStr">
        <is>
          <t>2018-08-28</t>
        </is>
      </c>
      <c r="B167" s="0" t="n">
        <v>0.0064597306307989</v>
      </c>
      <c r="C167" s="0" t="n">
        <v>0.0163237438442571</v>
      </c>
      <c r="D167" s="0" t="n">
        <v>0.0014251251697707</v>
      </c>
      <c r="E167" s="0" t="n">
        <v>-0.0040040054354699</v>
      </c>
      <c r="F167" s="0" t="n">
        <v>-0.0041660393032092</v>
      </c>
      <c r="G167" s="0" t="n">
        <v>-0.0139183440825747</v>
      </c>
      <c r="H167" s="0" t="n">
        <v>0.0172417898961183</v>
      </c>
      <c r="I167" s="0" t="n">
        <v>-0.0026990328847262</v>
      </c>
      <c r="J167" s="0" t="n">
        <v>0.0141846215599237</v>
      </c>
      <c r="K167" s="0" t="n">
        <v>0.0652485215973912</v>
      </c>
      <c r="L167" s="0" t="n">
        <v>0</v>
      </c>
      <c r="M167" s="0" t="n">
        <v>0</v>
      </c>
      <c r="N167" s="0" t="n">
        <v>-0.0071365087390646</v>
      </c>
      <c r="O167" s="0" t="n">
        <v>-0.013559487941686</v>
      </c>
      <c r="P167" s="0" t="n">
        <v>0.0258176944643135</v>
      </c>
      <c r="Q167" s="0" t="n">
        <v>0.0193345821636596</v>
      </c>
      <c r="R167" s="0" t="n">
        <v>-0.006293134996441</v>
      </c>
      <c r="S167" s="0" t="n">
        <v>0.0230446848817225</v>
      </c>
      <c r="T167" s="0" t="n">
        <v>0.0112253381959646</v>
      </c>
      <c r="U167" s="0" t="n">
        <v>-0.0005134353542812</v>
      </c>
      <c r="V167" s="0" t="n">
        <v>0.015665268581654</v>
      </c>
      <c r="W167" s="0" t="n">
        <v>-0.0018639437996617</v>
      </c>
      <c r="X167" s="0" t="n">
        <v>0.0024554345223495</v>
      </c>
    </row>
    <row r="168">
      <c r="A168" s="0" t="inlineStr">
        <is>
          <t>2018-08-29</t>
        </is>
      </c>
      <c r="B168" s="0" t="n">
        <v>-0.0109722754610439</v>
      </c>
      <c r="C168" s="0" t="n">
        <v>-0.0155403875679382</v>
      </c>
      <c r="D168" s="0" t="n">
        <v>0.0014230970779633</v>
      </c>
      <c r="E168" s="0" t="n">
        <v>-0.027454744911028</v>
      </c>
      <c r="F168" s="0" t="n">
        <v>-0.0041834063123475</v>
      </c>
      <c r="G168" s="0" t="n">
        <v>0.0116657383639848</v>
      </c>
      <c r="H168" s="0" t="n">
        <v>-0.0446676470038327</v>
      </c>
      <c r="I168" s="0" t="n">
        <v>-0.0181823884470553</v>
      </c>
      <c r="J168" s="0" t="n">
        <v>-0.0056497272149671</v>
      </c>
      <c r="K168" s="0" t="n">
        <v>-0.0377512694990256</v>
      </c>
      <c r="L168" s="0" t="n">
        <v>-0.0202937823253224</v>
      </c>
      <c r="M168" s="0" t="n">
        <v>0</v>
      </c>
      <c r="N168" s="0" t="n">
        <v>-0.0299886098234907</v>
      </c>
      <c r="O168" s="0" t="n">
        <v>-0.0084125893722792</v>
      </c>
      <c r="P168" s="0" t="n">
        <v>0.0052336339890723</v>
      </c>
      <c r="Q168" s="0" t="n">
        <v>-0.0258634866660993</v>
      </c>
      <c r="R168" s="0" t="n">
        <v>0.0010739943756066</v>
      </c>
      <c r="S168" s="0" t="n">
        <v>-0.0104962467914768</v>
      </c>
      <c r="T168" s="0" t="n">
        <v>-0.0069745186585872</v>
      </c>
      <c r="U168" s="0" t="n">
        <v>0.0044406928588065</v>
      </c>
      <c r="V168" s="0" t="n">
        <v>-0.0070602101627565</v>
      </c>
      <c r="W168" s="0" t="n">
        <v>-0.0085164883307893</v>
      </c>
      <c r="X168" s="0" t="n">
        <v>-0.0030702656927013</v>
      </c>
    </row>
    <row r="169">
      <c r="A169" s="0" t="inlineStr">
        <is>
          <t>2018-08-30</t>
        </is>
      </c>
      <c r="B169" s="0" t="n">
        <v>0.0037618667090093</v>
      </c>
      <c r="C169" s="0" t="n">
        <v>0.0132246312127106</v>
      </c>
      <c r="D169" s="0" t="n">
        <v>0.0016103651944439</v>
      </c>
      <c r="E169" s="0" t="n">
        <v>-0.0229415978663269</v>
      </c>
      <c r="F169" s="0" t="n">
        <v>-0.0025831439296237</v>
      </c>
      <c r="G169" s="0" t="n">
        <v>0.0147108210214876</v>
      </c>
      <c r="H169" s="0" t="n">
        <v>0.034166367222066</v>
      </c>
      <c r="I169" s="0" t="n">
        <v>-0.0055197441500007</v>
      </c>
      <c r="J169" s="0" t="n">
        <v>0.0056497272149671</v>
      </c>
      <c r="K169" s="0" t="n">
        <v>-0.0154489248303915</v>
      </c>
      <c r="L169" s="0" t="n">
        <v>0.0022752935945145</v>
      </c>
      <c r="M169" s="0" t="n">
        <v>0.0004818226461171</v>
      </c>
      <c r="N169" s="0" t="n">
        <v>-0.0148701479813135</v>
      </c>
      <c r="O169" s="0" t="n">
        <v>-0.0006259327445183</v>
      </c>
      <c r="P169" s="0" t="n">
        <v>-0.0104948030746752</v>
      </c>
      <c r="Q169" s="0" t="n">
        <v>0.0151682586403629</v>
      </c>
      <c r="R169" s="0" t="n">
        <v>0.0094812635256902</v>
      </c>
      <c r="S169" s="0" t="n">
        <v>-0.0081869021434428</v>
      </c>
      <c r="T169" s="0" t="n">
        <v>0.0130637955428398</v>
      </c>
      <c r="U169" s="0" t="n">
        <v>-0.0027303745011897</v>
      </c>
      <c r="V169" s="0" t="n">
        <v>-0.0023094598208563</v>
      </c>
      <c r="W169" s="0" t="n">
        <v>0.000342063591475</v>
      </c>
      <c r="X169" s="0" t="n">
        <v>-0.0030798389276247</v>
      </c>
    </row>
    <row r="170">
      <c r="A170" s="0" t="inlineStr">
        <is>
          <t>2018-08-31</t>
        </is>
      </c>
      <c r="B170" s="0" t="n">
        <v>-0.0054764860554419</v>
      </c>
      <c r="C170" s="0" t="n">
        <v>-0.0210862589869105</v>
      </c>
      <c r="D170" s="0" t="n">
        <v>-0.0097969943094389</v>
      </c>
      <c r="E170" s="0" t="n">
        <v>-0.0010553325842956</v>
      </c>
      <c r="F170" s="0" t="n">
        <v>0.0067665502419713</v>
      </c>
      <c r="G170" s="0" t="n">
        <v>0.0126184520009129</v>
      </c>
      <c r="H170" s="0" t="n">
        <v>-0.0451499921581808</v>
      </c>
      <c r="I170" s="0" t="n">
        <v>-0.0559653045034567</v>
      </c>
      <c r="J170" s="0" t="n">
        <v>0.0070175994287815</v>
      </c>
      <c r="K170" s="0" t="n">
        <v>0.0178046783805623</v>
      </c>
      <c r="L170" s="0" t="n">
        <v>-0.0504961343669245</v>
      </c>
      <c r="M170" s="0" t="n">
        <v>-0.0036192952280438</v>
      </c>
      <c r="N170" s="0" t="n">
        <v>0.0065328924671117</v>
      </c>
      <c r="O170" s="0" t="n">
        <v>-0.0025078358683163</v>
      </c>
      <c r="P170" s="0" t="n">
        <v>-0.0190192109013249</v>
      </c>
      <c r="Q170" s="0" t="n">
        <v>-0.07129971571384019</v>
      </c>
      <c r="R170" s="0" t="n">
        <v>-0.0166178828364413</v>
      </c>
      <c r="S170" s="0" t="n">
        <v>0.0009666727310237</v>
      </c>
      <c r="T170" s="0" t="n">
        <v>-0.0008377155574161</v>
      </c>
      <c r="U170" s="0" t="n">
        <v>0.0100315411876996</v>
      </c>
      <c r="V170" s="0" t="n">
        <v>-0.0011567330965114</v>
      </c>
      <c r="W170" s="0" t="n">
        <v>0.0054570343155937</v>
      </c>
      <c r="X170" s="0" t="n">
        <v>0.0116530323013899</v>
      </c>
    </row>
    <row r="171">
      <c r="A171" s="0" t="inlineStr">
        <is>
          <t>2018-09-04</t>
        </is>
      </c>
      <c r="B171" s="0" t="n">
        <v>0.0067046224924407</v>
      </c>
      <c r="C171" s="0" t="n">
        <v>-0.0087198270604251</v>
      </c>
      <c r="D171" s="0" t="n">
        <v>0.0104593370872567</v>
      </c>
      <c r="E171" s="0" t="n">
        <v>0.0021096531082971</v>
      </c>
      <c r="F171" s="0" t="n">
        <v>0.0012837266115703</v>
      </c>
      <c r="G171" s="0" t="n">
        <v>0.0018790944195363</v>
      </c>
      <c r="H171" s="0" t="n">
        <v>0.0119761799328257</v>
      </c>
      <c r="I171" s="0" t="n">
        <v>-0.0078354880220858</v>
      </c>
      <c r="J171" s="0" t="n">
        <v>-0.0212022209887052</v>
      </c>
      <c r="K171" s="0" t="n">
        <v>-0.0274316559869296</v>
      </c>
      <c r="L171" s="0" t="n">
        <v>0.0055621672690588</v>
      </c>
      <c r="M171" s="0" t="n">
        <v>0.0115358058200909</v>
      </c>
      <c r="N171" s="0" t="n">
        <v>0.0069525016950326</v>
      </c>
      <c r="O171" s="0" t="n">
        <v>0.0050093982255465</v>
      </c>
      <c r="P171" s="0" t="n">
        <v>-0.0053908985219366</v>
      </c>
      <c r="Q171" s="0" t="n">
        <v>0.0160370382040819</v>
      </c>
      <c r="R171" s="0" t="n">
        <v>0.0119552689071316</v>
      </c>
      <c r="S171" s="0" t="n">
        <v>-0.0106849593087363</v>
      </c>
      <c r="T171" s="0" t="n">
        <v>-0.009684266937948599</v>
      </c>
      <c r="U171" s="0" t="n">
        <v>0.0257195353868517</v>
      </c>
      <c r="V171" s="0" t="n">
        <v>0.0118344776821777</v>
      </c>
      <c r="W171" s="0" t="n">
        <v>0.0025477979961046</v>
      </c>
      <c r="X171" s="0" t="n">
        <v>0</v>
      </c>
    </row>
    <row r="172">
      <c r="A172" s="0" t="inlineStr">
        <is>
          <t>2018-09-05</t>
        </is>
      </c>
      <c r="B172" s="0" t="n">
        <v>-0.0018427186217486</v>
      </c>
      <c r="C172" s="0" t="n">
        <v>-0.003988891351851</v>
      </c>
      <c r="D172" s="0" t="n">
        <v>-0.0033161096051479</v>
      </c>
      <c r="E172" s="0" t="n">
        <v>-0.0063424594960328</v>
      </c>
      <c r="F172" s="0" t="n">
        <v>-0.0106401107004758</v>
      </c>
      <c r="G172" s="0" t="n">
        <v>0.0185994910595446</v>
      </c>
      <c r="H172" s="0" t="n">
        <v>0.0283638027751103</v>
      </c>
      <c r="I172" s="0" t="n">
        <v>0.0029454840283973</v>
      </c>
      <c r="J172" s="0" t="n">
        <v>0.0028530662653856</v>
      </c>
      <c r="K172" s="0" t="n">
        <v>-0.0545124172075022</v>
      </c>
      <c r="L172" s="0" t="n">
        <v>0.0288969650178105</v>
      </c>
      <c r="M172" s="0" t="n">
        <v>-0.001674033563801</v>
      </c>
      <c r="N172" s="0" t="n">
        <v>0.0160370165296663</v>
      </c>
      <c r="O172" s="0" t="n">
        <v>0.0049844291828877</v>
      </c>
      <c r="P172" s="0" t="n">
        <v>-0.034567430642256</v>
      </c>
      <c r="Q172" s="0" t="n">
        <v>0.009049826732992299</v>
      </c>
      <c r="R172" s="0" t="n">
        <v>0.0156336028861323</v>
      </c>
      <c r="S172" s="0" t="n">
        <v>-0.0510877481083329</v>
      </c>
      <c r="T172" s="0" t="n">
        <v>0.0002114927900827</v>
      </c>
      <c r="U172" s="0" t="n">
        <v>0.0023056562723029</v>
      </c>
      <c r="V172" s="0" t="n">
        <v>-0.0042574509621813</v>
      </c>
      <c r="W172" s="0" t="n">
        <v>-0.0174542495489831</v>
      </c>
      <c r="X172" s="0" t="n">
        <v>-0.0036652127996421</v>
      </c>
    </row>
    <row r="173">
      <c r="A173" s="0" t="inlineStr">
        <is>
          <t>2018-09-06</t>
        </is>
      </c>
      <c r="B173" s="0" t="n">
        <v>-0.0064419250542471</v>
      </c>
      <c r="C173" s="0" t="n">
        <v>-0.0088318459855951</v>
      </c>
      <c r="D173" s="0" t="n">
        <v>0.0156311659135335</v>
      </c>
      <c r="E173" s="0" t="n">
        <v>-0.0171127000486337</v>
      </c>
      <c r="F173" s="0" t="n">
        <v>0.0003241039963914</v>
      </c>
      <c r="G173" s="0" t="n">
        <v>-0.0058525483705009</v>
      </c>
      <c r="H173" s="0" t="n">
        <v>0.0200483850221535</v>
      </c>
      <c r="I173" s="0" t="n">
        <v>0.006839366922636</v>
      </c>
      <c r="J173" s="0" t="n">
        <v>-0.0057142958138265</v>
      </c>
      <c r="K173" s="0" t="n">
        <v>-0.0152797167542699</v>
      </c>
      <c r="L173" s="0" t="n">
        <v>0.0015384970545166</v>
      </c>
      <c r="M173" s="0" t="n">
        <v>0.0100025122100841</v>
      </c>
      <c r="N173" s="0" t="n">
        <v>-0.0027309741694994</v>
      </c>
      <c r="O173" s="0" t="n">
        <v>-0.0018662952229746</v>
      </c>
      <c r="P173" s="0" t="n">
        <v>-0.0218190843900463</v>
      </c>
      <c r="Q173" s="0" t="n">
        <v>0.0134230074446501</v>
      </c>
      <c r="R173" s="0" t="n">
        <v>0.0159106279666989</v>
      </c>
      <c r="S173" s="0" t="n">
        <v>-0.0005139204210986</v>
      </c>
      <c r="T173" s="0" t="n">
        <v>-0.0048764974633637</v>
      </c>
      <c r="U173" s="0" t="n">
        <v>0.002300352447909</v>
      </c>
      <c r="V173" s="0" t="n">
        <v>0.0060532331513023</v>
      </c>
      <c r="W173" s="0" t="n">
        <v>-0.0091910604677654</v>
      </c>
      <c r="X173" s="0" t="n">
        <v>-0.0055231899944145</v>
      </c>
    </row>
    <row r="174">
      <c r="A174" s="0" t="inlineStr">
        <is>
          <t>2018-09-07</t>
        </is>
      </c>
      <c r="B174" s="0" t="n">
        <v>0.0013740775403627</v>
      </c>
      <c r="C174" s="0" t="n">
        <v>0.0088318459855951</v>
      </c>
      <c r="D174" s="0" t="n">
        <v>-0.0057156456287446</v>
      </c>
      <c r="E174" s="0" t="n">
        <v>0.0117963462597003</v>
      </c>
      <c r="F174" s="0" t="n">
        <v>-0.0012970467230002</v>
      </c>
      <c r="G174" s="0" t="n">
        <v>-0.0193393096023792</v>
      </c>
      <c r="H174" s="0" t="n">
        <v>-0.0085429959016722</v>
      </c>
      <c r="I174" s="0" t="n">
        <v>-0.0196663920883342</v>
      </c>
      <c r="J174" s="0" t="n">
        <v>0.022663838145124</v>
      </c>
      <c r="K174" s="0" t="n">
        <v>0.0240203850377724</v>
      </c>
      <c r="L174" s="0" t="n">
        <v>-0.0030792912006347</v>
      </c>
      <c r="M174" s="0" t="n">
        <v>-0.0033230361957854</v>
      </c>
      <c r="N174" s="0" t="n">
        <v>-0.0059429234621024</v>
      </c>
      <c r="O174" s="0" t="n">
        <v>0.0083708585147492</v>
      </c>
      <c r="P174" s="0" t="n">
        <v>-0.0189696032351864</v>
      </c>
      <c r="Q174" s="0" t="n">
        <v>-0.008928622191168601</v>
      </c>
      <c r="R174" s="0" t="n">
        <v>-0.0215793572430404</v>
      </c>
      <c r="S174" s="0" t="n">
        <v>-0.0218303918998103</v>
      </c>
      <c r="T174" s="0" t="n">
        <v>0.0004249991137204</v>
      </c>
      <c r="U174" s="0" t="n">
        <v>-0.0057608334445422</v>
      </c>
      <c r="V174" s="0" t="n">
        <v>-0.0073668296761271</v>
      </c>
      <c r="W174" s="0" t="n">
        <v>0.0010447077090685</v>
      </c>
      <c r="X174" s="0" t="n">
        <v>-0.0067922837500264</v>
      </c>
    </row>
    <row r="175">
      <c r="A175" s="0" t="inlineStr">
        <is>
          <t>2018-09-10</t>
        </is>
      </c>
      <c r="B175" s="0" t="n">
        <v>0.0057507627401554</v>
      </c>
      <c r="C175" s="0" t="n">
        <v>-0.014492982997051</v>
      </c>
      <c r="D175" s="0" t="n">
        <v>-0.0073564303110211</v>
      </c>
      <c r="E175" s="0" t="n">
        <v>-0.0074906388580715</v>
      </c>
      <c r="F175" s="0" t="n">
        <v>0.0009729427266087</v>
      </c>
      <c r="G175" s="0" t="n">
        <v>-0.0114033739289789</v>
      </c>
      <c r="H175" s="0" t="n">
        <v>-0.0478373541651455</v>
      </c>
      <c r="I175" s="0" t="n">
        <v>-0.0009934700420366001</v>
      </c>
      <c r="J175" s="0" t="n">
        <v>0.0055866014998664</v>
      </c>
      <c r="K175" s="0" t="n">
        <v>0.0906965453343386</v>
      </c>
      <c r="L175" s="0" t="n">
        <v>-0.0218247702569671</v>
      </c>
      <c r="M175" s="0" t="n">
        <v>0.0059262942644964</v>
      </c>
      <c r="N175" s="0" t="n">
        <v>0.0315911093599337</v>
      </c>
      <c r="O175" s="0" t="n">
        <v>0.0086074552265911</v>
      </c>
      <c r="P175" s="0" t="n">
        <v>0.0206022940275598</v>
      </c>
      <c r="Q175" s="0" t="n">
        <v>-0.0181000240686877</v>
      </c>
      <c r="R175" s="0" t="n">
        <v>0.0011891917322968</v>
      </c>
      <c r="S175" s="0" t="n">
        <v>-0.0121598881363058</v>
      </c>
      <c r="T175" s="0" t="n">
        <v>-0.0008501789284882</v>
      </c>
      <c r="U175" s="0" t="n">
        <v>-0.0184928315796195</v>
      </c>
      <c r="V175" s="0" t="n">
        <v>-0.0060980646309429</v>
      </c>
      <c r="W175" s="0" t="n">
        <v>-0.0013932084498611</v>
      </c>
      <c r="X175" s="0" t="n">
        <v>0.0067922837500264</v>
      </c>
    </row>
    <row r="176">
      <c r="A176" s="0" t="inlineStr">
        <is>
          <t>2018-09-11</t>
        </is>
      </c>
      <c r="B176" s="0" t="n">
        <v>0.0005459757697598</v>
      </c>
      <c r="C176" s="0" t="n">
        <v>0.0224548389882435</v>
      </c>
      <c r="D176" s="0" t="n">
        <v>0.0031189650547958</v>
      </c>
      <c r="E176" s="0" t="n">
        <v>0.0032171322171987</v>
      </c>
      <c r="F176" s="0" t="n">
        <v>-0.0137077887790439</v>
      </c>
      <c r="G176" s="0" t="n">
        <v>0.0107732397585409</v>
      </c>
      <c r="H176" s="0" t="n">
        <v>0.007968162269553899</v>
      </c>
      <c r="I176" s="0" t="n">
        <v>0.0206598621303708</v>
      </c>
      <c r="J176" s="0" t="n">
        <v>-0.008391649801141101</v>
      </c>
      <c r="K176" s="0" t="n">
        <v>0.0130645858782867</v>
      </c>
      <c r="L176" s="0" t="n">
        <v>0.0179622555999858</v>
      </c>
      <c r="M176" s="0" t="n">
        <v>0.0023606826987658</v>
      </c>
      <c r="N176" s="0" t="n">
        <v>0.0189224698952048</v>
      </c>
      <c r="O176" s="0" t="n">
        <v>0.0226972988120555</v>
      </c>
      <c r="P176" s="0" t="n">
        <v>0.0008153468533151</v>
      </c>
      <c r="Q176" s="0" t="n">
        <v>0.0181000240686877</v>
      </c>
      <c r="R176" s="0" t="n">
        <v>0.0207782229398212</v>
      </c>
      <c r="S176" s="0" t="n">
        <v>-0.0253177715646479</v>
      </c>
      <c r="T176" s="0" t="n">
        <v>-0.00298124991629</v>
      </c>
      <c r="U176" s="0" t="n">
        <v>0.0644649362121567</v>
      </c>
      <c r="V176" s="0" t="n">
        <v>-0.0026485670633427</v>
      </c>
      <c r="W176" s="0" t="n">
        <v>-0.0254161659435272</v>
      </c>
      <c r="X176" s="0" t="n">
        <v>-0.0236623814485765</v>
      </c>
    </row>
    <row r="177">
      <c r="A177" s="0" t="inlineStr">
        <is>
          <t>2018-09-12</t>
        </is>
      </c>
      <c r="B177" s="0" t="n">
        <v>0.016107478660821</v>
      </c>
      <c r="C177" s="0" t="n">
        <v>0.007898965237887801</v>
      </c>
      <c r="D177" s="0" t="n">
        <v>0.005739847342661</v>
      </c>
      <c r="E177" s="0" t="n">
        <v>0.0032068154590008</v>
      </c>
      <c r="F177" s="0" t="n">
        <v>-0.009575800989860101</v>
      </c>
      <c r="G177" s="0" t="n">
        <v>-0.1045554213360286</v>
      </c>
      <c r="H177" s="0" t="n">
        <v>-0.0170088984772103</v>
      </c>
      <c r="I177" s="0" t="n">
        <v>-0.0009742064625704</v>
      </c>
      <c r="J177" s="0" t="n">
        <v>0.0097834703405728</v>
      </c>
      <c r="K177" s="0" t="n">
        <v>-0.0950962754885116</v>
      </c>
      <c r="L177" s="0" t="n">
        <v>-0.0062111941139528</v>
      </c>
      <c r="M177" s="0" t="n">
        <v>0.0103214295454354</v>
      </c>
      <c r="N177" s="0" t="n">
        <v>-0.0127222998947402</v>
      </c>
      <c r="O177" s="0" t="n">
        <v>0.0077497300571072</v>
      </c>
      <c r="P177" s="0" t="n">
        <v>-0.0147786187826706</v>
      </c>
      <c r="Q177" s="0" t="n">
        <v>-0.0181000240686877</v>
      </c>
      <c r="R177" s="0" t="n">
        <v>-0.003108783091795</v>
      </c>
      <c r="S177" s="0" t="n">
        <v>0.0113915518295333</v>
      </c>
      <c r="T177" s="0" t="n">
        <v>0.0074366067749607</v>
      </c>
      <c r="U177" s="0" t="n">
        <v>-0.0315503986510012</v>
      </c>
      <c r="V177" s="0" t="n">
        <v>0.0075957940178037</v>
      </c>
      <c r="W177" s="0" t="n">
        <v>-0.0169464779919854</v>
      </c>
      <c r="X177" s="0" t="n">
        <v>-0.0063210973247236</v>
      </c>
    </row>
    <row r="178">
      <c r="A178" s="0" t="inlineStr">
        <is>
          <t>2018-09-13</t>
        </is>
      </c>
      <c r="B178" s="0" t="n">
        <v>-0.0041711249908322</v>
      </c>
      <c r="C178" s="0" t="n">
        <v>-0.0023631842562545</v>
      </c>
      <c r="D178" s="0" t="n">
        <v>-0.0076290004468226</v>
      </c>
      <c r="E178" s="0" t="n">
        <v>0.008501637285282099</v>
      </c>
      <c r="F178" s="0" t="n">
        <v>0.007602133743489</v>
      </c>
      <c r="G178" s="0" t="n">
        <v>-0.0276711765795085</v>
      </c>
      <c r="H178" s="0" t="n">
        <v>0.0209692960472485</v>
      </c>
      <c r="I178" s="0" t="n">
        <v>-0.0029283268344419</v>
      </c>
      <c r="J178" s="0" t="n">
        <v>-0.0083799292144703</v>
      </c>
      <c r="K178" s="0" t="n">
        <v>0.0224902819686905</v>
      </c>
      <c r="L178" s="0" t="n">
        <v>0.0314322422866242</v>
      </c>
      <c r="M178" s="0" t="n">
        <v>0.0025638194554389</v>
      </c>
      <c r="N178" s="0" t="n">
        <v>0.0039656431701131</v>
      </c>
      <c r="O178" s="0" t="n">
        <v>-0.0023781768790698</v>
      </c>
      <c r="P178" s="0" t="n">
        <v>0.0065952360207521</v>
      </c>
      <c r="Q178" s="0" t="n">
        <v>-0.0022857675967724</v>
      </c>
      <c r="R178" s="0" t="n">
        <v>-0.0022079126169378</v>
      </c>
      <c r="S178" s="0" t="n">
        <v>0.0229281382316304</v>
      </c>
      <c r="T178" s="0" t="n">
        <v>0.0033812340327807</v>
      </c>
      <c r="U178" s="0" t="n">
        <v>0.0098762337028963</v>
      </c>
      <c r="V178" s="0" t="n">
        <v>-0.0016463996013218</v>
      </c>
      <c r="W178" s="0" t="n">
        <v>-0.0049211884406803</v>
      </c>
      <c r="X178" s="0" t="n">
        <v>-0.006999749183588</v>
      </c>
    </row>
    <row r="179">
      <c r="A179" s="0" t="inlineStr">
        <is>
          <t>2018-09-14</t>
        </is>
      </c>
      <c r="B179" s="0" t="n">
        <v>-0.002632731017587</v>
      </c>
      <c r="C179" s="0" t="n">
        <v>0.0015760504912893</v>
      </c>
      <c r="D179" s="0" t="n">
        <v>-0.0005674064820837</v>
      </c>
      <c r="E179" s="0" t="n">
        <v>0.0105264531428082</v>
      </c>
      <c r="F179" s="0" t="n">
        <v>-0.002967855445505</v>
      </c>
      <c r="G179" s="0" t="n">
        <v>0.0367273244548651</v>
      </c>
      <c r="H179" s="0" t="n">
        <v>0.0320883539820753</v>
      </c>
      <c r="I179" s="0" t="n">
        <v>0.0298530042776064</v>
      </c>
      <c r="J179" s="0" t="n">
        <v>-0.009866207076554201</v>
      </c>
      <c r="K179" s="0" t="n">
        <v>0.1633544787953746</v>
      </c>
      <c r="L179" s="0" t="n">
        <v>0.008267589978457199</v>
      </c>
      <c r="M179" s="0" t="n">
        <v>0.001163178881157</v>
      </c>
      <c r="N179" s="0" t="n">
        <v>0.0017575099042819</v>
      </c>
      <c r="O179" s="0" t="n">
        <v>0.0005950746541412</v>
      </c>
      <c r="P179" s="0" t="n">
        <v>-0.0224355452072497</v>
      </c>
      <c r="Q179" s="0" t="n">
        <v>0.0181410703967355</v>
      </c>
      <c r="R179" s="0" t="n">
        <v>0.0153540826236602</v>
      </c>
      <c r="S179" s="0" t="n">
        <v>-0.0283365006601754</v>
      </c>
      <c r="T179" s="0" t="n">
        <v>-0.0061369552247376</v>
      </c>
      <c r="U179" s="0" t="n">
        <v>0.0059432981445386</v>
      </c>
      <c r="V179" s="0" t="n">
        <v>0.0100009132763698</v>
      </c>
      <c r="W179" s="0" t="n">
        <v>-0.0077035994588832</v>
      </c>
      <c r="X179" s="0" t="n">
        <v>-0.0006387882077585</v>
      </c>
    </row>
    <row r="180">
      <c r="A180" s="0" t="inlineStr">
        <is>
          <t>2018-09-17</t>
        </is>
      </c>
      <c r="B180" s="0" t="n">
        <v>0.0041820979482443</v>
      </c>
      <c r="C180" s="0" t="n">
        <v>-0.0031545888392332</v>
      </c>
      <c r="D180" s="0" t="n">
        <v>0.0110071969706977</v>
      </c>
      <c r="E180" s="0" t="n">
        <v>0.003136409554016</v>
      </c>
      <c r="F180" s="0" t="n">
        <v>-0.0023144861526436</v>
      </c>
      <c r="G180" s="0" t="n">
        <v>0.0154828743893857</v>
      </c>
      <c r="H180" s="0" t="n">
        <v>-0.0038350921019545</v>
      </c>
      <c r="I180" s="0" t="n">
        <v>0.0075614655438531</v>
      </c>
      <c r="J180" s="0" t="n">
        <v>-0.0028368786489227</v>
      </c>
      <c r="K180" s="0" t="n">
        <v>0.1030131176723605</v>
      </c>
      <c r="L180" s="0" t="n">
        <v>0.033127855395501</v>
      </c>
      <c r="M180" s="0" t="n">
        <v>0.0115581503854045</v>
      </c>
      <c r="N180" s="0" t="n">
        <v>0.0165436579548634</v>
      </c>
      <c r="O180" s="0" t="n">
        <v>0.0029700731245783</v>
      </c>
      <c r="P180" s="0" t="n">
        <v>0.0475889582002957</v>
      </c>
      <c r="Q180" s="0" t="n">
        <v>0.0244185576615674</v>
      </c>
      <c r="R180" s="0" t="n">
        <v>0.006508888261826</v>
      </c>
      <c r="S180" s="0" t="n">
        <v>0.0118599401515684</v>
      </c>
      <c r="T180" s="0" t="n">
        <v>0.0074019260492819</v>
      </c>
      <c r="U180" s="0" t="n">
        <v>-0.0048161795107608</v>
      </c>
      <c r="V180" s="0" t="n">
        <v>0.0029320807284909</v>
      </c>
      <c r="W180" s="0" t="n">
        <v>0.0034923043362908</v>
      </c>
      <c r="X180" s="0" t="n">
        <v>-0.0102762529584254</v>
      </c>
    </row>
    <row r="181">
      <c r="A181" s="0" t="inlineStr">
        <is>
          <t>2018-09-18</t>
        </is>
      </c>
      <c r="B181" s="0" t="n">
        <v>0.0033599924642215</v>
      </c>
      <c r="C181" s="0" t="n">
        <v>0.0156743617948857</v>
      </c>
      <c r="D181" s="0" t="n">
        <v>-0.010723453485891</v>
      </c>
      <c r="E181" s="0" t="n">
        <v>0.0206618727242746</v>
      </c>
      <c r="F181" s="0" t="n">
        <v>0.0258142393920062</v>
      </c>
      <c r="G181" s="0" t="n">
        <v>-0.0140969071316798</v>
      </c>
      <c r="H181" s="0" t="n">
        <v>0.0095602931095624</v>
      </c>
      <c r="I181" s="0" t="n">
        <v>0.0168071467529973</v>
      </c>
      <c r="J181" s="0" t="n">
        <v>-0.0056980156960337</v>
      </c>
      <c r="K181" s="0" t="n">
        <v>-0.008259710590669199</v>
      </c>
      <c r="L181" s="0" t="n">
        <v>0.0292564453473023</v>
      </c>
      <c r="M181" s="0" t="n">
        <v>-0.0057623764306105</v>
      </c>
      <c r="N181" s="0" t="n">
        <v>-0.0183011678591453</v>
      </c>
      <c r="O181" s="0" t="n">
        <v>-0.0104339085797802</v>
      </c>
      <c r="P181" s="0" t="n">
        <v>0.0111555217833489</v>
      </c>
      <c r="Q181" s="0" t="n">
        <v>0.0021906314908288</v>
      </c>
      <c r="R181" s="0" t="n">
        <v>0.0044424579604376</v>
      </c>
      <c r="S181" s="0" t="n">
        <v>-0.0113177754036586</v>
      </c>
      <c r="T181" s="0" t="n">
        <v>-0.0037998844378641</v>
      </c>
      <c r="U181" s="0" t="n">
        <v>-0.0048394873960706</v>
      </c>
      <c r="V181" s="0" t="n">
        <v>-0.0111221348008871</v>
      </c>
      <c r="W181" s="0" t="n">
        <v>0.0131245269389874</v>
      </c>
      <c r="X181" s="0" t="n">
        <v>0.0147391643349514</v>
      </c>
    </row>
    <row r="182">
      <c r="A182" s="0" t="inlineStr">
        <is>
          <t>2018-09-19</t>
        </is>
      </c>
      <c r="B182" s="0" t="n">
        <v>0.0139237877700804</v>
      </c>
      <c r="C182" s="0" t="n">
        <v>-0.0315982471692062</v>
      </c>
      <c r="D182" s="0" t="n">
        <v>0.0031160200356286</v>
      </c>
      <c r="E182" s="0" t="n">
        <v>0.0030628596084874</v>
      </c>
      <c r="F182" s="0" t="n">
        <v>0.0061103432572848</v>
      </c>
      <c r="G182" s="0" t="n">
        <v>0.0103342685877314</v>
      </c>
      <c r="H182" s="0" t="n">
        <v>0.0122932873836891</v>
      </c>
      <c r="I182" s="0" t="n">
        <v>-0.0027816181189224</v>
      </c>
      <c r="J182" s="0" t="n">
        <v>0.0014275846419462</v>
      </c>
      <c r="K182" s="0" t="n">
        <v>0.1172563296133772</v>
      </c>
      <c r="L182" s="0" t="n">
        <v>0.0208775977695814</v>
      </c>
      <c r="M182" s="0" t="n">
        <v>0.011263231078221</v>
      </c>
      <c r="N182" s="0" t="n">
        <v>-0.0075039009490831</v>
      </c>
      <c r="O182" s="0" t="n">
        <v>0.0020954863941509</v>
      </c>
      <c r="P182" s="0" t="n">
        <v>0.0015835678354725</v>
      </c>
      <c r="Q182" s="0" t="n">
        <v>0.0108814378541084</v>
      </c>
      <c r="R182" s="0" t="n">
        <v>0.0054310245186046</v>
      </c>
      <c r="S182" s="0" t="n">
        <v>0.0214485222928733</v>
      </c>
      <c r="T182" s="0" t="n">
        <v>0.0094727741478659</v>
      </c>
      <c r="U182" s="0" t="n">
        <v>0.006768731307841</v>
      </c>
      <c r="V182" s="0" t="n">
        <v>0.0155041990843116</v>
      </c>
      <c r="W182" s="0" t="n">
        <v>0.0059582737431691</v>
      </c>
      <c r="X182" s="0" t="n">
        <v>0.0164041077044654</v>
      </c>
    </row>
    <row r="183">
      <c r="A183" s="0" t="inlineStr">
        <is>
          <t>2018-09-20</t>
        </is>
      </c>
      <c r="B183" s="0" t="n">
        <v>0.0013223949499403</v>
      </c>
      <c r="C183" s="0" t="n">
        <v>-0.0235495751606911</v>
      </c>
      <c r="D183" s="0" t="n">
        <v>0.0024482322432231</v>
      </c>
      <c r="E183" s="0" t="n">
        <v>0.0040691775602339</v>
      </c>
      <c r="F183" s="0" t="n">
        <v>-0.0051430471537021</v>
      </c>
      <c r="G183" s="0" t="n">
        <v>0.0260457964822014</v>
      </c>
      <c r="H183" s="0" t="n">
        <v>0.0213861973061904</v>
      </c>
      <c r="I183" s="0" t="n">
        <v>-0.015910496566156</v>
      </c>
      <c r="J183" s="0" t="n">
        <v>-0.0042888141903871</v>
      </c>
      <c r="K183" s="0" t="n">
        <v>-0.028646641482251</v>
      </c>
      <c r="L183" s="0" t="n">
        <v>0.0365152093116685</v>
      </c>
      <c r="M183" s="0" t="n">
        <v>0.0070607597392302</v>
      </c>
      <c r="N183" s="0" t="n">
        <v>0.0162605576737102</v>
      </c>
      <c r="O183" s="0" t="n">
        <v>0.0101161280936086</v>
      </c>
      <c r="P183" s="0" t="n">
        <v>0.0007907691374979</v>
      </c>
      <c r="Q183" s="0" t="n">
        <v>0.0129033929268875</v>
      </c>
      <c r="R183" s="0" t="n">
        <v>0.0025160027565709</v>
      </c>
      <c r="S183" s="0" t="n">
        <v>0</v>
      </c>
      <c r="T183" s="0" t="n">
        <v>0.0172400536044206</v>
      </c>
      <c r="U183" s="0" t="n">
        <v>0.0046470866611763</v>
      </c>
      <c r="V183" s="0" t="n">
        <v>0.0080645598367299</v>
      </c>
      <c r="W183" s="0" t="n">
        <v>-0.0101321213085041</v>
      </c>
      <c r="X183" s="0" t="n">
        <v>-0.0018790944195363</v>
      </c>
    </row>
    <row r="184">
      <c r="A184" s="0" t="inlineStr">
        <is>
          <t>2018-09-21</t>
        </is>
      </c>
      <c r="B184" s="0" t="n">
        <v>-0.008759809832358001</v>
      </c>
      <c r="C184" s="0" t="n">
        <v>-0.035972104678291</v>
      </c>
      <c r="D184" s="0" t="n">
        <v>-0.0069838477474126</v>
      </c>
      <c r="E184" s="0" t="n">
        <v>-0.0267505891053949</v>
      </c>
      <c r="F184" s="0" t="n">
        <v>-0.0093897699240121</v>
      </c>
      <c r="G184" s="0" t="n">
        <v>-0.0114171873087083</v>
      </c>
      <c r="H184" s="0" t="n">
        <v>-0.0327284631748476</v>
      </c>
      <c r="I184" s="0" t="n">
        <v>0.0037664790749429</v>
      </c>
      <c r="J184" s="0" t="n">
        <v>-0.1088686978322721</v>
      </c>
      <c r="K184" s="0" t="n">
        <v>0.0260088537611911</v>
      </c>
      <c r="L184" s="0" t="n">
        <v>-0.0180909760912739</v>
      </c>
      <c r="M184" s="0" t="n">
        <v>-0.0029549076083004</v>
      </c>
      <c r="N184" s="0" t="n">
        <v>-0.0017452410797256</v>
      </c>
      <c r="O184" s="0" t="n">
        <v>0.0038410763949632</v>
      </c>
      <c r="P184" s="0" t="n">
        <v>0.0326623192689781</v>
      </c>
      <c r="Q184" s="0" t="n">
        <v>-0.039220676473499</v>
      </c>
      <c r="R184" s="0" t="n">
        <v>-0.0107371524201669</v>
      </c>
      <c r="S184" s="0" t="n">
        <v>0.0015901821352914</v>
      </c>
      <c r="T184" s="0" t="n">
        <v>-0.0024742846969951</v>
      </c>
      <c r="U184" s="0" t="n">
        <v>-0.0241092149180701</v>
      </c>
      <c r="V184" s="0" t="n">
        <v>-0.0106590131683868</v>
      </c>
      <c r="W184" s="0" t="n">
        <v>-0.0133641047458437</v>
      </c>
      <c r="X184" s="0" t="n">
        <v>-0.0113493872701084</v>
      </c>
    </row>
    <row r="185">
      <c r="A185" s="0" t="inlineStr">
        <is>
          <t>2018-09-24</t>
        </is>
      </c>
      <c r="B185" s="0" t="n">
        <v>-0.0074931447676451</v>
      </c>
      <c r="C185" s="0" t="n">
        <v>-0.0408575128848283</v>
      </c>
      <c r="D185" s="0" t="n">
        <v>0.0010412288682388</v>
      </c>
      <c r="E185" s="0" t="n">
        <v>-0.0210755750237283</v>
      </c>
      <c r="F185" s="0" t="n">
        <v>-0.002279750050981</v>
      </c>
      <c r="G185" s="0" t="n">
        <v>-0.0118907593121972</v>
      </c>
      <c r="H185" s="0" t="n">
        <v>0.0028476499057972</v>
      </c>
      <c r="I185" s="0" t="n">
        <v>-0.0170620538969585</v>
      </c>
      <c r="J185" s="0" t="n">
        <v>0.0015961299282059</v>
      </c>
      <c r="K185" s="0" t="n">
        <v>0.0359033911788646</v>
      </c>
      <c r="L185" s="0" t="n">
        <v>0.0306282289099528</v>
      </c>
      <c r="M185" s="0" t="n">
        <v>-0.003191963214022</v>
      </c>
      <c r="N185" s="0" t="n">
        <v>-0.084236370017892</v>
      </c>
      <c r="O185" s="0" t="n">
        <v>-0.0044333316276201</v>
      </c>
      <c r="P185" s="0" t="n">
        <v>0.0151863785534502</v>
      </c>
      <c r="Q185" s="0" t="n">
        <v>0.0066445890339763</v>
      </c>
      <c r="R185" s="0" t="n">
        <v>-0.0144549656550214</v>
      </c>
      <c r="S185" s="0" t="n">
        <v>-0.0154793063250164</v>
      </c>
      <c r="T185" s="0" t="n">
        <v>0.000619184707459</v>
      </c>
      <c r="U185" s="0" t="n">
        <v>-0.0057485957355725</v>
      </c>
      <c r="V185" s="0" t="n">
        <v>0.0037274095910184</v>
      </c>
      <c r="W185" s="0" t="n">
        <v>-0.0005530238851898</v>
      </c>
      <c r="X185" s="0" t="n">
        <v>-0.0063613687657264</v>
      </c>
    </row>
    <row r="186">
      <c r="A186" s="0" t="inlineStr">
        <is>
          <t>2018-09-25</t>
        </is>
      </c>
      <c r="B186" s="0" t="n">
        <v>0.0179693169244066</v>
      </c>
      <c r="C186" s="0" t="n">
        <v>0.0105914897400118</v>
      </c>
      <c r="D186" s="0" t="n">
        <v>0.0057544673312301</v>
      </c>
      <c r="E186" s="0" t="n">
        <v>-0.0128619008238075</v>
      </c>
      <c r="F186" s="0" t="n">
        <v>-0.0177636553252731</v>
      </c>
      <c r="G186" s="0" t="n">
        <v>0.004433056249181</v>
      </c>
      <c r="H186" s="0" t="n">
        <v>0.0178492123672686</v>
      </c>
      <c r="I186" s="0" t="n">
        <v>-0.0291000351518726</v>
      </c>
      <c r="J186" s="0" t="n">
        <v>0.0173917636913403</v>
      </c>
      <c r="K186" s="0" t="n">
        <v>-0.0449244167427709</v>
      </c>
      <c r="L186" s="0" t="n">
        <v>-0.0171962062078825</v>
      </c>
      <c r="M186" s="0" t="n">
        <v>-0.0025151632972564</v>
      </c>
      <c r="N186" s="0" t="n">
        <v>-0.0153186195187311</v>
      </c>
      <c r="O186" s="0" t="n">
        <v>-0.0122188934019953</v>
      </c>
      <c r="P186" s="0" t="n">
        <v>-0.017484329267122</v>
      </c>
      <c r="Q186" s="0" t="n">
        <v>0.0239923516532569</v>
      </c>
      <c r="R186" s="0" t="n">
        <v>0.0105102183852459</v>
      </c>
      <c r="S186" s="0" t="n">
        <v>-0.0053937769210645</v>
      </c>
      <c r="T186" s="0" t="n">
        <v>-0.0012386742423871</v>
      </c>
      <c r="U186" s="0" t="n">
        <v>0.0016458576533224</v>
      </c>
      <c r="V186" s="0" t="n">
        <v>-0.0032404559328318</v>
      </c>
      <c r="W186" s="0" t="n">
        <v>-0.0199280214371242</v>
      </c>
      <c r="X186" s="0" t="n">
        <v>-0.0225889168443647</v>
      </c>
    </row>
    <row r="187">
      <c r="A187" s="0" t="inlineStr">
        <is>
          <t>2018-09-26</t>
        </is>
      </c>
      <c r="B187" s="0" t="n">
        <v>-0.0007258131698666</v>
      </c>
      <c r="C187" s="0" t="n">
        <v>0.01221651679458</v>
      </c>
      <c r="D187" s="0" t="n">
        <v>0.0035681247510064</v>
      </c>
      <c r="E187" s="0" t="n">
        <v>-0.0043244300393947</v>
      </c>
      <c r="F187" s="0" t="n">
        <v>-0.0063259284593848</v>
      </c>
      <c r="G187" s="0" t="n">
        <v>-0.0133586296770307</v>
      </c>
      <c r="H187" s="0" t="n">
        <v>0.0365671761464692</v>
      </c>
      <c r="I187" s="0" t="n">
        <v>0</v>
      </c>
      <c r="J187" s="0" t="n">
        <v>-0.003139716949285</v>
      </c>
      <c r="K187" s="0" t="n">
        <v>-0.046144450427223</v>
      </c>
      <c r="L187" s="0" t="n">
        <v>-0.0100570488241009</v>
      </c>
      <c r="M187" s="0" t="n">
        <v>0.0050240164159123</v>
      </c>
      <c r="N187" s="0" t="n">
        <v>0.0076886419855664</v>
      </c>
      <c r="O187" s="0" t="n">
        <v>0.002096741769916</v>
      </c>
      <c r="P187" s="0" t="n">
        <v>0.008400176041543</v>
      </c>
      <c r="Q187" s="0" t="n">
        <v>-0.0021574446481043</v>
      </c>
      <c r="R187" s="0" t="n">
        <v>0.0041987697785819</v>
      </c>
      <c r="S187" s="0" t="n">
        <v>0.0118280583331316</v>
      </c>
      <c r="T187" s="0" t="n">
        <v>-0.0016538770561167</v>
      </c>
      <c r="U187" s="0" t="n">
        <v>-0.0006580180353381</v>
      </c>
      <c r="V187" s="0" t="n">
        <v>0.0053411445559419</v>
      </c>
      <c r="W187" s="0" t="n">
        <v>-0.006416329883363</v>
      </c>
      <c r="X187" s="0" t="n">
        <v>-0.0164531520045008</v>
      </c>
    </row>
    <row r="188">
      <c r="A188" s="0" t="inlineStr">
        <is>
          <t>2018-09-27</t>
        </is>
      </c>
      <c r="B188" s="0" t="n">
        <v>-0.0019159814238998</v>
      </c>
      <c r="C188" s="0" t="n">
        <v>-0.0210349496430648</v>
      </c>
      <c r="D188" s="0" t="n">
        <v>0.0057943631015211</v>
      </c>
      <c r="E188" s="0" t="n">
        <v>0.0021645526047717</v>
      </c>
      <c r="F188" s="0" t="n">
        <v>-0.0161620168715574</v>
      </c>
      <c r="G188" s="0" t="n">
        <v>0.0037859487381326</v>
      </c>
      <c r="H188" s="0" t="n">
        <v>-0.0144667843836376</v>
      </c>
      <c r="I188" s="0" t="n">
        <v>0.0039292744588861</v>
      </c>
      <c r="J188" s="0" t="n">
        <v>-0.0063091630244853</v>
      </c>
      <c r="K188" s="0" t="n">
        <v>0.06932781341878511</v>
      </c>
      <c r="L188" s="0" t="n">
        <v>0</v>
      </c>
      <c r="M188" s="0" t="n">
        <v>0.0038649170899121</v>
      </c>
      <c r="N188" s="0" t="n">
        <v>0.0147306713146058</v>
      </c>
      <c r="O188" s="0" t="n">
        <v>0.0047762377994682</v>
      </c>
      <c r="P188" s="0" t="n">
        <v>-0.0030464580269136</v>
      </c>
      <c r="Q188" s="0" t="n">
        <v>-0.013043650346626</v>
      </c>
      <c r="R188" s="0" t="n">
        <v>-0.0005080126433192</v>
      </c>
      <c r="S188" s="0" t="n">
        <v>0.0310469650268148</v>
      </c>
      <c r="T188" s="0" t="n">
        <v>0.0065993162529358</v>
      </c>
      <c r="U188" s="0" t="n">
        <v>-0.0075983034465574</v>
      </c>
      <c r="V188" s="0" t="n">
        <v>0.0020962849794861</v>
      </c>
      <c r="W188" s="0" t="n">
        <v>-0.0049345007869119</v>
      </c>
      <c r="X188" s="0" t="n">
        <v>-0.0100033924987044</v>
      </c>
    </row>
    <row r="189">
      <c r="A189" s="0" t="inlineStr">
        <is>
          <t>2018-09-28</t>
        </is>
      </c>
      <c r="B189" s="0" t="n">
        <v>0.0117682778669117</v>
      </c>
      <c r="C189" s="0" t="n">
        <v>0.06846129322278741</v>
      </c>
      <c r="D189" s="0" t="n">
        <v>0.0026988143585846</v>
      </c>
      <c r="E189" s="0" t="n">
        <v>0.0075390444289826</v>
      </c>
      <c r="F189" s="0" t="n">
        <v>0.0064287326204559</v>
      </c>
      <c r="G189" s="0" t="n">
        <v>-0.0124440114812474</v>
      </c>
      <c r="H189" s="0" t="n">
        <v>-0.0100687908610497</v>
      </c>
      <c r="I189" s="0" t="n">
        <v>0.0019589093128931</v>
      </c>
      <c r="J189" s="0" t="n">
        <v>-0.0031695716475141</v>
      </c>
      <c r="K189" s="0" t="n">
        <v>0.0106719849095737</v>
      </c>
      <c r="L189" s="0" t="n">
        <v>0.0127219379770582</v>
      </c>
      <c r="M189" s="0" t="n">
        <v>0.0045279851552186</v>
      </c>
      <c r="N189" s="0" t="n">
        <v>0.0117234632766218</v>
      </c>
      <c r="O189" s="0" t="n">
        <v>-0.0026837692529664</v>
      </c>
      <c r="P189" s="0" t="n">
        <v>0.027831799937676</v>
      </c>
      <c r="Q189" s="0" t="n">
        <v>0.008714643501689301</v>
      </c>
      <c r="R189" s="0" t="n">
        <v>0.009859753409388701</v>
      </c>
      <c r="S189" s="0" t="n">
        <v>-0.0015555501987725</v>
      </c>
      <c r="T189" s="0" t="n">
        <v>0.0045118494293761</v>
      </c>
      <c r="U189" s="0" t="n">
        <v>0.0003315725698884</v>
      </c>
      <c r="V189" s="0" t="n">
        <v>0.0003220589980692</v>
      </c>
      <c r="W189" s="0" t="n">
        <v>-0.0059155094594975</v>
      </c>
      <c r="X189" s="0" t="n">
        <v>0.0006700321023895</v>
      </c>
    </row>
    <row r="190">
      <c r="A190" s="0" t="inlineStr">
        <is>
          <t>2018-10-01</t>
        </is>
      </c>
      <c r="B190" s="0" t="n">
        <v>0.0048899852941923</v>
      </c>
      <c r="C190" s="0" t="n">
        <v>0.0188453244421236</v>
      </c>
      <c r="D190" s="0" t="n">
        <v>0.0033401461229045</v>
      </c>
      <c r="E190" s="0" t="n">
        <v>-0.0129591326303724</v>
      </c>
      <c r="F190" s="0" t="n">
        <v>-0.0023636578745636</v>
      </c>
      <c r="G190" s="0" t="n">
        <v>0.0114128827983708</v>
      </c>
      <c r="H190" s="0" t="n">
        <v>0.0545997031133624</v>
      </c>
      <c r="I190" s="0" t="n">
        <v>0.0317792670975873</v>
      </c>
      <c r="J190" s="0" t="n">
        <v>-0.0111733278119452</v>
      </c>
      <c r="K190" s="0" t="n">
        <v>-0.0418832002286122</v>
      </c>
      <c r="L190" s="0" t="n">
        <v>0.0385039510864815</v>
      </c>
      <c r="M190" s="0" t="n">
        <v>-0.0011300540497911</v>
      </c>
      <c r="N190" s="0" t="n">
        <v>0.0175604861246418</v>
      </c>
      <c r="O190" s="0" t="n">
        <v>0.0127578200175766</v>
      </c>
      <c r="P190" s="0" t="n">
        <v>-0.02250651929661</v>
      </c>
      <c r="Q190" s="0" t="n">
        <v>0.008639354137923201</v>
      </c>
      <c r="R190" s="0" t="n">
        <v>-0.0032758267889274</v>
      </c>
      <c r="S190" s="0" t="n">
        <v>0.0067235402243697</v>
      </c>
      <c r="T190" s="0" t="n">
        <v>0.0028606352482132</v>
      </c>
      <c r="U190" s="0" t="n">
        <v>0.0157871896319505</v>
      </c>
      <c r="V190" s="0" t="n">
        <v>0.0112090969573221</v>
      </c>
      <c r="W190" s="0" t="n">
        <v>-0.0022992715754521</v>
      </c>
      <c r="X190" s="0" t="n">
        <v>-0.0046996158057459</v>
      </c>
    </row>
    <row r="191">
      <c r="A191" s="0" t="inlineStr">
        <is>
          <t>2018-10-02</t>
        </is>
      </c>
      <c r="B191" s="0" t="n">
        <v>-0.0034531016309564</v>
      </c>
      <c r="C191" s="0" t="n">
        <v>0.0129033738724566</v>
      </c>
      <c r="D191" s="0" t="n">
        <v>0.0060947982232946</v>
      </c>
      <c r="E191" s="0" t="n">
        <v>-0.0076377561814648</v>
      </c>
      <c r="F191" s="0" t="n">
        <v>0.0140989269587428</v>
      </c>
      <c r="G191" s="0" t="n">
        <v>0.0102634921392152</v>
      </c>
      <c r="H191" s="0" t="n">
        <v>0.0550753999163537</v>
      </c>
      <c r="I191" s="0" t="n">
        <v>-0.023981964247671</v>
      </c>
      <c r="J191" s="0" t="n">
        <v>0.0048038858136836</v>
      </c>
      <c r="K191" s="0" t="n">
        <v>0.0472280629154071</v>
      </c>
      <c r="L191" s="0" t="n">
        <v>-0.0109431460865208</v>
      </c>
      <c r="M191" s="0" t="n">
        <v>0.0132541564105013</v>
      </c>
      <c r="N191" s="0" t="n">
        <v>0.0027447165851652</v>
      </c>
      <c r="O191" s="0" t="n">
        <v>0</v>
      </c>
      <c r="P191" s="0" t="n">
        <v>0.0217644580174165</v>
      </c>
      <c r="Q191" s="0" t="n">
        <v>0.0021481752849816</v>
      </c>
      <c r="R191" s="0" t="n">
        <v>0.008294676998228299</v>
      </c>
      <c r="S191" s="0" t="n">
        <v>0.008724719408028599</v>
      </c>
      <c r="T191" s="0" t="n">
        <v>0.0026490299983459</v>
      </c>
      <c r="U191" s="0" t="n">
        <v>-0.0070405579376648</v>
      </c>
      <c r="V191" s="0" t="n">
        <v>-0.0023913556277497</v>
      </c>
      <c r="W191" s="0" t="n">
        <v>0.009925648292071499</v>
      </c>
      <c r="X191" s="0" t="n">
        <v>0.0272171330227215</v>
      </c>
    </row>
    <row r="192">
      <c r="A192" s="0" t="inlineStr">
        <is>
          <t>2018-10-03</t>
        </is>
      </c>
      <c r="B192" s="0" t="n">
        <v>-0.0125441087273197</v>
      </c>
      <c r="C192" s="0" t="n">
        <v>0.014320029669236</v>
      </c>
      <c r="D192" s="0" t="n">
        <v>0.0394437224219341</v>
      </c>
      <c r="E192" s="0" t="n">
        <v>0.0021881304552691</v>
      </c>
      <c r="F192" s="0" t="n">
        <v>0.0142315922755043</v>
      </c>
      <c r="G192" s="0" t="n">
        <v>-0.0206334168632977</v>
      </c>
      <c r="H192" s="0" t="n">
        <v>0.000824002932402</v>
      </c>
      <c r="I192" s="0" t="n">
        <v>-0.0087762778407274</v>
      </c>
      <c r="J192" s="0" t="n">
        <v>-0.008019319586383101</v>
      </c>
      <c r="K192" s="0" t="n">
        <v>-0.0307075987103515</v>
      </c>
      <c r="L192" s="0" t="n">
        <v>-0.0229142219146818</v>
      </c>
      <c r="M192" s="0" t="n">
        <v>-0.0024578407575082</v>
      </c>
      <c r="N192" s="0" t="n">
        <v>-0.0009140105897027</v>
      </c>
      <c r="O192" s="0" t="n">
        <v>0.0058789343766751</v>
      </c>
      <c r="P192" s="0" t="n">
        <v>-0.0347467001290615</v>
      </c>
      <c r="Q192" s="0" t="n">
        <v>-0.0173164339253446</v>
      </c>
      <c r="R192" s="0" t="n">
        <v>-0.0064034638205807</v>
      </c>
      <c r="S192" s="0" t="n">
        <v>-0.0149294410171307</v>
      </c>
      <c r="T192" s="0" t="n">
        <v>-0.0155868274128656</v>
      </c>
      <c r="U192" s="0" t="n">
        <v>0.0150035132339576</v>
      </c>
      <c r="V192" s="0" t="n">
        <v>-0.0046396517205611</v>
      </c>
      <c r="W192" s="0" t="n">
        <v>0.0162022533943249</v>
      </c>
      <c r="X192" s="0" t="n">
        <v>0.0091264902216345</v>
      </c>
    </row>
    <row r="193">
      <c r="A193" s="0" t="inlineStr">
        <is>
          <t>2018-10-04</t>
        </is>
      </c>
      <c r="B193" s="0" t="n">
        <v>-0.0151830765586389</v>
      </c>
      <c r="C193" s="0" t="n">
        <v>0.040253113309383</v>
      </c>
      <c r="D193" s="0" t="n">
        <v>0.0178066967851702</v>
      </c>
      <c r="E193" s="0" t="n">
        <v>-0.0032840460588547</v>
      </c>
      <c r="F193" s="0" t="n">
        <v>-0.0065941802889883</v>
      </c>
      <c r="G193" s="0" t="n">
        <v>0.0100259787551739</v>
      </c>
      <c r="H193" s="0" t="n">
        <v>0.0065681619407289</v>
      </c>
      <c r="I193" s="0" t="n">
        <v>-0.0217830661634432</v>
      </c>
      <c r="J193" s="0" t="n">
        <v>-0.0129661334711057</v>
      </c>
      <c r="K193" s="0" t="n">
        <v>0.0426300537905173</v>
      </c>
      <c r="L193" s="0" t="n">
        <v>-0.0059781081897805</v>
      </c>
      <c r="M193" s="0" t="n">
        <v>0.0046869650144896</v>
      </c>
      <c r="N193" s="0" t="n">
        <v>-0.000457362393079</v>
      </c>
      <c r="O193" s="0" t="n">
        <v>-0.0038172782295933</v>
      </c>
      <c r="P193" s="0" t="n">
        <v>-0.0178368820620602</v>
      </c>
      <c r="Q193" s="0" t="n">
        <v>0.0043573012949718</v>
      </c>
      <c r="R193" s="0" t="n">
        <v>-0.009110542982987999</v>
      </c>
      <c r="S193" s="0" t="n">
        <v>-0.0359067235685119</v>
      </c>
      <c r="T193" s="0" t="n">
        <v>-0.005180821752186</v>
      </c>
      <c r="U193" s="0" t="n">
        <v>0.0046831077773594</v>
      </c>
      <c r="V193" s="0" t="n">
        <v>0.0008014625238992</v>
      </c>
      <c r="W193" s="0" t="n">
        <v>-0.0059981380202329</v>
      </c>
      <c r="X193" s="0" t="n">
        <v>-0.0039011405454956</v>
      </c>
    </row>
    <row r="194">
      <c r="A194" s="0" t="inlineStr">
        <is>
          <t>2018-10-05</t>
        </is>
      </c>
      <c r="B194" s="0" t="n">
        <v>-0.0043036808648357</v>
      </c>
      <c r="C194" s="0" t="n">
        <v>0.0321042995320195</v>
      </c>
      <c r="D194" s="0" t="n">
        <v>0.003818144603441</v>
      </c>
      <c r="E194" s="0" t="n">
        <v>0.0152342818374551</v>
      </c>
      <c r="F194" s="0" t="n">
        <v>0.0013223445076406</v>
      </c>
      <c r="G194" s="0" t="n">
        <v>0.0095858551985488</v>
      </c>
      <c r="H194" s="0" t="n">
        <v>0.08092357987033071</v>
      </c>
      <c r="I194" s="0" t="n">
        <v>0.0139167598084526</v>
      </c>
      <c r="J194" s="0" t="n">
        <v>0.0113544926702464</v>
      </c>
      <c r="K194" s="0" t="n">
        <v>0.0583339295919915</v>
      </c>
      <c r="L194" s="0" t="n">
        <v>0.0132364478852271</v>
      </c>
      <c r="M194" s="0" t="n">
        <v>0.0082049232339267</v>
      </c>
      <c r="N194" s="0" t="n">
        <v>-0.0278311269896778</v>
      </c>
      <c r="O194" s="0" t="n">
        <v>0.0035242012349621</v>
      </c>
      <c r="P194" s="0" t="n">
        <v>-0.0205540258205703</v>
      </c>
      <c r="Q194" s="0" t="n">
        <v>0.0404741206959478</v>
      </c>
      <c r="R194" s="0" t="n">
        <v>0.014261677632323</v>
      </c>
      <c r="S194" s="0" t="n">
        <v>-0.0135320059391603</v>
      </c>
      <c r="T194" s="0" t="n">
        <v>-0.012755020819851</v>
      </c>
      <c r="U194" s="0" t="n">
        <v>0.0175667004155428</v>
      </c>
      <c r="V194" s="0" t="n">
        <v>0.0078206714641764</v>
      </c>
      <c r="W194" s="0" t="n">
        <v>0.0089837691361926</v>
      </c>
      <c r="X194" s="0" t="n">
        <v>0.0135880468332452</v>
      </c>
    </row>
    <row r="195">
      <c r="A195" s="0" t="inlineStr">
        <is>
          <t>2018-10-08</t>
        </is>
      </c>
      <c r="B195" s="0" t="n">
        <v>-0.0077799930865047</v>
      </c>
      <c r="C195" s="0" t="n">
        <v>-0.0044182862789581</v>
      </c>
      <c r="D195" s="0" t="n">
        <v>-8.663233648231738e-05</v>
      </c>
      <c r="E195" s="0" t="n">
        <v>-0.0340505623997429</v>
      </c>
      <c r="F195" s="0" t="n">
        <v>-0.009626660750829</v>
      </c>
      <c r="G195" s="0" t="n">
        <v>-0.0499492786446076</v>
      </c>
      <c r="H195" s="0" t="n">
        <v>0.0052691615552133</v>
      </c>
      <c r="I195" s="0" t="n">
        <v>-0.0189343511042978</v>
      </c>
      <c r="J195" s="0" t="n">
        <v>-0.0032310175946805</v>
      </c>
      <c r="K195" s="0" t="n">
        <v>-0.0259428552404528</v>
      </c>
      <c r="L195" s="0" t="n">
        <v>0.0214642337055206</v>
      </c>
      <c r="M195" s="0" t="n">
        <v>0.0041873877473239</v>
      </c>
      <c r="N195" s="0" t="n">
        <v>-0.0108773613142765</v>
      </c>
      <c r="O195" s="0" t="n">
        <v>-0.0180451754931589</v>
      </c>
      <c r="P195" s="0" t="n">
        <v>0.0071627205160531</v>
      </c>
      <c r="Q195" s="0" t="n">
        <v>-0.0189679353248202</v>
      </c>
      <c r="R195" s="0" t="n">
        <v>-0.003892341987524</v>
      </c>
      <c r="S195" s="0" t="n">
        <v>0.0065181617457685</v>
      </c>
      <c r="T195" s="0" t="n">
        <v>-0.0006314867828498</v>
      </c>
      <c r="U195" s="0" t="n">
        <v>-0.0011087305592143</v>
      </c>
      <c r="V195" s="0" t="n">
        <v>0.0052326768656616</v>
      </c>
      <c r="W195" s="0" t="n">
        <v>-0.0026119304706284</v>
      </c>
      <c r="X195" s="0" t="n">
        <v>-0.0077420282985167</v>
      </c>
    </row>
    <row r="196">
      <c r="A196" s="0" t="inlineStr">
        <is>
          <t>2018-10-09</t>
        </is>
      </c>
      <c r="B196" s="0" t="n">
        <v>-0.0313894837660262</v>
      </c>
      <c r="C196" s="0" t="n">
        <v>-0.0201273693796486</v>
      </c>
      <c r="D196" s="0" t="n">
        <v>-0.0184453909362725</v>
      </c>
      <c r="E196" s="0" t="n">
        <v>-0.0146316755573354</v>
      </c>
      <c r="F196" s="0" t="n">
        <v>-0.0249928503516012</v>
      </c>
      <c r="G196" s="0" t="n">
        <v>-0.0068284375069622</v>
      </c>
      <c r="H196" s="0" t="n">
        <v>-0.0445200832496737</v>
      </c>
      <c r="I196" s="0" t="n">
        <v>0.016958020620128</v>
      </c>
      <c r="J196" s="0" t="n">
        <v>-0.0379270561914188</v>
      </c>
      <c r="K196" s="0" t="n">
        <v>-0.0149190169960928</v>
      </c>
      <c r="L196" s="0" t="n">
        <v>-0.045417451547836</v>
      </c>
      <c r="M196" s="0" t="n">
        <v>-0.0213389493653783</v>
      </c>
      <c r="N196" s="0" t="n">
        <v>-0.0052443795217089</v>
      </c>
      <c r="O196" s="0" t="n">
        <v>-0.019593740350293</v>
      </c>
      <c r="P196" s="0" t="n">
        <v>-0.07234049911025089</v>
      </c>
      <c r="Q196" s="0" t="n">
        <v>-0.0324351932515178</v>
      </c>
      <c r="R196" s="0" t="n">
        <v>-0.0071965427578053</v>
      </c>
      <c r="S196" s="0" t="n">
        <v>-0.0608276854849507</v>
      </c>
      <c r="T196" s="0" t="n">
        <v>-0.0399537795571229</v>
      </c>
      <c r="U196" s="0" t="n">
        <v>-0.0030156142088078</v>
      </c>
      <c r="V196" s="0" t="n">
        <v>-0.0396826111508739</v>
      </c>
      <c r="W196" s="0" t="n">
        <v>-0.0207632691961219</v>
      </c>
      <c r="X196" s="0" t="n">
        <v>-0.0189610106435242</v>
      </c>
    </row>
    <row r="197">
      <c r="A197" s="0" t="inlineStr">
        <is>
          <t>2018-10-10</t>
        </is>
      </c>
      <c r="B197" s="0" t="n">
        <v>-0.0260566236472996</v>
      </c>
      <c r="C197" s="0" t="n">
        <v>-0.0430835978792889</v>
      </c>
      <c r="D197" s="0" t="n">
        <v>-0.0490945381183012</v>
      </c>
      <c r="E197" s="0" t="n">
        <v>-0.0011343478405922</v>
      </c>
      <c r="F197" s="0" t="n">
        <v>-0.0305579038683907</v>
      </c>
      <c r="G197" s="0" t="n">
        <v>-0.0363542800055336</v>
      </c>
      <c r="H197" s="0" t="n">
        <v>-0.0174192686875849</v>
      </c>
      <c r="I197" s="0" t="n">
        <v>0.066021152717159</v>
      </c>
      <c r="J197" s="0" t="n">
        <v>0.0033557047594747</v>
      </c>
      <c r="K197" s="0" t="n">
        <v>-0.0329888522977528</v>
      </c>
      <c r="L197" s="0" t="n">
        <v>0.0067113961416049</v>
      </c>
      <c r="M197" s="0" t="n">
        <v>-0.0389420930822836</v>
      </c>
      <c r="N197" s="0" t="n">
        <v>-0.0379977858586841</v>
      </c>
      <c r="O197" s="0" t="n">
        <v>-0.0340589731420268</v>
      </c>
      <c r="P197" s="0" t="n">
        <v>-0.0346955553342316</v>
      </c>
      <c r="Q197" s="0" t="n">
        <v>-0.0199785002975028</v>
      </c>
      <c r="R197" s="0" t="n">
        <v>-0.0753758249827756</v>
      </c>
      <c r="S197" s="0" t="n">
        <v>0.0193738348772498</v>
      </c>
      <c r="T197" s="0" t="n">
        <v>-0.03365224817151</v>
      </c>
      <c r="U197" s="0" t="n">
        <v>-0.028866003773885</v>
      </c>
      <c r="V197" s="0" t="n">
        <v>-0.0553113058766836</v>
      </c>
      <c r="W197" s="0" t="n">
        <v>-0.0190628991726589</v>
      </c>
      <c r="X197" s="0" t="n">
        <v>-0.0301530259663285</v>
      </c>
    </row>
    <row r="198">
      <c r="A198" s="0" t="inlineStr">
        <is>
          <t>2018-10-11</t>
        </is>
      </c>
      <c r="B198" s="0" t="n">
        <v>0.013077699250779</v>
      </c>
      <c r="C198" s="0" t="n">
        <v>-0.0319515628451996</v>
      </c>
      <c r="D198" s="0" t="n">
        <v>0.0235369591736835</v>
      </c>
      <c r="E198" s="0" t="n">
        <v>-0.019484865025285</v>
      </c>
      <c r="F198" s="0" t="n">
        <v>0.0035198373072988</v>
      </c>
      <c r="G198" s="0" t="n">
        <v>0.006708944496359</v>
      </c>
      <c r="H198" s="0" t="n">
        <v>0.0260164778571634</v>
      </c>
      <c r="I198" s="0" t="n">
        <v>-0.0037105757856248</v>
      </c>
      <c r="J198" s="0" t="n">
        <v>0.0361882036797875</v>
      </c>
      <c r="K198" s="0" t="n">
        <v>0.079092604878773</v>
      </c>
      <c r="L198" s="0" t="n">
        <v>0.0205237537766103</v>
      </c>
      <c r="M198" s="0" t="n">
        <v>0.0224053119764522</v>
      </c>
      <c r="N198" s="0" t="n">
        <v>0.0254915993208491</v>
      </c>
      <c r="O198" s="0" t="n">
        <v>0.0156253179030807</v>
      </c>
      <c r="P198" s="0" t="n">
        <v>-0.0035366935233738</v>
      </c>
      <c r="Q198" s="0" t="n">
        <v>0.0287312827308967</v>
      </c>
      <c r="R198" s="0" t="n">
        <v>0.018813566331989</v>
      </c>
      <c r="S198" s="0" t="n">
        <v>0.0162332654692742</v>
      </c>
      <c r="T198" s="0" t="n">
        <v>0.0354039021386336</v>
      </c>
      <c r="U198" s="0" t="n">
        <v>-0.0174950419620554</v>
      </c>
      <c r="V198" s="0" t="n">
        <v>0.0001738687367067</v>
      </c>
      <c r="W198" s="0" t="n">
        <v>0.012940827401461</v>
      </c>
      <c r="X198" s="0" t="n">
        <v>-0.0227047886824736</v>
      </c>
    </row>
    <row r="199">
      <c r="A199" s="0" t="inlineStr">
        <is>
          <t>2018-10-12</t>
        </is>
      </c>
      <c r="B199" s="0" t="n">
        <v>0.001985948368067</v>
      </c>
      <c r="C199" s="0" t="n">
        <v>-0.0138948004442567</v>
      </c>
      <c r="D199" s="0" t="n">
        <v>0.001266389909488</v>
      </c>
      <c r="E199" s="0" t="n">
        <v>0.019484865025285</v>
      </c>
      <c r="F199" s="0" t="n">
        <v>-0.0191562798660269</v>
      </c>
      <c r="G199" s="0" t="n">
        <v>0.0213164970618997</v>
      </c>
      <c r="H199" s="0" t="n">
        <v>-0.0046801913114498</v>
      </c>
      <c r="I199" s="0" t="n">
        <v>0.0092507068870912</v>
      </c>
      <c r="J199" s="0" t="n">
        <v>-0.0081103755264866</v>
      </c>
      <c r="K199" s="0" t="n">
        <v>0.104599752704924</v>
      </c>
      <c r="L199" s="0" t="n">
        <v>0.0130210047716179</v>
      </c>
      <c r="M199" s="0" t="n">
        <v>-0.01519016238207</v>
      </c>
      <c r="N199" s="0" t="n">
        <v>0.0024171748946488</v>
      </c>
      <c r="O199" s="0" t="n">
        <v>0.003405067809806</v>
      </c>
      <c r="P199" s="0" t="n">
        <v>0.0008853678147442</v>
      </c>
      <c r="Q199" s="0" t="n">
        <v>-0.0198026605397281</v>
      </c>
      <c r="R199" s="0" t="n">
        <v>-0.0205914113515452</v>
      </c>
      <c r="S199" s="0" t="n">
        <v>0.0060891750336793</v>
      </c>
      <c r="T199" s="0" t="n">
        <v>-0.0230149779412904</v>
      </c>
      <c r="U199" s="0" t="n">
        <v>0.0227169810671723</v>
      </c>
      <c r="V199" s="0" t="n">
        <v>0.001737357798822</v>
      </c>
      <c r="W199" s="0" t="n">
        <v>0.0214531444194578</v>
      </c>
      <c r="X199" s="0" t="n">
        <v>-0.009790312194211099</v>
      </c>
    </row>
    <row r="200">
      <c r="A200" s="0" t="inlineStr">
        <is>
          <t>2018-10-15</t>
        </is>
      </c>
      <c r="B200" s="0" t="n">
        <v>0.0278794666962101</v>
      </c>
      <c r="C200" s="0" t="n">
        <v>-0.0041237738535819</v>
      </c>
      <c r="D200" s="0" t="n">
        <v>0.0036994946763062</v>
      </c>
      <c r="E200" s="0" t="n">
        <v>-0.0011357444191011</v>
      </c>
      <c r="F200" s="0" t="n">
        <v>0.0216129086661363</v>
      </c>
      <c r="G200" s="0" t="n">
        <v>-0.0109690033213301</v>
      </c>
      <c r="H200" s="0" t="n">
        <v>0.0391004369604863</v>
      </c>
      <c r="I200" s="0" t="n">
        <v>-0.0073937421821863</v>
      </c>
      <c r="J200" s="0" t="n">
        <v>0.0273109470708692</v>
      </c>
      <c r="K200" s="0" t="n">
        <v>-0.0774063330595717</v>
      </c>
      <c r="L200" s="0" t="n">
        <v>0.0012927929635453</v>
      </c>
      <c r="M200" s="0" t="n">
        <v>0.0186105631045729</v>
      </c>
      <c r="N200" s="0" t="n">
        <v>0.0139058065229491</v>
      </c>
      <c r="O200" s="0" t="n">
        <v>0.000926603287823</v>
      </c>
      <c r="P200" s="0" t="n">
        <v>0.0026513257086295</v>
      </c>
      <c r="Q200" s="0" t="n">
        <v>0.0327898433321156</v>
      </c>
      <c r="R200" s="0" t="n">
        <v>0.0089931614095846</v>
      </c>
      <c r="S200" s="0" t="n">
        <v>0.0405570569247943</v>
      </c>
      <c r="T200" s="0" t="n">
        <v>0.0254185759917073</v>
      </c>
      <c r="U200" s="0" t="n">
        <v>-0.0109648128076864</v>
      </c>
      <c r="V200" s="0" t="n">
        <v>0.0038115294940057</v>
      </c>
      <c r="W200" s="0" t="n">
        <v>0.009161471167692101</v>
      </c>
      <c r="X200" s="0" t="n">
        <v>0.0035075582790966</v>
      </c>
    </row>
    <row r="201">
      <c r="A201" s="0" t="inlineStr">
        <is>
          <t>2018-10-16</t>
        </is>
      </c>
      <c r="B201" s="0" t="n">
        <v>-0.0793480652723168</v>
      </c>
      <c r="C201" s="0" t="n">
        <v>0.0074105600158542</v>
      </c>
      <c r="D201" s="0" t="n">
        <v>0.0227950179317932</v>
      </c>
      <c r="E201" s="0" t="n">
        <v>-0.0045558120822137</v>
      </c>
      <c r="F201" s="0" t="n">
        <v>0.0128853926258427</v>
      </c>
      <c r="G201" s="0" t="n">
        <v>0.0033033669171396</v>
      </c>
      <c r="H201" s="0" t="n">
        <v>0.0007515427138051</v>
      </c>
      <c r="I201" s="0" t="n">
        <v>0.010152427761203</v>
      </c>
      <c r="J201" s="0" t="n">
        <v>-0.0095542037365929</v>
      </c>
      <c r="K201" s="0" t="n">
        <v>-0.0348271282072509</v>
      </c>
      <c r="L201" s="0" t="n">
        <v>0.0286553044889723</v>
      </c>
      <c r="M201" s="0" t="n">
        <v>0.0144635151767995</v>
      </c>
      <c r="N201" s="0" t="n">
        <v>0.0071174497324699</v>
      </c>
      <c r="O201" s="0" t="n">
        <v>0.0055418955788884</v>
      </c>
      <c r="P201" s="0" t="n">
        <v>-0.0088653403183358</v>
      </c>
      <c r="Q201" s="0" t="n">
        <v>-0.008639354137923201</v>
      </c>
      <c r="R201" s="0" t="n">
        <v>0.008644021701041201</v>
      </c>
      <c r="S201" s="0" t="n">
        <v>0.0047580446846318</v>
      </c>
      <c r="T201" s="0" t="n">
        <v>0.0026154970027771</v>
      </c>
      <c r="U201" s="0" t="n">
        <v>-0.0024713996701803</v>
      </c>
      <c r="V201" s="0" t="n">
        <v>0.0183334127309642</v>
      </c>
      <c r="W201" s="0" t="n">
        <v>0.0134949742135819</v>
      </c>
      <c r="X201" s="0" t="n">
        <v>0.0076736065457607</v>
      </c>
    </row>
    <row r="202">
      <c r="A202" s="0" t="inlineStr">
        <is>
          <t>2018-10-17</t>
        </is>
      </c>
      <c r="B202" s="0" t="n">
        <v>-0.0264565689264868</v>
      </c>
      <c r="C202" s="0" t="n">
        <v>0.0154662616562224</v>
      </c>
      <c r="D202" s="0" t="n">
        <v>-0.002468038157394</v>
      </c>
      <c r="E202" s="0" t="n">
        <v>-0.0289539615954477</v>
      </c>
      <c r="F202" s="0" t="n">
        <v>-0.0227481243262919</v>
      </c>
      <c r="G202" s="0" t="n">
        <v>0.0025617467941851</v>
      </c>
      <c r="H202" s="0" t="n">
        <v>-0.0320637856893677</v>
      </c>
      <c r="I202" s="0" t="n">
        <v>0.0018348173876292</v>
      </c>
      <c r="J202" s="0" t="n">
        <v>-0.0145047109736435</v>
      </c>
      <c r="K202" s="0" t="n">
        <v>0.0076337085618987</v>
      </c>
      <c r="L202" s="0" t="n">
        <v>-0.0502036363033981</v>
      </c>
      <c r="M202" s="0" t="n">
        <v>-0.0128713461930916</v>
      </c>
      <c r="N202" s="0" t="n">
        <v>-0.0052144560727276</v>
      </c>
      <c r="O202" s="0" t="n">
        <v>-0.0021515205826072</v>
      </c>
      <c r="P202" s="0" t="n">
        <v>-0.01074315523838</v>
      </c>
      <c r="Q202" s="0" t="n">
        <v>-0.0353238326540856</v>
      </c>
      <c r="R202" s="0" t="n">
        <v>0.0022835414536155</v>
      </c>
      <c r="S202" s="0" t="n">
        <v>-0.0469721406974334</v>
      </c>
      <c r="T202" s="0" t="n">
        <v>-0.0105033690825964</v>
      </c>
      <c r="U202" s="0" t="n">
        <v>0.0051008152592242</v>
      </c>
      <c r="V202" s="0" t="n">
        <v>-0.0508466406537682</v>
      </c>
      <c r="W202" s="0" t="n">
        <v>-0.025289570922665</v>
      </c>
      <c r="X202" s="0" t="n">
        <v>-0.0125875999641769</v>
      </c>
    </row>
    <row r="203">
      <c r="A203" s="0" t="inlineStr">
        <is>
          <t>2018-10-18</t>
        </is>
      </c>
      <c r="B203" s="0" t="n">
        <v>-0.0111689733912774</v>
      </c>
      <c r="C203" s="0" t="n">
        <v>0.0144349488944239</v>
      </c>
      <c r="D203" s="0" t="n">
        <v>-0.0123430898493817</v>
      </c>
      <c r="E203" s="0" t="n">
        <v>-0.0011758059846447</v>
      </c>
      <c r="F203" s="0" t="n">
        <v>0.002474800457088</v>
      </c>
      <c r="G203" s="0" t="n">
        <v>0.0072833117049393</v>
      </c>
      <c r="H203" s="0" t="n">
        <v>0.0015503864460821</v>
      </c>
      <c r="I203" s="0" t="n">
        <v>-0.0027535339126583</v>
      </c>
      <c r="J203" s="0" t="n">
        <v>-0.0246519661440509</v>
      </c>
      <c r="K203" s="0" t="n">
        <v>-0.0540989907722071</v>
      </c>
      <c r="L203" s="0" t="n">
        <v>0.0072345340792625</v>
      </c>
      <c r="M203" s="0" t="n">
        <v>0.0112995552539336</v>
      </c>
      <c r="N203" s="0" t="n">
        <v>0.0441623627750535</v>
      </c>
      <c r="O203" s="0" t="n">
        <v>0.0113202658452959</v>
      </c>
      <c r="P203" s="0" t="n">
        <v>0.0071749120751749</v>
      </c>
      <c r="Q203" s="0" t="n">
        <v>0.0133931509480575</v>
      </c>
      <c r="R203" s="0" t="n">
        <v>-0.0047071363394861</v>
      </c>
      <c r="S203" s="0" t="n">
        <v>-0.0184105573906192</v>
      </c>
      <c r="T203" s="0" t="n">
        <v>-0.0026431498404146</v>
      </c>
      <c r="U203" s="0" t="n">
        <v>0.016601951121526</v>
      </c>
      <c r="V203" s="0" t="n">
        <v>-0.0304702630205961</v>
      </c>
      <c r="W203" s="0" t="n">
        <v>-0.003962625974073</v>
      </c>
      <c r="X203" s="0" t="n">
        <v>-0.0007039936183432</v>
      </c>
    </row>
    <row r="204">
      <c r="A204" s="0" t="inlineStr">
        <is>
          <t>2018-10-19</t>
        </is>
      </c>
      <c r="B204" s="0" t="n">
        <v>0.00710097250633</v>
      </c>
      <c r="C204" s="0" t="n">
        <v>-0.0144349488944239</v>
      </c>
      <c r="D204" s="0" t="n">
        <v>0.0009823676775776999</v>
      </c>
      <c r="E204" s="0" t="n">
        <v>-0.0106447076550395</v>
      </c>
      <c r="F204" s="0" t="n">
        <v>-0.0337554688405652</v>
      </c>
      <c r="G204" s="0" t="n">
        <v>0.0151245261094867</v>
      </c>
      <c r="H204" s="0" t="n">
        <v>0.0206983591896259</v>
      </c>
      <c r="I204" s="0" t="n">
        <v>-0.0298529339317186</v>
      </c>
      <c r="J204" s="0" t="n">
        <v>0.0033222589025656</v>
      </c>
      <c r="K204" s="0" t="n">
        <v>-0.1370063690610203</v>
      </c>
      <c r="L204" s="0" t="n">
        <v>0.0328743891473255</v>
      </c>
      <c r="M204" s="0" t="n">
        <v>-0.0029256478542918</v>
      </c>
      <c r="N204" s="0" t="n">
        <v>-0.032350272250138</v>
      </c>
      <c r="O204" s="0" t="n">
        <v>-0.006103185614986</v>
      </c>
      <c r="P204" s="0" t="n">
        <v>0.0053476438258543</v>
      </c>
      <c r="Q204" s="0" t="n">
        <v>0</v>
      </c>
      <c r="R204" s="0" t="n">
        <v>-0.0182293715921053</v>
      </c>
      <c r="S204" s="0" t="n">
        <v>0.0134230074446497</v>
      </c>
      <c r="T204" s="0" t="n">
        <v>0.009220661946963001</v>
      </c>
      <c r="U204" s="0" t="n">
        <v>-0.010384636216826</v>
      </c>
      <c r="V204" s="0" t="n">
        <v>-0.0650542728647418</v>
      </c>
      <c r="W204" s="0" t="n">
        <v>-0.0237240484295533</v>
      </c>
      <c r="X204" s="0" t="n">
        <v>-0.0387701082029545</v>
      </c>
    </row>
    <row r="205">
      <c r="A205" s="0" t="inlineStr">
        <is>
          <t>2018-10-22</t>
        </is>
      </c>
      <c r="B205" s="0" t="n">
        <v>0.00911082665014</v>
      </c>
      <c r="C205" s="0" t="n">
        <v>0.0247320693317578</v>
      </c>
      <c r="D205" s="0" t="n">
        <v>-0.0147471371732024</v>
      </c>
      <c r="E205" s="0" t="n">
        <v>0.0211772979183657</v>
      </c>
      <c r="F205" s="0" t="n">
        <v>-0.0132354397352596</v>
      </c>
      <c r="G205" s="0" t="n">
        <v>0.0159549835202486</v>
      </c>
      <c r="H205" s="0" t="n">
        <v>-0.0053252806410655</v>
      </c>
      <c r="I205" s="0" t="n">
        <v>0.01036275444944</v>
      </c>
      <c r="J205" s="0" t="n">
        <v>-0.013355858031923</v>
      </c>
      <c r="K205" s="0" t="n">
        <v>-0.1209525869011161</v>
      </c>
      <c r="L205" s="0" t="n">
        <v>-0.0348422931520846</v>
      </c>
      <c r="M205" s="0" t="n">
        <v>-0.0061037934655319</v>
      </c>
      <c r="N205" s="0" t="n">
        <v>0.0098154132255361</v>
      </c>
      <c r="O205" s="0" t="n">
        <v>0.0106562827892044</v>
      </c>
      <c r="P205" s="0" t="n">
        <v>-0.053869724226792</v>
      </c>
      <c r="Q205" s="0" t="n">
        <v>-0.0111484296793329</v>
      </c>
      <c r="R205" s="0" t="n">
        <v>-0.0053685779389001</v>
      </c>
      <c r="S205" s="0" t="n">
        <v>-0.025887718755587</v>
      </c>
      <c r="T205" s="0" t="n">
        <v>-0.0074578140281902</v>
      </c>
      <c r="U205" s="0" t="n">
        <v>0.008769089994126801</v>
      </c>
      <c r="V205" s="0" t="n">
        <v>-0.0045306792040644</v>
      </c>
      <c r="W205" s="0" t="n">
        <v>-0.0017440204025165</v>
      </c>
      <c r="X205" s="0" t="n">
        <v>0.0123682971878849</v>
      </c>
    </row>
    <row r="206">
      <c r="A206" s="0" t="inlineStr">
        <is>
          <t>2018-10-23</t>
        </is>
      </c>
      <c r="B206" s="0" t="n">
        <v>-0.0309598873153476</v>
      </c>
      <c r="C206" s="0" t="n">
        <v>-0.0418403736993147</v>
      </c>
      <c r="D206" s="0" t="n">
        <v>-0.0375661329665746</v>
      </c>
      <c r="E206" s="0" t="n">
        <v>-0.048906565837389</v>
      </c>
      <c r="F206" s="0" t="n">
        <v>-0.0311996705624313</v>
      </c>
      <c r="G206" s="0" t="n">
        <v>-0.0170277094995059</v>
      </c>
      <c r="H206" s="0" t="n">
        <v>-0.0357180488752986</v>
      </c>
      <c r="I206" s="0" t="n">
        <v>-0.0217915302026634</v>
      </c>
      <c r="J206" s="0" t="n">
        <v>-0.0517356254637173</v>
      </c>
      <c r="K206" s="0" t="n">
        <v>-0.0574640151670364</v>
      </c>
      <c r="L206" s="0" t="n">
        <v>-0.0491184874238328</v>
      </c>
      <c r="M206" s="0" t="n">
        <v>-0.0374263816946687</v>
      </c>
      <c r="N206" s="0" t="n">
        <v>-0.031178710926575</v>
      </c>
      <c r="O206" s="0" t="n">
        <v>-0.0839874797239708</v>
      </c>
      <c r="P206" s="0" t="n">
        <v>-0.0441107028329086</v>
      </c>
      <c r="Q206" s="0" t="n">
        <v>-0.0576861178297769</v>
      </c>
      <c r="R206" s="0" t="n">
        <v>-0.037119395634277</v>
      </c>
      <c r="S206" s="0" t="n">
        <v>-0.0587022941927153</v>
      </c>
      <c r="T206" s="0" t="n">
        <v>-0.030173224434471</v>
      </c>
      <c r="U206" s="0" t="n">
        <v>0.0074098744279282</v>
      </c>
      <c r="V206" s="0" t="n">
        <v>-0.0365943452485044</v>
      </c>
      <c r="W206" s="0" t="n">
        <v>-0.0269304284008038</v>
      </c>
      <c r="X206" s="0" t="n">
        <v>-0.0496582258577658</v>
      </c>
    </row>
    <row r="207">
      <c r="A207" s="0" t="inlineStr">
        <is>
          <t>2018-10-24</t>
        </is>
      </c>
      <c r="B207" s="0" t="n">
        <v>-0.0059923079892767</v>
      </c>
      <c r="C207" s="0" t="n">
        <v>-0.0308743682759446</v>
      </c>
      <c r="D207" s="0" t="n">
        <v>0.0146587723714457</v>
      </c>
      <c r="E207" s="0" t="n">
        <v>0.0944206351017169</v>
      </c>
      <c r="F207" s="0" t="n">
        <v>0.0151575320821906</v>
      </c>
      <c r="G207" s="0" t="n">
        <v>0.0017872832775145</v>
      </c>
      <c r="H207" s="0" t="n">
        <v>0.0257525267692373</v>
      </c>
      <c r="I207" s="0" t="n">
        <v>-0.2067555688970568</v>
      </c>
      <c r="J207" s="0" t="n">
        <v>0.0244767229589393</v>
      </c>
      <c r="K207" s="0" t="n">
        <v>0.029812478048965</v>
      </c>
      <c r="L207" s="0" t="n">
        <v>0.0150584820147452</v>
      </c>
      <c r="M207" s="0" t="n">
        <v>0.02165645963876</v>
      </c>
      <c r="N207" s="0" t="n">
        <v>0.0109759891251552</v>
      </c>
      <c r="O207" s="0" t="n">
        <v>-0.0125954952257525</v>
      </c>
      <c r="P207" s="0" t="n">
        <v>0.03278983790323</v>
      </c>
      <c r="Q207" s="0" t="n">
        <v>-0.0412179742245899</v>
      </c>
      <c r="R207" s="0" t="n">
        <v>0.0122438977826808</v>
      </c>
      <c r="S207" s="0" t="n">
        <v>0.017975272927357</v>
      </c>
      <c r="T207" s="0" t="n">
        <v>0.0312735227541609</v>
      </c>
      <c r="U207" s="0" t="n">
        <v>0.0135492383757593</v>
      </c>
      <c r="V207" s="0" t="n">
        <v>0.0077519207012604</v>
      </c>
      <c r="W207" s="0" t="n">
        <v>0.0327320155747381</v>
      </c>
      <c r="X207" s="0" t="n">
        <v>0.0321523250886595</v>
      </c>
    </row>
    <row r="208">
      <c r="A208" s="0" t="inlineStr">
        <is>
          <t>2018-10-25</t>
        </is>
      </c>
      <c r="B208" s="0" t="n">
        <v>-0.01321461712556</v>
      </c>
      <c r="C208" s="0" t="n">
        <v>-0.0432967975712079</v>
      </c>
      <c r="D208" s="0" t="n">
        <v>-0.0140006021147351</v>
      </c>
      <c r="E208" s="0" t="n">
        <v>-0.0011129916857277</v>
      </c>
      <c r="F208" s="0" t="n">
        <v>-0.0075500836063779</v>
      </c>
      <c r="G208" s="0" t="n">
        <v>-0.0151136405763261</v>
      </c>
      <c r="H208" s="0" t="n">
        <v>0.0205877669628264</v>
      </c>
      <c r="I208" s="0" t="n">
        <v>0.0403979205463609</v>
      </c>
      <c r="J208" s="0" t="n">
        <v>-0.0209431538010973</v>
      </c>
      <c r="K208" s="0" t="n">
        <v>-0.0619606022194578</v>
      </c>
      <c r="L208" s="0" t="n">
        <v>0.0234988609465802</v>
      </c>
      <c r="M208" s="0" t="n">
        <v>-0.0188356083398919</v>
      </c>
      <c r="N208" s="0" t="n">
        <v>-0.0841246925868404</v>
      </c>
      <c r="O208" s="0" t="n">
        <v>-0.0301359996529999</v>
      </c>
      <c r="P208" s="0" t="n">
        <v>-0.0278998339095415</v>
      </c>
      <c r="Q208" s="0" t="n">
        <v>0.0220327521518677</v>
      </c>
      <c r="R208" s="0" t="n">
        <v>-0.007813029570062399</v>
      </c>
      <c r="S208" s="0" t="n">
        <v>-0.0713709834902163</v>
      </c>
      <c r="T208" s="0" t="n">
        <v>-0.0271974232293215</v>
      </c>
      <c r="U208" s="0" t="n">
        <v>-0.0011089061702538</v>
      </c>
      <c r="V208" s="0" t="n">
        <v>0.0244894058667179</v>
      </c>
      <c r="W208" s="0" t="n">
        <v>-0.011832173861217</v>
      </c>
      <c r="X208" s="0" t="n">
        <v>0.0014705520465962</v>
      </c>
    </row>
    <row r="209">
      <c r="A209" s="0" t="inlineStr">
        <is>
          <t>2018-10-26</t>
        </is>
      </c>
      <c r="B209" s="0" t="n">
        <v>-0.0421451031961277</v>
      </c>
      <c r="C209" s="0" t="n">
        <v>-0.0124668161115635</v>
      </c>
      <c r="D209" s="0" t="n">
        <v>0.0094486144908545</v>
      </c>
      <c r="E209" s="0" t="n">
        <v>0.0328616866852558</v>
      </c>
      <c r="F209" s="0" t="n">
        <v>0.008301980539427699</v>
      </c>
      <c r="G209" s="0" t="n">
        <v>0.0232943564510161</v>
      </c>
      <c r="H209" s="0" t="n">
        <v>-0.0267701607199497</v>
      </c>
      <c r="I209" s="0" t="n">
        <v>0.0157129374275717</v>
      </c>
      <c r="J209" s="0" t="n">
        <v>-0.0088574876529361</v>
      </c>
      <c r="K209" s="0" t="n">
        <v>-0.1749623591519344</v>
      </c>
      <c r="L209" s="0" t="n">
        <v>-0.0545465288203659</v>
      </c>
      <c r="M209" s="0" t="n">
        <v>0.0146804706339422</v>
      </c>
      <c r="N209" s="0" t="n">
        <v>0.0199341831574537</v>
      </c>
      <c r="O209" s="0" t="n">
        <v>0.0187303020832447</v>
      </c>
      <c r="P209" s="0" t="n">
        <v>-0.0337333726398858</v>
      </c>
      <c r="Q209" s="0" t="n">
        <v>-0.0024242990980936</v>
      </c>
      <c r="R209" s="0" t="n">
        <v>0.0059718385639744</v>
      </c>
      <c r="S209" s="0" t="n">
        <v>-0.0051150956763241</v>
      </c>
      <c r="T209" s="0" t="n">
        <v>-0.0093087253336152</v>
      </c>
      <c r="U209" s="0" t="n">
        <v>0.0234972625453107</v>
      </c>
      <c r="V209" s="0" t="n">
        <v>-0.0139778786184399</v>
      </c>
      <c r="W209" s="0" t="n">
        <v>0.0189414156653078</v>
      </c>
      <c r="X209" s="0" t="n">
        <v>0.0196441718860787</v>
      </c>
    </row>
    <row r="210">
      <c r="A210" s="0" t="inlineStr">
        <is>
          <t>2018-10-29</t>
        </is>
      </c>
      <c r="B210" s="0" t="n">
        <v>-0.036082861363659</v>
      </c>
      <c r="C210" s="0" t="n">
        <v>-0.0919109240054263</v>
      </c>
      <c r="D210" s="0" t="n">
        <v>0.0087142001455422</v>
      </c>
      <c r="E210" s="0" t="n">
        <v>0.0192108690727836</v>
      </c>
      <c r="F210" s="0" t="n">
        <v>0.0063682579767392</v>
      </c>
      <c r="G210" s="0" t="n">
        <v>0.06380766966310999</v>
      </c>
      <c r="H210" s="0" t="n">
        <v>0.039518781504058</v>
      </c>
      <c r="I210" s="0" t="n">
        <v>0.0066593388460902</v>
      </c>
      <c r="J210" s="0" t="n">
        <v>0.0418179828305023</v>
      </c>
      <c r="K210" s="0" t="n">
        <v>0.0300023011778756</v>
      </c>
      <c r="L210" s="0" t="n">
        <v>0.0221769094255943</v>
      </c>
      <c r="M210" s="0" t="n">
        <v>-0.007896003792350101</v>
      </c>
      <c r="N210" s="0" t="n">
        <v>0.0348120118734867</v>
      </c>
      <c r="O210" s="0" t="n">
        <v>0.0276177906267562</v>
      </c>
      <c r="P210" s="0" t="n">
        <v>0.0130327775195526</v>
      </c>
      <c r="Q210" s="0" t="n">
        <v>0.0404335884633446</v>
      </c>
      <c r="R210" s="0" t="n">
        <v>0.0258882220868699</v>
      </c>
      <c r="S210" s="0" t="n">
        <v>0.0334099013990885</v>
      </c>
      <c r="T210" s="0" t="n">
        <v>0.0167387229108553</v>
      </c>
      <c r="U210" s="0" t="n">
        <v>0.0196236010030066</v>
      </c>
      <c r="V210" s="0" t="n">
        <v>0.0058145710794188</v>
      </c>
      <c r="W210" s="0" t="n">
        <v>0.008768624473769899</v>
      </c>
      <c r="X210" s="0" t="n">
        <v>0.0143063819876112</v>
      </c>
    </row>
    <row r="211">
      <c r="A211" s="0" t="inlineStr">
        <is>
          <t>2018-10-30</t>
        </is>
      </c>
      <c r="B211" s="0" t="n">
        <v>0.0002599209741172</v>
      </c>
      <c r="C211" s="0" t="n">
        <v>-0.0078896173718621</v>
      </c>
      <c r="D211" s="0" t="n">
        <v>0.0009226507166095</v>
      </c>
      <c r="E211" s="0" t="n">
        <v>0.0094687873686392</v>
      </c>
      <c r="F211" s="0" t="n">
        <v>0.0265306387692643</v>
      </c>
      <c r="G211" s="0" t="n">
        <v>-0.0110276780571907</v>
      </c>
      <c r="H211" s="0" t="n">
        <v>-0.0188046518867435</v>
      </c>
      <c r="I211" s="0" t="n">
        <v>-0.0022147853599037</v>
      </c>
      <c r="J211" s="0" t="n">
        <v>0.0269376297794274</v>
      </c>
      <c r="K211" s="0" t="n">
        <v>0.1102745334540171</v>
      </c>
      <c r="L211" s="0" t="n">
        <v>0.0343583960906914</v>
      </c>
      <c r="M211" s="0" t="n">
        <v>0.003955839530553</v>
      </c>
      <c r="N211" s="0" t="n">
        <v>0.008759195265767499</v>
      </c>
      <c r="O211" s="0" t="n">
        <v>0.0068684159836305</v>
      </c>
      <c r="P211" s="0" t="n">
        <v>0.0197244867955355</v>
      </c>
      <c r="Q211" s="0" t="n">
        <v>0.0092808003466922</v>
      </c>
      <c r="R211" s="0" t="n">
        <v>0</v>
      </c>
      <c r="S211" s="0" t="n">
        <v>0.0172100556957626</v>
      </c>
      <c r="T211" s="0" t="n">
        <v>0.0259064226903515</v>
      </c>
      <c r="U211" s="0" t="n">
        <v>-0.0126806650336819</v>
      </c>
      <c r="V211" s="0" t="n">
        <v>0.0103421854738683</v>
      </c>
      <c r="W211" s="0" t="n">
        <v>0.0101964804273397</v>
      </c>
      <c r="X211" s="0" t="n">
        <v>0.0175998912047163</v>
      </c>
    </row>
    <row r="212">
      <c r="A212" s="0" t="inlineStr">
        <is>
          <t>2018-10-31</t>
        </is>
      </c>
      <c r="B212" s="0" t="n">
        <v>0.0120556141312322</v>
      </c>
      <c r="C212" s="0" t="n">
        <v>-0.052857832684487</v>
      </c>
      <c r="D212" s="0" t="n">
        <v>-0.0053629515765356</v>
      </c>
      <c r="E212" s="0" t="n">
        <v>-0.0276026257453687</v>
      </c>
      <c r="F212" s="0" t="n">
        <v>0.0112096443695497</v>
      </c>
      <c r="G212" s="0" t="n">
        <v>-0.014554337267679</v>
      </c>
      <c r="H212" s="0" t="n">
        <v>0.026228583862172</v>
      </c>
      <c r="I212" s="0" t="n">
        <v>0.0633598024322439</v>
      </c>
      <c r="J212" s="0" t="n">
        <v>0.0148395388829118</v>
      </c>
      <c r="K212" s="0" t="n">
        <v>-0.0103474937405698</v>
      </c>
      <c r="L212" s="0" t="n">
        <v>0.0274347751663799</v>
      </c>
      <c r="M212" s="0" t="n">
        <v>0.0140668017394038</v>
      </c>
      <c r="N212" s="0" t="n">
        <v>-0.00291118434335</v>
      </c>
      <c r="O212" s="0" t="n">
        <v>-0.0062122329527349</v>
      </c>
      <c r="P212" s="0" t="n">
        <v>-0.1335313660153056</v>
      </c>
      <c r="Q212" s="0" t="n">
        <v>0.0137616722792259</v>
      </c>
      <c r="R212" s="0" t="n">
        <v>0.0275222307508382</v>
      </c>
      <c r="S212" s="0" t="n">
        <v>0.0688709921136863</v>
      </c>
      <c r="T212" s="0" t="n">
        <v>-0.0021881512549475</v>
      </c>
      <c r="U212" s="0" t="n">
        <v>-0.0212890140455099</v>
      </c>
      <c r="V212" s="0" t="n">
        <v>0.0309754991945143</v>
      </c>
      <c r="W212" s="0" t="n">
        <v>0.0061804078782716</v>
      </c>
      <c r="X212" s="0" t="n">
        <v>0.003483123735231</v>
      </c>
    </row>
    <row r="213">
      <c r="A213" s="0" t="inlineStr">
        <is>
          <t>2018-11-01</t>
        </is>
      </c>
      <c r="B213" s="0" t="n">
        <v>-0.0099786089245474</v>
      </c>
      <c r="C213" s="0" t="n">
        <v>-0.0307389985918256</v>
      </c>
      <c r="D213" s="0" t="n">
        <v>-0.0103444434590853</v>
      </c>
      <c r="E213" s="0" t="n">
        <v>0.0096412264991503</v>
      </c>
      <c r="F213" s="0" t="n">
        <v>0.0028725307130779</v>
      </c>
      <c r="G213" s="0" t="n">
        <v>0.0282371753116374</v>
      </c>
      <c r="H213" s="0" t="n">
        <v>0.01030177376817</v>
      </c>
      <c r="I213" s="0" t="n">
        <v>0.0020790504371985</v>
      </c>
      <c r="J213" s="0" t="n">
        <v>0</v>
      </c>
      <c r="K213" s="0" t="n">
        <v>0.0421880688299634</v>
      </c>
      <c r="L213" s="0" t="n">
        <v>-0.004520553251698</v>
      </c>
      <c r="M213" s="0" t="n">
        <v>-0.0170904362229666</v>
      </c>
      <c r="N213" s="0" t="n">
        <v>0.0187730854709307</v>
      </c>
      <c r="O213" s="0" t="n">
        <v>0.0009834679216859999</v>
      </c>
      <c r="P213" s="0" t="n">
        <v>-0.0468389259874739</v>
      </c>
      <c r="Q213" s="0" t="n">
        <v>0.0158195779113299</v>
      </c>
      <c r="R213" s="0" t="n">
        <v>-0.0178988822362642</v>
      </c>
      <c r="S213" s="0" t="n">
        <v>0.0005686795069461</v>
      </c>
      <c r="T213" s="0" t="n">
        <v>-0.0037309816494115</v>
      </c>
      <c r="U213" s="0" t="n">
        <v>0</v>
      </c>
      <c r="V213" s="0" t="n">
        <v>-0.0280119938771621</v>
      </c>
      <c r="W213" s="0" t="n">
        <v>0.0009330827612714</v>
      </c>
      <c r="X213" s="0" t="n">
        <v>-0.0062783709789511</v>
      </c>
    </row>
    <row r="214">
      <c r="A214" s="0" t="inlineStr">
        <is>
          <t>2018-11-02</t>
        </is>
      </c>
      <c r="B214" s="0" t="n">
        <v>0.0372503040114899</v>
      </c>
      <c r="C214" s="0" t="n">
        <v>-0.0010770635504013</v>
      </c>
      <c r="D214" s="0" t="n">
        <v>0.0312626261840041</v>
      </c>
      <c r="E214" s="0" t="n">
        <v>0.0158649144276408</v>
      </c>
      <c r="F214" s="0" t="n">
        <v>0.0060768758864591</v>
      </c>
      <c r="G214" s="0" t="n">
        <v>0.0144787171971625</v>
      </c>
      <c r="H214" s="0" t="n">
        <v>-0.0147495159215464</v>
      </c>
      <c r="I214" s="0" t="n">
        <v>-0.0125393370690369</v>
      </c>
      <c r="J214" s="0" t="n">
        <v>0</v>
      </c>
      <c r="K214" s="0" t="n">
        <v>0.0459370849288855</v>
      </c>
      <c r="L214" s="0" t="n">
        <v>-0.0032415063496342</v>
      </c>
      <c r="M214" s="0" t="n">
        <v>0.0136497237210009</v>
      </c>
      <c r="N214" s="0" t="n">
        <v>0.0014296255537775</v>
      </c>
      <c r="O214" s="0" t="n">
        <v>0.0035976720305517</v>
      </c>
      <c r="P214" s="0" t="n">
        <v>0.0378702646347295</v>
      </c>
      <c r="Q214" s="0" t="n">
        <v>-0.0181000240686877</v>
      </c>
      <c r="R214" s="0" t="n">
        <v>0.008175629521485201</v>
      </c>
      <c r="S214" s="0" t="n">
        <v>-0.0259156898643051</v>
      </c>
      <c r="T214" s="0" t="n">
        <v>0.0144075807001842</v>
      </c>
      <c r="U214" s="0" t="n">
        <v>0.0149651915073709</v>
      </c>
      <c r="V214" s="0" t="n">
        <v>0.0260918264483809</v>
      </c>
      <c r="W214" s="0" t="n">
        <v>0.0009322129293938</v>
      </c>
      <c r="X214" s="0" t="n">
        <v>0.0055827028547672</v>
      </c>
    </row>
    <row r="215">
      <c r="A215" s="0" t="inlineStr">
        <is>
          <t>2018-11-05</t>
        </is>
      </c>
      <c r="B215" s="0" t="n">
        <v>0.025167914349983</v>
      </c>
      <c r="C215" s="0" t="n">
        <v>0.0149735989729187</v>
      </c>
      <c r="D215" s="0" t="n">
        <v>-0.0392570112767005</v>
      </c>
      <c r="E215" s="0" t="n">
        <v>0.0010487918152626</v>
      </c>
      <c r="F215" s="0" t="n">
        <v>0.0053314369182917</v>
      </c>
      <c r="G215" s="0" t="n">
        <v>0.0071614665264592</v>
      </c>
      <c r="H215" s="0" t="n">
        <v>-0.0007432706364416</v>
      </c>
      <c r="I215" s="0" t="n">
        <v>-0.0137641254061318</v>
      </c>
      <c r="J215" s="0" t="n">
        <v>0.0369519974813365</v>
      </c>
      <c r="K215" s="0" t="n">
        <v>0.0067797128480304</v>
      </c>
      <c r="L215" s="0" t="n">
        <v>-0.0071684672027476</v>
      </c>
      <c r="M215" s="0" t="n">
        <v>-0.0117880052955454</v>
      </c>
      <c r="N215" s="0" t="n">
        <v>0.0071174497324699</v>
      </c>
      <c r="O215" s="0" t="n">
        <v>0.010716125704612</v>
      </c>
      <c r="P215" s="0" t="n">
        <v>-0.0193297746474825</v>
      </c>
      <c r="Q215" s="0" t="n">
        <v>0.0113507947908793</v>
      </c>
      <c r="R215" s="0" t="n">
        <v>0.0555588345546897</v>
      </c>
      <c r="S215" s="0" t="n">
        <v>-0.0164708887849882</v>
      </c>
      <c r="T215" s="0" t="n">
        <v>0.0077720730759551</v>
      </c>
      <c r="U215" s="0" t="n">
        <v>0.0037066527869615</v>
      </c>
      <c r="V215" s="0" t="n">
        <v>-0.0131555451813865</v>
      </c>
      <c r="W215" s="0" t="n">
        <v>-0.0020520595073496</v>
      </c>
      <c r="X215" s="0" t="n">
        <v>0.0151936808660266</v>
      </c>
    </row>
    <row r="216">
      <c r="A216" s="0" t="inlineStr">
        <is>
          <t>2018-11-06</t>
        </is>
      </c>
      <c r="B216" s="0" t="n">
        <v>0.0138733762293599</v>
      </c>
      <c r="C216" s="0" t="n">
        <v>-0.0236315873666117</v>
      </c>
      <c r="D216" s="0" t="n">
        <v>0.0354364101789856</v>
      </c>
      <c r="E216" s="0" t="n">
        <v>0.0062696567486586</v>
      </c>
      <c r="F216" s="0" t="n">
        <v>0.011630151567529</v>
      </c>
      <c r="G216" s="0" t="n">
        <v>0.0157686219554102</v>
      </c>
      <c r="H216" s="0" t="n">
        <v>0.0118258050949511</v>
      </c>
      <c r="I216" s="0" t="n">
        <v>-0.0053447685366765</v>
      </c>
      <c r="J216" s="0" t="n">
        <v>-0.0063291288437632</v>
      </c>
      <c r="K216" s="0" t="n">
        <v>0.08791184999306879</v>
      </c>
      <c r="L216" s="0" t="n">
        <v>0.001960126946281</v>
      </c>
      <c r="M216" s="0" t="n">
        <v>0.0318068960342121</v>
      </c>
      <c r="N216" s="0" t="n">
        <v>0.01501669245317</v>
      </c>
      <c r="O216" s="0" t="n">
        <v>0.0045118123008665</v>
      </c>
      <c r="P216" s="0" t="n">
        <v>0.008004581989633899</v>
      </c>
      <c r="Q216" s="0" t="n">
        <v>-0.0136365623876517</v>
      </c>
      <c r="R216" s="0" t="n">
        <v>0.0111061986339624</v>
      </c>
      <c r="S216" s="0" t="n">
        <v>0.0011854506753223</v>
      </c>
      <c r="T216" s="0" t="n">
        <v>0.0296632236790679</v>
      </c>
      <c r="U216" s="0" t="n">
        <v>0.0076781700758266</v>
      </c>
      <c r="V216" s="0" t="n">
        <v>0.0314383415205306</v>
      </c>
      <c r="W216" s="0" t="n">
        <v>0.0005601156441592</v>
      </c>
      <c r="X216" s="0" t="n">
        <v>0.0047863130569716</v>
      </c>
    </row>
    <row r="217">
      <c r="A217" s="0" t="inlineStr">
        <is>
          <t>2018-11-07</t>
        </is>
      </c>
      <c r="B217" s="0" t="n">
        <v>-0.0117638865478237</v>
      </c>
      <c r="C217" s="0" t="n">
        <v>-0.0109291119962899</v>
      </c>
      <c r="D217" s="0" t="n">
        <v>0.0034573526745838</v>
      </c>
      <c r="E217" s="0" t="n">
        <v>-0.0146907511139828</v>
      </c>
      <c r="F217" s="0" t="n">
        <v>0.0114963786168038</v>
      </c>
      <c r="G217" s="0" t="n">
        <v>0.0009574178682192</v>
      </c>
      <c r="H217" s="0" t="n">
        <v>-0.0170437982559752</v>
      </c>
      <c r="I217" s="0" t="n">
        <v>0.0053447685366765</v>
      </c>
      <c r="J217" s="0" t="n">
        <v>-0.0143887615846447</v>
      </c>
      <c r="K217" s="0" t="n">
        <v>-0.066520680468086</v>
      </c>
      <c r="L217" s="0" t="n">
        <v>-0.009839346002649499</v>
      </c>
      <c r="M217" s="0" t="n">
        <v>-0.0124648197843235</v>
      </c>
      <c r="N217" s="0" t="n">
        <v>-0.0183318598551589</v>
      </c>
      <c r="O217" s="0" t="n">
        <v>-0.0019311066409963</v>
      </c>
      <c r="P217" s="0" t="n">
        <v>-0.008004581989633899</v>
      </c>
      <c r="Q217" s="0" t="n">
        <v>-0.0492479453262555</v>
      </c>
      <c r="R217" s="0" t="n">
        <v>0.0161193064675417</v>
      </c>
      <c r="S217" s="0" t="n">
        <v>-0.0101221516320793</v>
      </c>
      <c r="T217" s="0" t="n">
        <v>0.0112103540621615</v>
      </c>
      <c r="U217" s="0" t="n">
        <v>0</v>
      </c>
      <c r="V217" s="0" t="n">
        <v>-0.0034026554566155</v>
      </c>
      <c r="W217" s="0" t="n">
        <v>-0.0078696673159885</v>
      </c>
      <c r="X217" s="0" t="n">
        <v>0.0047635133475205</v>
      </c>
    </row>
    <row r="218">
      <c r="A218" s="0" t="inlineStr">
        <is>
          <t>2018-11-08</t>
        </is>
      </c>
      <c r="B218" s="0" t="n">
        <v>0.0012959961581984</v>
      </c>
      <c r="C218" s="0" t="n">
        <v>-0.0588405000229337</v>
      </c>
      <c r="D218" s="0" t="n">
        <v>0.018983077648115</v>
      </c>
      <c r="E218" s="0" t="n">
        <v>-0.008492611877579199</v>
      </c>
      <c r="F218" s="0" t="n">
        <v>-0.0121974111475222</v>
      </c>
      <c r="G218" s="0" t="n">
        <v>0.001275072162699</v>
      </c>
      <c r="H218" s="0" t="n">
        <v>0.0133632150392366</v>
      </c>
      <c r="I218" s="0" t="n">
        <v>-0.0204638845112041</v>
      </c>
      <c r="J218" s="0" t="n">
        <v>0</v>
      </c>
      <c r="K218" s="0" t="n">
        <v>-0.036367641834812</v>
      </c>
      <c r="L218" s="0" t="n">
        <v>-0.0382982435473517</v>
      </c>
      <c r="M218" s="0" t="n">
        <v>0.0097583962521179</v>
      </c>
      <c r="N218" s="0" t="n">
        <v>-0.1086338454527018</v>
      </c>
      <c r="O218" s="0" t="n">
        <v>-0.0113398387767729</v>
      </c>
      <c r="P218" s="0" t="n">
        <v>0.0159457068796742</v>
      </c>
      <c r="Q218" s="0" t="n">
        <v>0.0190481776689099</v>
      </c>
      <c r="R218" s="0" t="n">
        <v>-0.0027520809712369</v>
      </c>
      <c r="S218" s="0" t="n">
        <v>-0.0193359323016397</v>
      </c>
      <c r="T218" s="0" t="n">
        <v>-0.0278405846667091</v>
      </c>
      <c r="U218" s="0" t="n">
        <v>-0.0302842394022579</v>
      </c>
      <c r="V218" s="0" t="n">
        <v>0.0109228583569338</v>
      </c>
      <c r="W218" s="0" t="n">
        <v>-0.0022598678360128</v>
      </c>
      <c r="X218" s="0" t="n">
        <v>-0.0040816020420066</v>
      </c>
    </row>
    <row r="219">
      <c r="A219" s="0" t="inlineStr">
        <is>
          <t>2018-11-09</t>
        </is>
      </c>
      <c r="B219" s="0" t="n">
        <v>-0.0216012274367827</v>
      </c>
      <c r="C219" s="0" t="n">
        <v>-0.0712431250756506</v>
      </c>
      <c r="D219" s="0" t="n">
        <v>0.008784031292369</v>
      </c>
      <c r="E219" s="0" t="n">
        <v>0.0116588132849662</v>
      </c>
      <c r="F219" s="0" t="n">
        <v>-0.0273697714042713</v>
      </c>
      <c r="G219" s="0" t="n">
        <v>-0.0006373024543973</v>
      </c>
      <c r="H219" s="0" t="n">
        <v>-0.0051756603870209</v>
      </c>
      <c r="I219" s="0" t="n">
        <v>-0.0208913133712336</v>
      </c>
      <c r="J219" s="0" t="n">
        <v>-0.0145988242634789</v>
      </c>
      <c r="K219" s="0" t="n">
        <v>-0.0463240609605706</v>
      </c>
      <c r="L219" s="0" t="n">
        <v>-0.009635335473631801</v>
      </c>
      <c r="M219" s="0" t="n">
        <v>-0.0038465523187327</v>
      </c>
      <c r="N219" s="0" t="n">
        <v>0.0167806611948226</v>
      </c>
      <c r="O219" s="0" t="n">
        <v>0.0029282646855772</v>
      </c>
      <c r="P219" s="0" t="n">
        <v>-0.0509960462825298</v>
      </c>
      <c r="Q219" s="0" t="n">
        <v>-0.0118624676718193</v>
      </c>
      <c r="R219" s="0" t="n">
        <v>0.0063681867538623</v>
      </c>
      <c r="S219" s="0" t="n">
        <v>-0.0372945296648157</v>
      </c>
      <c r="T219" s="0" t="n">
        <v>-0.0321391122248999</v>
      </c>
      <c r="U219" s="0" t="n">
        <v>-0.0356320382537083</v>
      </c>
      <c r="V219" s="0" t="n">
        <v>-0.0101657676357844</v>
      </c>
      <c r="W219" s="0" t="n">
        <v>-0.013094454969774</v>
      </c>
      <c r="X219" s="0" t="n">
        <v>-0.0068399980939441</v>
      </c>
    </row>
    <row r="220">
      <c r="A220" s="0" t="inlineStr">
        <is>
          <t>2018-11-12</t>
        </is>
      </c>
      <c r="B220" s="0" t="n">
        <v>-0.000496444028716</v>
      </c>
      <c r="C220" s="0" t="n">
        <v>0.0747334857099915</v>
      </c>
      <c r="D220" s="0" t="n">
        <v>-0.0071811787105726</v>
      </c>
      <c r="E220" s="0" t="n">
        <v>0.0052548929579372</v>
      </c>
      <c r="F220" s="0" t="n">
        <v>0.000360303691183</v>
      </c>
      <c r="G220" s="0" t="n">
        <v>0.0003186716053487</v>
      </c>
      <c r="H220" s="0" t="n">
        <v>-0.017196615886641</v>
      </c>
      <c r="I220" s="0" t="n">
        <v>-0.0134230074446501</v>
      </c>
      <c r="J220" s="0" t="n">
        <v>0.0048900195005876</v>
      </c>
      <c r="K220" s="0" t="n">
        <v>-0.0380719818981851</v>
      </c>
      <c r="L220" s="0" t="n">
        <v>0.009635335473631801</v>
      </c>
      <c r="M220" s="0" t="n">
        <v>-0.0134659148877283</v>
      </c>
      <c r="N220" s="0" t="n">
        <v>-0.023146673646472</v>
      </c>
      <c r="O220" s="0" t="n">
        <v>-0.0147278315338756</v>
      </c>
      <c r="P220" s="0" t="n">
        <v>-0.0375573470678114</v>
      </c>
      <c r="Q220" s="0" t="n">
        <v>-0.0192776865970811</v>
      </c>
      <c r="R220" s="0" t="n">
        <v>0.0057094199478351</v>
      </c>
      <c r="S220" s="0" t="n">
        <v>-0.0044430218640307</v>
      </c>
      <c r="T220" s="0" t="n">
        <v>-0.0110206099258944</v>
      </c>
      <c r="U220" s="0" t="n">
        <v>-0.0198026397625108</v>
      </c>
      <c r="V220" s="0" t="n">
        <v>-0.0049316929416503</v>
      </c>
      <c r="W220" s="0" t="n">
        <v>0.0074223045815426</v>
      </c>
      <c r="X220" s="0" t="n">
        <v>0.0041096235927544</v>
      </c>
    </row>
    <row r="221">
      <c r="A221" s="0" t="inlineStr">
        <is>
          <t>2018-11-13</t>
        </is>
      </c>
      <c r="B221" s="0" t="n">
        <v>-0.005310329500924</v>
      </c>
      <c r="C221" s="0" t="n">
        <v>-0.0342620193010945</v>
      </c>
      <c r="D221" s="0" t="n">
        <v>-0.0232233827229011</v>
      </c>
      <c r="E221" s="0" t="n">
        <v>0</v>
      </c>
      <c r="F221" s="0" t="n">
        <v>-0.0200116247351958</v>
      </c>
      <c r="G221" s="0" t="n">
        <v>-0.0353530652961286</v>
      </c>
      <c r="H221" s="0" t="n">
        <v>0.0164551048803183</v>
      </c>
      <c r="I221" s="0" t="n">
        <v>0.0288588531371529</v>
      </c>
      <c r="J221" s="0" t="n">
        <v>0.0161293664229844</v>
      </c>
      <c r="K221" s="0" t="n">
        <v>-0.0840307451543633</v>
      </c>
      <c r="L221" s="0" t="n">
        <v>-0.0048060956379192</v>
      </c>
      <c r="M221" s="0" t="n">
        <v>-0.0141157176187185</v>
      </c>
      <c r="N221" s="0" t="n">
        <v>0.0147915414598496</v>
      </c>
      <c r="O221" s="0" t="n">
        <v>0.0059171870454131</v>
      </c>
      <c r="P221" s="0" t="n">
        <v>-0.0415939468486237</v>
      </c>
      <c r="Q221" s="0" t="n">
        <v>0.0216614188828596</v>
      </c>
      <c r="R221" s="0" t="n">
        <v>-0.0109508918671261</v>
      </c>
      <c r="S221" s="0" t="n">
        <v>0.0006358839812463</v>
      </c>
      <c r="T221" s="0" t="n">
        <v>-0.0176638934549839</v>
      </c>
      <c r="U221" s="0" t="n">
        <v>-0.0151136636286421</v>
      </c>
      <c r="V221" s="0" t="n">
        <v>0</v>
      </c>
      <c r="W221" s="0" t="n">
        <v>-0.0112500020442452</v>
      </c>
      <c r="X221" s="0" t="n">
        <v>-0.0116880034856565</v>
      </c>
    </row>
    <row r="222">
      <c r="A222" s="0" t="inlineStr">
        <is>
          <t>2018-11-14</t>
        </is>
      </c>
      <c r="B222" s="0" t="n">
        <v>0.010263337039019</v>
      </c>
      <c r="C222" s="0" t="n">
        <v>-0.0181933552995099</v>
      </c>
      <c r="D222" s="0" t="n">
        <v>0.0215313885127104</v>
      </c>
      <c r="E222" s="0" t="n">
        <v>-0.024404345100975</v>
      </c>
      <c r="F222" s="0" t="n">
        <v>0.0250421560061391</v>
      </c>
      <c r="G222" s="0" t="n">
        <v>-0.0086207504039879</v>
      </c>
      <c r="H222" s="0" t="n">
        <v>0.0285211535556952</v>
      </c>
      <c r="I222" s="0" t="n">
        <v>0.0141230059302346</v>
      </c>
      <c r="J222" s="0" t="n">
        <v>0.0111377715720657</v>
      </c>
      <c r="K222" s="0" t="n">
        <v>0.0750351906060846</v>
      </c>
      <c r="L222" s="0" t="n">
        <v>0.0271571727871049</v>
      </c>
      <c r="M222" s="0" t="n">
        <v>0.0069670333085483</v>
      </c>
      <c r="N222" s="0" t="n">
        <v>-0.005784955069835</v>
      </c>
      <c r="O222" s="0" t="n">
        <v>-0.0128650754357542</v>
      </c>
      <c r="P222" s="0" t="n">
        <v>0</v>
      </c>
      <c r="Q222" s="0" t="n">
        <v>0.007117517691026</v>
      </c>
      <c r="R222" s="0" t="n">
        <v>-0.0010015252940993</v>
      </c>
      <c r="S222" s="0" t="n">
        <v>0.023249607715317</v>
      </c>
      <c r="T222" s="0" t="n">
        <v>0.0535802914632914</v>
      </c>
      <c r="U222" s="0" t="n">
        <v>-0.0312793972522262</v>
      </c>
      <c r="V222" s="0" t="n">
        <v>0.0128473390194661</v>
      </c>
      <c r="W222" s="0" t="n">
        <v>0.0127656903851263</v>
      </c>
      <c r="X222" s="0" t="n">
        <v>0.0218886780844318</v>
      </c>
    </row>
    <row r="223">
      <c r="A223" s="0" t="inlineStr">
        <is>
          <t>2018-11-15</t>
        </is>
      </c>
      <c r="B223" s="0" t="n">
        <v>0.0010698923062877</v>
      </c>
      <c r="C223" s="0" t="n">
        <v>-0.0185304966811057</v>
      </c>
      <c r="D223" s="0" t="n">
        <v>0.0144231575336686</v>
      </c>
      <c r="E223" s="0" t="n">
        <v>-0.0283243575730756</v>
      </c>
      <c r="F223" s="0" t="n">
        <v>-0.0053908349621263</v>
      </c>
      <c r="G223" s="0" t="n">
        <v>0.0069686388819318</v>
      </c>
      <c r="H223" s="0" t="n">
        <v>0.0086145459463407</v>
      </c>
      <c r="I223" s="0" t="n">
        <v>0.01817250674753</v>
      </c>
      <c r="J223" s="0" t="n">
        <v>-0.007942883717569901</v>
      </c>
      <c r="K223" s="0" t="n">
        <v>-0.036813938113964</v>
      </c>
      <c r="L223" s="0" t="n">
        <v>0.0026755842775929</v>
      </c>
      <c r="M223" s="0" t="n">
        <v>0.0069188294000293</v>
      </c>
      <c r="N223" s="0" t="n">
        <v>0.011015112497847</v>
      </c>
      <c r="O223" s="0" t="n">
        <v>0.0056282244698575</v>
      </c>
      <c r="P223" s="0" t="n">
        <v>-0.0194938072447343</v>
      </c>
      <c r="Q223" s="0" t="n">
        <v>0.0279738256097599</v>
      </c>
      <c r="R223" s="0" t="n">
        <v>-0.0064081957397013</v>
      </c>
      <c r="S223" s="0" t="n">
        <v>-0.0125002104498102</v>
      </c>
      <c r="T223" s="0" t="n">
        <v>-0.0090207224342764</v>
      </c>
      <c r="U223" s="0" t="n">
        <v>-0.008767371795229</v>
      </c>
      <c r="V223" s="0" t="n">
        <v>0.0149061682276454</v>
      </c>
      <c r="W223" s="0" t="n">
        <v>0.0022692697671069</v>
      </c>
      <c r="X223" s="0" t="n">
        <v>0.0006763766903139</v>
      </c>
    </row>
    <row r="224">
      <c r="A224" s="0" t="inlineStr">
        <is>
          <t>2018-11-16</t>
        </is>
      </c>
      <c r="B224" s="0" t="n">
        <v>-0.0104185013046098</v>
      </c>
      <c r="C224" s="0" t="n">
        <v>-0.0226995490274437</v>
      </c>
      <c r="D224" s="0" t="n">
        <v>0.0172447726921545</v>
      </c>
      <c r="E224" s="0" t="n">
        <v>0.0218587727368237</v>
      </c>
      <c r="F224" s="0" t="n">
        <v>0</v>
      </c>
      <c r="G224" s="0" t="n">
        <v>0.0105264030801235</v>
      </c>
      <c r="H224" s="0" t="n">
        <v>0</v>
      </c>
      <c r="I224" s="0" t="n">
        <v>0.0042283322731351</v>
      </c>
      <c r="J224" s="0" t="n">
        <v>-0.0357180480336327</v>
      </c>
      <c r="K224" s="0" t="n">
        <v>-0.049649898489499</v>
      </c>
      <c r="L224" s="0" t="n">
        <v>-0.0168410848278584</v>
      </c>
      <c r="M224" s="0" t="n">
        <v>0.0152814467435136</v>
      </c>
      <c r="N224" s="0" t="n">
        <v>-0.0073298436470916</v>
      </c>
      <c r="O224" s="0" t="n">
        <v>0.0019788748099816</v>
      </c>
      <c r="P224" s="0" t="n">
        <v>-0.0026281199361224</v>
      </c>
      <c r="Q224" s="0" t="n">
        <v>-0.009237932337597199</v>
      </c>
      <c r="R224" s="0" t="n">
        <v>-0.0098809868426235</v>
      </c>
      <c r="S224" s="0" t="n">
        <v>-0.0456817962512334</v>
      </c>
      <c r="T224" s="0" t="n">
        <v>-0.0130294673695372</v>
      </c>
      <c r="U224" s="0" t="n">
        <v>-0.0195631080389517</v>
      </c>
      <c r="V224" s="0" t="n">
        <v>-0.010971754075614</v>
      </c>
      <c r="W224" s="0" t="n">
        <v>0.0071523187285942</v>
      </c>
      <c r="X224" s="0" t="n">
        <v>0.0033749738779693</v>
      </c>
    </row>
    <row r="225">
      <c r="A225" s="0" t="inlineStr">
        <is>
          <t>2018-11-19</t>
        </is>
      </c>
      <c r="B225" s="0" t="n">
        <v>-0.0261898736487813</v>
      </c>
      <c r="C225" s="0" t="n">
        <v>-0.0245332159596778</v>
      </c>
      <c r="D225" s="0" t="n">
        <v>-0.0094565086231233</v>
      </c>
      <c r="E225" s="0" t="n">
        <v>-0.020754385154138</v>
      </c>
      <c r="F225" s="0" t="n">
        <v>-0.0134230509834707</v>
      </c>
      <c r="G225" s="0" t="n">
        <v>-0.0322554752537556</v>
      </c>
      <c r="H225" s="0" t="n">
        <v>-0.0341727371970868</v>
      </c>
      <c r="I225" s="0" t="n">
        <v>0.0021075306268731</v>
      </c>
      <c r="J225" s="0" t="n">
        <v>-0.0302036892250658</v>
      </c>
      <c r="K225" s="0" t="n">
        <v>-0.0099010612441068</v>
      </c>
      <c r="L225" s="0" t="n">
        <v>-0.0451622820047976</v>
      </c>
      <c r="M225" s="0" t="n">
        <v>-0.0148218773781216</v>
      </c>
      <c r="N225" s="0" t="n">
        <v>-0.028786684369972</v>
      </c>
      <c r="O225" s="0" t="n">
        <v>-0.0311218123079668</v>
      </c>
      <c r="P225" s="0" t="n">
        <v>-0.0737031913436694</v>
      </c>
      <c r="Q225" s="0" t="n">
        <v>-0.0306266853700987</v>
      </c>
      <c r="R225" s="0" t="n">
        <v>-0.0393379261664561</v>
      </c>
      <c r="S225" s="0" t="n">
        <v>0.0019730809949938</v>
      </c>
      <c r="T225" s="0" t="n">
        <v>-0.0279273091767473</v>
      </c>
      <c r="U225" s="0" t="n">
        <v>-0.000898378219504</v>
      </c>
      <c r="V225" s="0" t="n">
        <v>0.0007476806988933</v>
      </c>
      <c r="W225" s="0" t="n">
        <v>-0.014736687904298</v>
      </c>
      <c r="X225" s="0" t="n">
        <v>-0.018361648759813</v>
      </c>
    </row>
    <row r="226">
      <c r="A226" s="0" t="inlineStr">
        <is>
          <t>2018-11-20</t>
        </is>
      </c>
      <c r="B226" s="0" t="n">
        <v>0.0116216497921541</v>
      </c>
      <c r="C226" s="0" t="n">
        <v>0.0206993308705902</v>
      </c>
      <c r="D226" s="0" t="n">
        <v>-0.0219440205526666</v>
      </c>
      <c r="E226" s="0" t="n">
        <v>0.0055035072153089</v>
      </c>
      <c r="F226" s="0" t="n">
        <v>-0.0040255755651292</v>
      </c>
      <c r="G226" s="0" t="n">
        <v>-0.0020297525605532</v>
      </c>
      <c r="H226" s="0" t="n">
        <v>0.005164205274303</v>
      </c>
      <c r="I226" s="0" t="n">
        <v>0.0321105177451586</v>
      </c>
      <c r="J226" s="0" t="n">
        <v>0.0285493912868921</v>
      </c>
      <c r="K226" s="0" t="n">
        <v>0.0358344182151288</v>
      </c>
      <c r="L226" s="0" t="n">
        <v>0.0197051193524098</v>
      </c>
      <c r="M226" s="0" t="n">
        <v>-0.009927365814926099</v>
      </c>
      <c r="N226" s="0" t="n">
        <v>-0.0081455578720817</v>
      </c>
      <c r="O226" s="0" t="n">
        <v>0.0118264726378023</v>
      </c>
      <c r="P226" s="0" t="n">
        <v>0.0456826734929385</v>
      </c>
      <c r="Q226" s="0" t="n">
        <v>0.0189580085400591</v>
      </c>
      <c r="R226" s="0" t="n">
        <v>-0.0057101320441326</v>
      </c>
      <c r="S226" s="0" t="n">
        <v>0.0291376912585805</v>
      </c>
      <c r="T226" s="0" t="n">
        <v>0.0089505566524534</v>
      </c>
      <c r="U226" s="0" t="n">
        <v>-0.0225423410744385</v>
      </c>
      <c r="V226" s="0" t="n">
        <v>-0.0059970136845399</v>
      </c>
      <c r="W226" s="0" t="n">
        <v>-0.002095849277659</v>
      </c>
      <c r="X226" s="0" t="n">
        <v>-0.0103484621139786</v>
      </c>
    </row>
    <row r="227">
      <c r="A227" s="0" t="inlineStr">
        <is>
          <t>2018-11-21</t>
        </is>
      </c>
      <c r="B227" s="0" t="n">
        <v>-0.0117069307927772</v>
      </c>
      <c r="C227" s="0" t="n">
        <v>-0.0312118861689221</v>
      </c>
      <c r="D227" s="0" t="n">
        <v>0.0056863713622039</v>
      </c>
      <c r="E227" s="0" t="n">
        <v>0.0021930335559745</v>
      </c>
      <c r="F227" s="0" t="n">
        <v>-0.0110621019518086</v>
      </c>
      <c r="G227" s="0" t="n">
        <v>0.0054035877551594</v>
      </c>
      <c r="H227" s="0" t="n">
        <v>-0.0073856565729295</v>
      </c>
      <c r="I227" s="0" t="n">
        <v>-0.0405672196642372</v>
      </c>
      <c r="J227" s="0" t="n">
        <v>0.0033057850079034</v>
      </c>
      <c r="K227" s="0" t="n">
        <v>-0.0292228303966108</v>
      </c>
      <c r="L227" s="0" t="n">
        <v>-0.0789979667700961</v>
      </c>
      <c r="M227" s="0" t="n">
        <v>0.0009276651063729</v>
      </c>
      <c r="N227" s="0" t="n">
        <v>-0.025401752339893</v>
      </c>
      <c r="O227" s="0" t="n">
        <v>-0.013867965869506</v>
      </c>
      <c r="P227" s="0" t="n">
        <v>-0.0372200075424866</v>
      </c>
      <c r="Q227" s="0" t="n">
        <v>-0.021353159902788</v>
      </c>
      <c r="R227" s="0" t="n">
        <v>0.0011978968531103</v>
      </c>
      <c r="S227" s="0" t="n">
        <v>-0.0012771686256201</v>
      </c>
      <c r="T227" s="0" t="n">
        <v>-0.007827356812843</v>
      </c>
      <c r="U227" s="0" t="n">
        <v>-0.0123949078346332</v>
      </c>
      <c r="V227" s="0" t="n">
        <v>-0.0050881190530209</v>
      </c>
      <c r="W227" s="0" t="n">
        <v>-0.0115097848753737</v>
      </c>
      <c r="X227" s="0" t="n">
        <v>0.0034614219497073</v>
      </c>
    </row>
    <row r="228">
      <c r="A228" s="0" t="inlineStr">
        <is>
          <t>2018-11-23</t>
        </is>
      </c>
      <c r="B228" s="0" t="n">
        <v>0.0200217468924126</v>
      </c>
      <c r="C228" s="0" t="n">
        <v>0.0013201372175606</v>
      </c>
      <c r="D228" s="0" t="n">
        <v>-0.0043507770576454</v>
      </c>
      <c r="E228" s="0" t="n">
        <v>0.0291439415525922</v>
      </c>
      <c r="F228" s="0" t="n">
        <v>0.0216403150754249</v>
      </c>
      <c r="G228" s="0" t="n">
        <v>-0.0040499832195295</v>
      </c>
      <c r="H228" s="0" t="n">
        <v>-0.0393096357535123</v>
      </c>
      <c r="I228" s="0" t="n">
        <v>0.0147526742688524</v>
      </c>
      <c r="J228" s="0" t="n">
        <v>0.0131149297751309</v>
      </c>
      <c r="K228" s="0" t="n">
        <v>-0.0664074308407132</v>
      </c>
      <c r="L228" s="0" t="n">
        <v>-0.039220730414355</v>
      </c>
      <c r="M228" s="0" t="n">
        <v>0.0046253728160787</v>
      </c>
      <c r="N228" s="0" t="n">
        <v>0.0308395242819812</v>
      </c>
      <c r="O228" s="0" t="n">
        <v>0.0198961255003737</v>
      </c>
      <c r="P228" s="0" t="n">
        <v>-0.0112995445993746</v>
      </c>
      <c r="Q228" s="0" t="n">
        <v>-0.0267330945866879</v>
      </c>
      <c r="R228" s="0" t="n">
        <v>0.0347701486358218</v>
      </c>
      <c r="S228" s="0" t="n">
        <v>0.0208670190809914</v>
      </c>
      <c r="T228" s="0" t="n">
        <v>0.0228619161945409</v>
      </c>
      <c r="U228" s="0" t="n">
        <v>-0.009539062976124</v>
      </c>
      <c r="V228" s="0" t="n">
        <v>-0.0037857467744419</v>
      </c>
      <c r="W228" s="0" t="n">
        <v>0.0200560482125813</v>
      </c>
      <c r="X228" s="0" t="n">
        <v>0.0191655236884762</v>
      </c>
    </row>
    <row r="229">
      <c r="A229" s="0" t="inlineStr">
        <is>
          <t>2018-11-26</t>
        </is>
      </c>
      <c r="B229" s="0" t="n">
        <v>0.0039233843714576</v>
      </c>
      <c r="C229" s="0" t="n">
        <v>-0.0186423555577643</v>
      </c>
      <c r="D229" s="0" t="n">
        <v>0.0162404626800949</v>
      </c>
      <c r="E229" s="0" t="n">
        <v>-0.0128481306706187</v>
      </c>
      <c r="F229" s="0" t="n">
        <v>0.0065099798682584</v>
      </c>
      <c r="G229" s="0" t="n">
        <v>0.0157695338289425</v>
      </c>
      <c r="H229" s="0" t="n">
        <v>0.0422705107806296</v>
      </c>
      <c r="I229" s="0" t="n">
        <v>-0.0200746869194836</v>
      </c>
      <c r="J229" s="0" t="n">
        <v>-0.0065359648687737</v>
      </c>
      <c r="K229" s="0" t="n">
        <v>-0.0322031102725608</v>
      </c>
      <c r="L229" s="0" t="n">
        <v>0.0109205719814746</v>
      </c>
      <c r="M229" s="0" t="n">
        <v>0.0167032723001687</v>
      </c>
      <c r="N229" s="0" t="n">
        <v>0.0070251118404507</v>
      </c>
      <c r="O229" s="0" t="n">
        <v>0.0162282005028551</v>
      </c>
      <c r="P229" s="0" t="n">
        <v>-0.0244440751751557</v>
      </c>
      <c r="Q229" s="0" t="n">
        <v>0.0386521188103687</v>
      </c>
      <c r="R229" s="0" t="n">
        <v>0.0211016308291638</v>
      </c>
      <c r="S229" s="0" t="n">
        <v>0.0025000585226329</v>
      </c>
      <c r="T229" s="0" t="n">
        <v>0.0119970736624437</v>
      </c>
      <c r="U229" s="0" t="n">
        <v>0.0108412619032001</v>
      </c>
      <c r="V229" s="0" t="n">
        <v>-0.0304220226320128</v>
      </c>
      <c r="W229" s="0" t="n">
        <v>0.0058451671933501</v>
      </c>
      <c r="X229" s="0" t="n">
        <v>-0.0081688599314504</v>
      </c>
    </row>
    <row r="230">
      <c r="A230" s="0" t="inlineStr">
        <is>
          <t>2018-11-27</t>
        </is>
      </c>
      <c r="B230" s="0" t="n">
        <v>0.0244426540051474</v>
      </c>
      <c r="C230" s="0" t="n">
        <v>0.0395307938034945</v>
      </c>
      <c r="D230" s="0" t="n">
        <v>0.011403802004799</v>
      </c>
      <c r="E230" s="0" t="n">
        <v>0.0139114193583314</v>
      </c>
      <c r="F230" s="0" t="n">
        <v>0.0245695297614769</v>
      </c>
      <c r="G230" s="0" t="n">
        <v>0.0069663271039748</v>
      </c>
      <c r="H230" s="0" t="n">
        <v>0.0305700358439513</v>
      </c>
      <c r="I230" s="0" t="n">
        <v>0.0148308165880037</v>
      </c>
      <c r="J230" s="0" t="n">
        <v>0.0146463403952603</v>
      </c>
      <c r="K230" s="0" t="n">
        <v>0.08032239523933191</v>
      </c>
      <c r="L230" s="0" t="n">
        <v>0.0477182608871675</v>
      </c>
      <c r="M230" s="0" t="n">
        <v>0.0186585568030488</v>
      </c>
      <c r="N230" s="0" t="n">
        <v>0.008579133085056799</v>
      </c>
      <c r="O230" s="0" t="n">
        <v>0.009807180126632099</v>
      </c>
      <c r="P230" s="0" t="n">
        <v>0.002906976071378</v>
      </c>
      <c r="Q230" s="0" t="n">
        <v>0.0211028125091468</v>
      </c>
      <c r="R230" s="0" t="n">
        <v>0.009638888662673</v>
      </c>
      <c r="S230" s="0" t="n">
        <v>0.004981325469465</v>
      </c>
      <c r="T230" s="0" t="n">
        <v>0.025052203774257</v>
      </c>
      <c r="U230" s="0" t="n">
        <v>0.0213361014283277</v>
      </c>
      <c r="V230" s="0" t="n">
        <v>0.0164811963523376</v>
      </c>
      <c r="W230" s="0" t="n">
        <v>0.021574202556537</v>
      </c>
      <c r="X230" s="0" t="n">
        <v>0.0034118211205318</v>
      </c>
    </row>
    <row r="231">
      <c r="A231" s="0" t="inlineStr">
        <is>
          <t>2018-11-28</t>
        </is>
      </c>
      <c r="B231" s="0" t="n">
        <v>-0.012434687561238</v>
      </c>
      <c r="C231" s="0" t="n">
        <v>0.0255116220331101</v>
      </c>
      <c r="D231" s="0" t="n">
        <v>0.0126437088689428</v>
      </c>
      <c r="E231" s="0" t="n">
        <v>-0.0042598533449988</v>
      </c>
      <c r="F231" s="0" t="n">
        <v>-0.0138128415800453</v>
      </c>
      <c r="G231" s="0" t="n">
        <v>0.0036297881543849</v>
      </c>
      <c r="H231" s="0" t="n">
        <v>0.0042918479094495</v>
      </c>
      <c r="I231" s="0" t="n">
        <v>-0.0084477716171984</v>
      </c>
      <c r="J231" s="0" t="n">
        <v>0.0207841393798553</v>
      </c>
      <c r="K231" s="0" t="n">
        <v>-0.0516466222216573</v>
      </c>
      <c r="L231" s="0" t="n">
        <v>-0.0037050942268397</v>
      </c>
      <c r="M231" s="0" t="n">
        <v>0.0134942164151277</v>
      </c>
      <c r="N231" s="0" t="n">
        <v>-0.0058901750953337</v>
      </c>
      <c r="O231" s="0" t="n">
        <v>-0.0055456047448254</v>
      </c>
      <c r="P231" s="0" t="n">
        <v>0.0115441290232345</v>
      </c>
      <c r="Q231" s="0" t="n">
        <v>-0.002322823782987</v>
      </c>
      <c r="R231" s="0" t="n">
        <v>-0.0033692756490779</v>
      </c>
      <c r="S231" s="0" t="n">
        <v>-0.0018651349251714</v>
      </c>
      <c r="T231" s="0" t="n">
        <v>0.0010567312934366</v>
      </c>
      <c r="U231" s="0" t="n">
        <v>0.0178559684905774</v>
      </c>
      <c r="V231" s="0" t="n">
        <v>-0.003467549336614</v>
      </c>
      <c r="W231" s="0" t="n">
        <v>-0.0057200554585103</v>
      </c>
      <c r="X231" s="0" t="n">
        <v>-0.0123373945483815</v>
      </c>
    </row>
    <row r="232">
      <c r="A232" s="0" t="inlineStr">
        <is>
          <t>2018-11-29</t>
        </is>
      </c>
      <c r="B232" s="0" t="n">
        <v>0.0227069229934979</v>
      </c>
      <c r="C232" s="0" t="n">
        <v>-0.0570102798662364</v>
      </c>
      <c r="D232" s="0" t="n">
        <v>0.0139197578873524</v>
      </c>
      <c r="E232" s="0" t="n">
        <v>0.0042598533449988</v>
      </c>
      <c r="F232" s="0" t="n">
        <v>0.0127570369179776</v>
      </c>
      <c r="G232" s="0" t="n">
        <v>-0.0233266410660175</v>
      </c>
      <c r="H232" s="0" t="n">
        <v>-0.0010712618958037</v>
      </c>
      <c r="I232" s="0" t="n">
        <v>-0.0160346109841378</v>
      </c>
      <c r="J232" s="0" t="n">
        <v>-0.0143428994594594</v>
      </c>
      <c r="K232" s="0" t="n">
        <v>0.0105449034558247</v>
      </c>
      <c r="L232" s="0" t="n">
        <v>0.016930808665589</v>
      </c>
      <c r="M232" s="0" t="n">
        <v>0.0156968829509835</v>
      </c>
      <c r="N232" s="0" t="n">
        <v>0.009620512333485799</v>
      </c>
      <c r="O232" s="0" t="n">
        <v>0.0216801917250304</v>
      </c>
      <c r="P232" s="0" t="n">
        <v>-0.0365270713572267</v>
      </c>
      <c r="Q232" s="0" t="n">
        <v>-0.007001244282786</v>
      </c>
      <c r="R232" s="0" t="n">
        <v>0.0024968421467441</v>
      </c>
      <c r="S232" s="0" t="n">
        <v>0.0024860743163674</v>
      </c>
      <c r="T232" s="0" t="n">
        <v>0.0111333737825143</v>
      </c>
      <c r="U232" s="0" t="n">
        <v>-0.0200421404133752</v>
      </c>
      <c r="V232" s="0" t="n">
        <v>0.0311575243404944</v>
      </c>
      <c r="W232" s="0" t="n">
        <v>0.0044312824440058</v>
      </c>
      <c r="X232" s="0" t="n">
        <v>0.0061877235665539</v>
      </c>
    </row>
    <row r="233">
      <c r="A233" s="0" t="inlineStr">
        <is>
          <t>2018-11-30</t>
        </is>
      </c>
      <c r="B233" s="0" t="n">
        <v>0.008334056889584201</v>
      </c>
      <c r="C233" s="0" t="n">
        <v>0.0405019685387575</v>
      </c>
      <c r="D233" s="0" t="n">
        <v>-0.0010119983035181</v>
      </c>
      <c r="E233" s="0" t="n">
        <v>0.0199902008284351</v>
      </c>
      <c r="F233" s="0" t="n">
        <v>0.0049175123923057</v>
      </c>
      <c r="G233" s="0" t="n">
        <v>0.0033658860905951</v>
      </c>
      <c r="H233" s="0" t="n">
        <v>-0.0118599401515688</v>
      </c>
      <c r="I233" s="0" t="n">
        <v>0.0181532032986146</v>
      </c>
      <c r="J233" s="0" t="n">
        <v>0.0143428994594594</v>
      </c>
      <c r="K233" s="0" t="n">
        <v>-0.0052585105173652</v>
      </c>
      <c r="L233" s="0" t="n">
        <v>0.0273595263994659</v>
      </c>
      <c r="M233" s="0" t="n">
        <v>-0.0052049100500846</v>
      </c>
      <c r="N233" s="0" t="n">
        <v>-0.0005319671044641</v>
      </c>
      <c r="O233" s="0" t="n">
        <v>0.0149327420334528</v>
      </c>
      <c r="P233" s="0" t="n">
        <v>0.0564141392799695</v>
      </c>
      <c r="Q233" s="0" t="n">
        <v>0.0116416192187733</v>
      </c>
      <c r="R233" s="0" t="n">
        <v>-0.008514956687267001</v>
      </c>
      <c r="S233" s="0" t="n">
        <v>0.0166207921142866</v>
      </c>
      <c r="T233" s="0" t="n">
        <v>0.0180111015426258</v>
      </c>
      <c r="U233" s="0" t="n">
        <v>0.0162810705564089</v>
      </c>
      <c r="V233" s="0" t="n">
        <v>-0.003372690264269</v>
      </c>
      <c r="W233" s="0" t="n">
        <v>-0.0007371379003404</v>
      </c>
      <c r="X233" s="0" t="n">
        <v>-0.0075680176490262</v>
      </c>
    </row>
    <row r="234">
      <c r="A234" s="0" t="inlineStr">
        <is>
          <t>2018-12-03</t>
        </is>
      </c>
      <c r="B234" s="0" t="n">
        <v>-0.0300536907105408</v>
      </c>
      <c r="C234" s="0" t="n">
        <v>-0.07027410652737549</v>
      </c>
      <c r="D234" s="0" t="n">
        <v>-0.0170187911002921</v>
      </c>
      <c r="E234" s="0" t="n">
        <v>-0.0447359003342717</v>
      </c>
      <c r="F234" s="0" t="n">
        <v>-0.0558402255777656</v>
      </c>
      <c r="G234" s="0" t="n">
        <v>-0.0383608968745265</v>
      </c>
      <c r="H234" s="0" t="n">
        <v>-0.008714643501689601</v>
      </c>
      <c r="I234" s="0" t="n">
        <v>0.0073801755656246</v>
      </c>
      <c r="J234" s="0" t="n">
        <v>-0.0207841393798553</v>
      </c>
      <c r="K234" s="0" t="n">
        <v>-0.0523112869636952</v>
      </c>
      <c r="L234" s="0" t="n">
        <v>-0.0346855245200417</v>
      </c>
      <c r="M234" s="0" t="n">
        <v>-0.0186552601800866</v>
      </c>
      <c r="N234" s="0" t="n">
        <v>-0.0513213325530519</v>
      </c>
      <c r="O234" s="0" t="n">
        <v>-0.0313926984322936</v>
      </c>
      <c r="P234" s="0" t="n">
        <v>-0.0519597577091079</v>
      </c>
      <c r="Q234" s="0" t="n">
        <v>-0.0116416192187733</v>
      </c>
      <c r="R234" s="0" t="n">
        <v>-0.0077005111917305</v>
      </c>
      <c r="S234" s="0" t="n">
        <v>-0.0552210032644708</v>
      </c>
      <c r="T234" s="0" t="n">
        <v>-0.0289332952276564</v>
      </c>
      <c r="U234" s="0" t="n">
        <v>-0.0241544114563492</v>
      </c>
      <c r="V234" s="0" t="n">
        <v>-0.0237405514803517</v>
      </c>
      <c r="W234" s="0" t="n">
        <v>-0.0464147238287324</v>
      </c>
      <c r="X234" s="0" t="n">
        <v>-0.0568334208414813</v>
      </c>
    </row>
    <row r="235">
      <c r="A235" s="0" t="inlineStr">
        <is>
          <t>2018-12-04</t>
        </is>
      </c>
      <c r="B235" s="0" t="n">
        <v>0.018818568199272</v>
      </c>
      <c r="C235" s="0" t="n">
        <v>0.0095694198757645</v>
      </c>
      <c r="D235" s="0" t="n">
        <v>-0.0058530062574062</v>
      </c>
      <c r="E235" s="0" t="n">
        <v>-0.017582853051564</v>
      </c>
      <c r="F235" s="0" t="n">
        <v>-0.0266581988051948</v>
      </c>
      <c r="G235" s="0" t="n">
        <v>0.0316177572318125</v>
      </c>
      <c r="H235" s="0" t="n">
        <v>0.0065430402942219</v>
      </c>
      <c r="I235" s="0" t="n">
        <v>-0.0073801755656246</v>
      </c>
      <c r="J235" s="0" t="n">
        <v>0.0255197019455863</v>
      </c>
      <c r="K235" s="0" t="n">
        <v>-0.0224728337762647</v>
      </c>
      <c r="L235" s="0" t="n">
        <v>-0.005160398344608</v>
      </c>
      <c r="M235" s="0" t="n">
        <v>-0.0035508215139676</v>
      </c>
      <c r="N235" s="0" t="n">
        <v>-0.0209461855569648</v>
      </c>
      <c r="O235" s="0" t="n">
        <v>-0.0065295320084493</v>
      </c>
      <c r="P235" s="0" t="n">
        <v>-0.0423664287995046</v>
      </c>
      <c r="Q235" s="0" t="n">
        <v>-0.0236977686670545</v>
      </c>
      <c r="R235" s="0" t="n">
        <v>-0.0301026578021748</v>
      </c>
      <c r="S235" s="0" t="n">
        <v>0.0373579465624898</v>
      </c>
      <c r="T235" s="0" t="n">
        <v>0.0217263807854961</v>
      </c>
      <c r="U235" s="0" t="n">
        <v>0</v>
      </c>
      <c r="V235" s="0" t="n">
        <v>0.0231773527488474</v>
      </c>
      <c r="W235" s="0" t="n">
        <v>-0.0134151644192361</v>
      </c>
      <c r="X235" s="0" t="n">
        <v>-0.0036616803978817</v>
      </c>
    </row>
    <row r="236">
      <c r="A236" s="0" t="inlineStr">
        <is>
          <t>2018-12-06</t>
        </is>
      </c>
      <c r="B236" s="0" t="n">
        <v>-0.0375789937754102</v>
      </c>
      <c r="C236" s="0" t="n">
        <v>-0.0473625864796538</v>
      </c>
      <c r="D236" s="0" t="n">
        <v>-0.0197024464533281</v>
      </c>
      <c r="E236" s="0" t="n">
        <v>-0.0224225494061132</v>
      </c>
      <c r="F236" s="0" t="n">
        <v>-0.0328786283098239</v>
      </c>
      <c r="G236" s="0" t="n">
        <v>-0.0132812915179756</v>
      </c>
      <c r="H236" s="0" t="n">
        <v>-0.014231232842623</v>
      </c>
      <c r="I236" s="0" t="n">
        <v>-0.0021185923144768</v>
      </c>
      <c r="J236" s="0" t="n">
        <v>-0.0206849248662654</v>
      </c>
      <c r="K236" s="0" t="n">
        <v>0.0852737173546598</v>
      </c>
      <c r="L236" s="0" t="n">
        <v>-0.0292483832621153</v>
      </c>
      <c r="M236" s="0" t="n">
        <v>-0.0238481808435264</v>
      </c>
      <c r="N236" s="0" t="n">
        <v>-0.0005722591978365</v>
      </c>
      <c r="O236" s="0" t="n">
        <v>-0.012856656289832</v>
      </c>
      <c r="P236" s="0" t="n">
        <v>-0.0062015645323543</v>
      </c>
      <c r="Q236" s="0" t="n">
        <v>-0.0218190843900463</v>
      </c>
      <c r="R236" s="0" t="n">
        <v>-0.0329248301387385</v>
      </c>
      <c r="S236" s="0" t="n">
        <v>-0.0412364530683082</v>
      </c>
      <c r="T236" s="0" t="n">
        <v>-0.0411320409336579</v>
      </c>
      <c r="U236" s="0" t="n">
        <v>-0.0040523396215639</v>
      </c>
      <c r="V236" s="0" t="n">
        <v>-0.0031975606293963</v>
      </c>
      <c r="W236" s="0" t="n">
        <v>-0.0163792876095882</v>
      </c>
      <c r="X236" s="0" t="n">
        <v>-0.0155271168760648</v>
      </c>
    </row>
    <row r="237">
      <c r="A237" s="0" t="inlineStr">
        <is>
          <t>2018-12-07</t>
        </is>
      </c>
      <c r="B237" s="0" t="n">
        <v>0.0148877949464649</v>
      </c>
      <c r="C237" s="0" t="n">
        <v>-0.0114778603844389</v>
      </c>
      <c r="D237" s="0" t="n">
        <v>0.0044801279392876</v>
      </c>
      <c r="E237" s="0" t="n">
        <v>-0.0346054408489169</v>
      </c>
      <c r="F237" s="0" t="n">
        <v>-0.0267001343742374</v>
      </c>
      <c r="G237" s="0" t="n">
        <v>-0.013112650070854</v>
      </c>
      <c r="H237" s="0" t="n">
        <v>-0.029084742902643</v>
      </c>
      <c r="I237" s="0" t="n">
        <v>0.0147370445684753</v>
      </c>
      <c r="J237" s="0" t="n">
        <v>-0.0032206117324837</v>
      </c>
      <c r="K237" s="0" t="n">
        <v>-0.0034843207539048</v>
      </c>
      <c r="L237" s="0" t="n">
        <v>-0.0215393470720024</v>
      </c>
      <c r="M237" s="0" t="n">
        <v>0.0108697482942266</v>
      </c>
      <c r="N237" s="0" t="n">
        <v>-0.0243349258593568</v>
      </c>
      <c r="O237" s="0" t="n">
        <v>-0.0076603054075108</v>
      </c>
      <c r="P237" s="0" t="n">
        <v>-0.031598175691663</v>
      </c>
      <c r="Q237" s="0" t="n">
        <v>-0.0148150718302924</v>
      </c>
      <c r="R237" s="0" t="n">
        <v>-0.010174408290851</v>
      </c>
      <c r="S237" s="0" t="n">
        <v>-0.0058460185347284</v>
      </c>
      <c r="T237" s="0" t="n">
        <v>0.009003318846257199</v>
      </c>
      <c r="U237" s="0" t="n">
        <v>-0.0152504292438364</v>
      </c>
      <c r="V237" s="0" t="n">
        <v>-0.0094643898342368</v>
      </c>
      <c r="W237" s="0" t="n">
        <v>-0.0294792014946709</v>
      </c>
      <c r="X237" s="0" t="n">
        <v>-0.0302594652897059</v>
      </c>
    </row>
    <row r="238">
      <c r="A238" s="0" t="inlineStr">
        <is>
          <t>2018-12-10</t>
        </is>
      </c>
      <c r="B238" s="0" t="n">
        <v>-0.0019832901889644</v>
      </c>
      <c r="C238" s="0" t="n">
        <v>-0.0248369451653935</v>
      </c>
      <c r="D238" s="0" t="n">
        <v>0.0035872444844429</v>
      </c>
      <c r="E238" s="0" t="n">
        <v>0.0023446087642664</v>
      </c>
      <c r="F238" s="0" t="n">
        <v>-0.0072963560264258</v>
      </c>
      <c r="G238" s="0" t="n">
        <v>0.0155094906296122</v>
      </c>
      <c r="H238" s="0" t="n">
        <v>0.0056592382895641</v>
      </c>
      <c r="I238" s="0" t="n">
        <v>-0.0073413749695707</v>
      </c>
      <c r="J238" s="0" t="n">
        <v>0.009630960387242401</v>
      </c>
      <c r="K238" s="0" t="n">
        <v>0.0343086500063236</v>
      </c>
      <c r="L238" s="0" t="n">
        <v>0.0115966180046509</v>
      </c>
      <c r="M238" s="0" t="n">
        <v>-0.008822661120126</v>
      </c>
      <c r="N238" s="0" t="n">
        <v>-0.004703120198525</v>
      </c>
      <c r="O238" s="0" t="n">
        <v>-0.007045796043438</v>
      </c>
      <c r="P238" s="0" t="n">
        <v>-0.009677485578312999</v>
      </c>
      <c r="Q238" s="0" t="n">
        <v>0</v>
      </c>
      <c r="R238" s="0" t="n">
        <v>0.0009541032985271</v>
      </c>
      <c r="S238" s="0" t="n">
        <v>-0.0032626580199335</v>
      </c>
      <c r="T238" s="0" t="n">
        <v>0.0048962213911583</v>
      </c>
      <c r="U238" s="0" t="n">
        <v>0.0109962928000051</v>
      </c>
      <c r="V238" s="0" t="n">
        <v>-0.0028569017208273</v>
      </c>
      <c r="W238" s="0" t="n">
        <v>-0.021541863284527</v>
      </c>
      <c r="X238" s="0" t="n">
        <v>-0.0201713760848307</v>
      </c>
    </row>
    <row r="239">
      <c r="A239" s="0" t="inlineStr">
        <is>
          <t>2018-12-11</t>
        </is>
      </c>
      <c r="B239" s="0" t="n">
        <v>0.0022309802193527</v>
      </c>
      <c r="C239" s="0" t="n">
        <v>-0.0074239674967466</v>
      </c>
      <c r="D239" s="0" t="n">
        <v>-0.001398389186713</v>
      </c>
      <c r="E239" s="0" t="n">
        <v>0.0116416192187731</v>
      </c>
      <c r="F239" s="0" t="n">
        <v>-0.0024439712969837</v>
      </c>
      <c r="G239" s="0" t="n">
        <v>0.0172915049377571</v>
      </c>
      <c r="H239" s="0" t="n">
        <v>0.0145660971566825</v>
      </c>
      <c r="I239" s="0" t="n">
        <v>0.0146293456303516</v>
      </c>
      <c r="J239" s="0" t="n">
        <v>0.0095390136457758</v>
      </c>
      <c r="K239" s="0" t="n">
        <v>0.0315378937630601</v>
      </c>
      <c r="L239" s="0" t="n">
        <v>0.0007683618217466</v>
      </c>
      <c r="M239" s="0" t="n">
        <v>0.0034025558288037</v>
      </c>
      <c r="N239" s="0" t="n">
        <v>0.0204148467306222</v>
      </c>
      <c r="O239" s="0" t="n">
        <v>0.0153694665836243</v>
      </c>
      <c r="P239" s="0" t="n">
        <v>0.0240203850377724</v>
      </c>
      <c r="Q239" s="0" t="n">
        <v>0.0172631094759809</v>
      </c>
      <c r="R239" s="0" t="n">
        <v>0.0147389093771233</v>
      </c>
      <c r="S239" s="0" t="n">
        <v>0.0032626580199335</v>
      </c>
      <c r="T239" s="0" t="n">
        <v>0.0069833745278966</v>
      </c>
      <c r="U239" s="0" t="n">
        <v>-0.0115586468988144</v>
      </c>
      <c r="V239" s="0" t="n">
        <v>0.0190805511255049</v>
      </c>
      <c r="W239" s="0" t="n">
        <v>-0.0004187778713853</v>
      </c>
      <c r="X239" s="0" t="n">
        <v>-0.0031397169492848</v>
      </c>
    </row>
    <row r="240">
      <c r="A240" s="0" t="inlineStr">
        <is>
          <t>2018-12-12</t>
        </is>
      </c>
      <c r="B240" s="0" t="n">
        <v>-0.0035553412348416</v>
      </c>
      <c r="C240" s="0" t="n">
        <v>0.0704821299548366</v>
      </c>
      <c r="D240" s="0" t="n">
        <v>0.0045375669424432</v>
      </c>
      <c r="E240" s="0" t="n">
        <v>-0.0163364590561223</v>
      </c>
      <c r="F240" s="0" t="n">
        <v>-0.0049060130718507</v>
      </c>
      <c r="G240" s="0" t="n">
        <v>0.0003360856641743</v>
      </c>
      <c r="H240" s="0" t="n">
        <v>0.0198244715643989</v>
      </c>
      <c r="I240" s="0" t="n">
        <v>-0.0188487571406104</v>
      </c>
      <c r="J240" s="0" t="n">
        <v>-0.0127390896188217</v>
      </c>
      <c r="K240" s="0" t="n">
        <v>-0.06934304747608851</v>
      </c>
      <c r="L240" s="0" t="n">
        <v>0.0015348816342029</v>
      </c>
      <c r="M240" s="0" t="n">
        <v>0.009241581597854501</v>
      </c>
      <c r="N240" s="0" t="n">
        <v>-0.0257324460642487</v>
      </c>
      <c r="O240" s="0" t="n">
        <v>-0.0083236705401863</v>
      </c>
      <c r="P240" s="0" t="n">
        <v>-0.0159493623005344</v>
      </c>
      <c r="Q240" s="0" t="n">
        <v>0.0145633498604484</v>
      </c>
      <c r="R240" s="0" t="n">
        <v>-0.0152839552249375</v>
      </c>
      <c r="S240" s="0" t="n">
        <v>0.0193553937264456</v>
      </c>
      <c r="T240" s="0" t="n">
        <v>0.0010539162547749</v>
      </c>
      <c r="U240" s="0" t="n">
        <v>0.0110023736983904</v>
      </c>
      <c r="V240" s="0" t="n">
        <v>0.0037355435042338</v>
      </c>
      <c r="W240" s="0" t="n">
        <v>-0.0149839860680667</v>
      </c>
      <c r="X240" s="0" t="n">
        <v>-0.0246729919838504</v>
      </c>
    </row>
    <row r="241">
      <c r="A241" s="0" t="inlineStr">
        <is>
          <t>2018-12-13</t>
        </is>
      </c>
      <c r="B241" s="0" t="n">
        <v>-0.0068986003898627</v>
      </c>
      <c r="C241" s="0" t="n">
        <v>-0.0139862953297584</v>
      </c>
      <c r="D241" s="0" t="n">
        <v>-0.0258403221223604</v>
      </c>
      <c r="E241" s="0" t="n">
        <v>0.0023502310730827</v>
      </c>
      <c r="F241" s="0" t="n">
        <v>0.0032733222794778</v>
      </c>
      <c r="G241" s="0" t="n">
        <v>-0.0070814996223003</v>
      </c>
      <c r="H241" s="0" t="n">
        <v>-0.0142781244040364</v>
      </c>
      <c r="I241" s="0" t="n">
        <v>-0.0344119640675142</v>
      </c>
      <c r="J241" s="0" t="n">
        <v>-0.0112812954189507</v>
      </c>
      <c r="K241" s="0" t="n">
        <v>0.0259305960242994</v>
      </c>
      <c r="L241" s="0" t="n">
        <v>-0.0061538597055577</v>
      </c>
      <c r="M241" s="0" t="n">
        <v>-0.0174271801476613</v>
      </c>
      <c r="N241" s="0" t="n">
        <v>0.0070839046060249</v>
      </c>
      <c r="O241" s="0" t="n">
        <v>0.0103110665827457</v>
      </c>
      <c r="P241" s="0" t="n">
        <v>-0.06818931200463769</v>
      </c>
      <c r="Q241" s="0" t="n">
        <v>-0.0268636746919721</v>
      </c>
      <c r="R241" s="0" t="n">
        <v>-0.0205171464558757</v>
      </c>
      <c r="S241" s="0" t="n">
        <v>-0.0174029210927098</v>
      </c>
      <c r="T241" s="0" t="n">
        <v>-0.0353772879134495</v>
      </c>
      <c r="U241" s="0" t="n">
        <v>-0.022316887784219</v>
      </c>
      <c r="V241" s="0" t="n">
        <v>-0.0287463152715541</v>
      </c>
      <c r="W241" s="0" t="n">
        <v>-0.0104734924551332</v>
      </c>
      <c r="X241" s="0" t="n">
        <v>-0.0195286736525028</v>
      </c>
    </row>
    <row r="242">
      <c r="A242" s="0" t="inlineStr">
        <is>
          <t>2018-12-14</t>
        </is>
      </c>
      <c r="B242" s="0" t="n">
        <v>-0.0322061991986837</v>
      </c>
      <c r="C242" s="0" t="n">
        <v>0.0070175995227121</v>
      </c>
      <c r="D242" s="0" t="n">
        <v>-0.0324146557781421</v>
      </c>
      <c r="E242" s="0" t="n">
        <v>-0.0023502310730827</v>
      </c>
      <c r="F242" s="0" t="n">
        <v>-0.0004085895507563</v>
      </c>
      <c r="G242" s="0" t="n">
        <v>-0.0215503181048455</v>
      </c>
      <c r="H242" s="0" t="n">
        <v>-0.0257716826066092</v>
      </c>
      <c r="I242" s="0" t="n">
        <v>0.0269849067540421</v>
      </c>
      <c r="J242" s="0" t="n">
        <v>-0.0081367724578653</v>
      </c>
      <c r="K242" s="0" t="n">
        <v>-0.0561551324994917</v>
      </c>
      <c r="L242" s="0" t="n">
        <v>0.0053866767758008</v>
      </c>
      <c r="M242" s="0" t="n">
        <v>-0.015878797046644</v>
      </c>
      <c r="N242" s="0" t="n">
        <v>-0.0395972452860551</v>
      </c>
      <c r="O242" s="0" t="n">
        <v>-0.0119841215715497</v>
      </c>
      <c r="P242" s="0" t="n">
        <v>-0.0138650269598494</v>
      </c>
      <c r="Q242" s="0" t="n">
        <v>0.0024722456827359</v>
      </c>
      <c r="R242" s="0" t="n">
        <v>-0.0166938689850404</v>
      </c>
      <c r="S242" s="0" t="n">
        <v>-0.0084884684649693</v>
      </c>
      <c r="T242" s="0" t="n">
        <v>-0.0359958640203053</v>
      </c>
      <c r="U242" s="0" t="n">
        <v>-0.0072326366921964</v>
      </c>
      <c r="V242" s="0" t="n">
        <v>-0.0232929940334938</v>
      </c>
      <c r="W242" s="0" t="n">
        <v>0.0015029459335287</v>
      </c>
      <c r="X242" s="0" t="n">
        <v>-0.0224355452072497</v>
      </c>
    </row>
    <row r="243">
      <c r="A243" s="0" t="inlineStr">
        <is>
          <t>2018-12-17</t>
        </is>
      </c>
      <c r="B243" s="0" t="n">
        <v>0.0047261359872221</v>
      </c>
      <c r="C243" s="0" t="n">
        <v>0.0180185055026782</v>
      </c>
      <c r="D243" s="0" t="n">
        <v>-0.017314037700042</v>
      </c>
      <c r="E243" s="0" t="n">
        <v>-0.0035356233058845</v>
      </c>
      <c r="F243" s="0" t="n">
        <v>0</v>
      </c>
      <c r="G243" s="0" t="n">
        <v>-0.0128764905495715</v>
      </c>
      <c r="H243" s="0" t="n">
        <v>0.0124084675673725</v>
      </c>
      <c r="I243" s="0" t="n">
        <v>0.0304166030321444</v>
      </c>
      <c r="J243" s="0" t="n">
        <v>0.0048900195005876</v>
      </c>
      <c r="K243" s="0" t="n">
        <v>-0.0018066403991874</v>
      </c>
      <c r="L243" s="0" t="n">
        <v>0.0122045642726091</v>
      </c>
      <c r="M243" s="0" t="n">
        <v>-0.0166066046914257</v>
      </c>
      <c r="N243" s="0" t="n">
        <v>-0.0006121964597983999</v>
      </c>
      <c r="O243" s="0" t="n">
        <v>-0.003690680559846</v>
      </c>
      <c r="P243" s="0" t="n">
        <v>-0.0265267713348849</v>
      </c>
      <c r="Q243" s="0" t="n">
        <v>-0.0099256298172338</v>
      </c>
      <c r="R243" s="0" t="n">
        <v>-0.0161145003314251</v>
      </c>
      <c r="S243" s="0" t="n">
        <v>0.0123820143659618</v>
      </c>
      <c r="T243" s="0" t="n">
        <v>-0.0031724338018723</v>
      </c>
      <c r="U243" s="0" t="n">
        <v>-0.0282854795617111</v>
      </c>
      <c r="V243" s="0" t="n">
        <v>0.0124904669760352</v>
      </c>
      <c r="W243" s="0" t="n">
        <v>-0.0019327859889011</v>
      </c>
      <c r="X243" s="0" t="n">
        <v>-0.0118344061279822</v>
      </c>
    </row>
    <row r="244">
      <c r="A244" s="0" t="inlineStr">
        <is>
          <t>2018-12-18</t>
        </is>
      </c>
      <c r="B244" s="0" t="n">
        <v>-0.0018877748782353</v>
      </c>
      <c r="C244" s="0" t="n">
        <v>0.0508811165638829</v>
      </c>
      <c r="D244" s="0" t="n">
        <v>0.024211568111438</v>
      </c>
      <c r="E244" s="0" t="n">
        <v>-0.0178683220370512</v>
      </c>
      <c r="F244" s="0" t="n">
        <v>-0.011921991586226</v>
      </c>
      <c r="G244" s="0" t="n">
        <v>-0.0112716833292019</v>
      </c>
      <c r="H244" s="0" t="n">
        <v>-0.0112741197267802</v>
      </c>
      <c r="I244" s="0" t="n">
        <v>-0.0476029338953467</v>
      </c>
      <c r="J244" s="0" t="n">
        <v>-0.0213648411729492</v>
      </c>
      <c r="K244" s="0" t="n">
        <v>-0.0443696148152097</v>
      </c>
      <c r="L244" s="0" t="n">
        <v>-0.0354975583061034</v>
      </c>
      <c r="M244" s="0" t="n">
        <v>-0.0101932917949874</v>
      </c>
      <c r="N244" s="0" t="n">
        <v>-0.0154276433041906</v>
      </c>
      <c r="O244" s="0" t="n">
        <v>0.0023501671110239</v>
      </c>
      <c r="P244" s="0" t="n">
        <v>0.0230302676281801</v>
      </c>
      <c r="Q244" s="0" t="n">
        <v>-0.0303821137982318</v>
      </c>
      <c r="R244" s="0" t="n">
        <v>-0.0140429562683079</v>
      </c>
      <c r="S244" s="0" t="n">
        <v>-0.0450406827401566</v>
      </c>
      <c r="T244" s="0" t="n">
        <v>-0.021101745730002</v>
      </c>
      <c r="U244" s="0" t="n">
        <v>0.009971773540284</v>
      </c>
      <c r="V244" s="0" t="n">
        <v>-0.0229534741258472</v>
      </c>
      <c r="W244" s="0" t="n">
        <v>-0.0184407503868659</v>
      </c>
      <c r="X244" s="0" t="n">
        <v>-0.0223569265640173</v>
      </c>
    </row>
    <row r="245">
      <c r="A245" s="0" t="inlineStr">
        <is>
          <t>2018-12-19</t>
        </is>
      </c>
      <c r="B245" s="0" t="n">
        <v>-0.0297254721704574</v>
      </c>
      <c r="C245" s="0" t="n">
        <v>-0.0291411145456332</v>
      </c>
      <c r="D245" s="0" t="n">
        <v>0.0016483548047094</v>
      </c>
      <c r="E245" s="0" t="n">
        <v>-0.0072376029107834</v>
      </c>
      <c r="F245" s="0" t="n">
        <v>-0.0028991402992804</v>
      </c>
      <c r="G245" s="0" t="n">
        <v>-0.0196750842752884</v>
      </c>
      <c r="H245" s="0" t="n">
        <v>0.0213132616050653</v>
      </c>
      <c r="I245" s="0" t="n">
        <v>0.0246133881766743</v>
      </c>
      <c r="J245" s="0" t="n">
        <v>-0.0218312811568617</v>
      </c>
      <c r="K245" s="0" t="n">
        <v>-0.0365777176282766</v>
      </c>
      <c r="L245" s="0" t="n">
        <v>0.0163618800350047</v>
      </c>
      <c r="M245" s="0" t="n">
        <v>-0.000476655330543</v>
      </c>
      <c r="N245" s="0" t="n">
        <v>-0.0386735771601238</v>
      </c>
      <c r="O245" s="0" t="n">
        <v>-0.040025869256739</v>
      </c>
      <c r="P245" s="0" t="n">
        <v>-0.0284210682236649</v>
      </c>
      <c r="Q245" s="0" t="n">
        <v>0.0076824886671031</v>
      </c>
      <c r="R245" s="0" t="n">
        <v>-0.0312454970773448</v>
      </c>
      <c r="S245" s="0" t="n">
        <v>0.0060790562576795</v>
      </c>
      <c r="T245" s="0" t="n">
        <v>-0.0151818331835009</v>
      </c>
      <c r="U245" s="0" t="n">
        <v>-0.0188537182769903</v>
      </c>
      <c r="V245" s="0" t="n">
        <v>-0.0065704171434246</v>
      </c>
      <c r="W245" s="0" t="n">
        <v>0.008069016635412899</v>
      </c>
      <c r="X245" s="0" t="n">
        <v>0.007795635147934</v>
      </c>
    </row>
    <row r="246">
      <c r="A246" s="0" t="inlineStr">
        <is>
          <t>2018-12-20</t>
        </is>
      </c>
      <c r="B246" s="0" t="n">
        <v>-0.0185752278659423</v>
      </c>
      <c r="C246" s="0" t="n">
        <v>-0.0397585075209279</v>
      </c>
      <c r="D246" s="0" t="n">
        <v>0.0011887638358656</v>
      </c>
      <c r="E246" s="0" t="n">
        <v>-0.0257525001183078</v>
      </c>
      <c r="F246" s="0" t="n">
        <v>-0.0311735330468856</v>
      </c>
      <c r="G246" s="0" t="n">
        <v>-0.0101671423028339</v>
      </c>
      <c r="H246" s="0" t="n">
        <v>-0.0281391659469725</v>
      </c>
      <c r="I246" s="0" t="n">
        <v>-0.0235305262134053</v>
      </c>
      <c r="J246" s="0" t="n">
        <v>-0.0522766605319258</v>
      </c>
      <c r="K246" s="0" t="n">
        <v>-0.0440952777147201</v>
      </c>
      <c r="L246" s="0" t="n">
        <v>-0.0030959748485495</v>
      </c>
      <c r="M246" s="0" t="n">
        <v>-0.0004768826391994</v>
      </c>
      <c r="N246" s="0" t="n">
        <v>-0.0375414944966299</v>
      </c>
      <c r="O246" s="0" t="n">
        <v>-0.0119383495867437</v>
      </c>
      <c r="P246" s="0" t="n">
        <v>-0.0311095666797456</v>
      </c>
      <c r="Q246" s="0" t="n">
        <v>-0.0206193290172185</v>
      </c>
      <c r="R246" s="0" t="n">
        <v>-0.042716626487393</v>
      </c>
      <c r="S246" s="0" t="n">
        <v>0.0026899788162824</v>
      </c>
      <c r="T246" s="0" t="n">
        <v>-0.0151770331545337</v>
      </c>
      <c r="U246" s="0" t="n">
        <v>-0.0271291326921985</v>
      </c>
      <c r="V246" s="0" t="n">
        <v>-0.0048058097280616</v>
      </c>
      <c r="W246" s="0" t="n">
        <v>-0.0201850202221218</v>
      </c>
      <c r="X246" s="0" t="n">
        <v>0</v>
      </c>
    </row>
    <row r="247">
      <c r="A247" s="0" t="inlineStr">
        <is>
          <t>2018-12-21</t>
        </is>
      </c>
      <c r="B247" s="0" t="n">
        <v>-0.0308477410267169</v>
      </c>
      <c r="C247" s="0" t="n">
        <v>-0.0326965705386332</v>
      </c>
      <c r="D247" s="0" t="n">
        <v>-0.0247040197927592</v>
      </c>
      <c r="E247" s="0" t="n">
        <v>-0.0535842548290683</v>
      </c>
      <c r="F247" s="0" t="n">
        <v>-0.0277675667362133</v>
      </c>
      <c r="G247" s="0" t="n">
        <v>-0.0296317693431511</v>
      </c>
      <c r="H247" s="0" t="n">
        <v>-0.0149514127202019</v>
      </c>
      <c r="I247" s="0" t="n">
        <v>0.0465200719320777</v>
      </c>
      <c r="J247" s="0" t="n">
        <v>-0.0144146497594135</v>
      </c>
      <c r="K247" s="0" t="n">
        <v>0.0242926691180369</v>
      </c>
      <c r="L247" s="0" t="n">
        <v>-0.0235304375635223</v>
      </c>
      <c r="M247" s="0" t="n">
        <v>-0.0334658067142528</v>
      </c>
      <c r="N247" s="0" t="n">
        <v>-0.0258341464263449</v>
      </c>
      <c r="O247" s="0" t="n">
        <v>-0.0341329651966595</v>
      </c>
      <c r="P247" s="0" t="n">
        <v>-0.0514889651015628</v>
      </c>
      <c r="Q247" s="0" t="n">
        <v>-0.0052219391051171</v>
      </c>
      <c r="R247" s="0" t="n">
        <v>-0.0123205254664267</v>
      </c>
      <c r="S247" s="0" t="n">
        <v>-0.0327674703307847</v>
      </c>
      <c r="T247" s="0" t="n">
        <v>-0.0382367229298958</v>
      </c>
      <c r="U247" s="0" t="n">
        <v>-0.0316632504807934</v>
      </c>
      <c r="V247" s="0" t="n">
        <v>-0.0215062335184237</v>
      </c>
      <c r="W247" s="0" t="n">
        <v>-0.0342684681592708</v>
      </c>
      <c r="X247" s="0" t="n">
        <v>-0.0262252957343962</v>
      </c>
    </row>
    <row r="248">
      <c r="A248" s="0" t="inlineStr">
        <is>
          <t>2018-12-24</t>
        </is>
      </c>
      <c r="B248" s="0" t="n">
        <v>0.03489575577077</v>
      </c>
      <c r="C248" s="0" t="n">
        <v>0.0657119384688835</v>
      </c>
      <c r="D248" s="0" t="n">
        <v>0.0398509985196486</v>
      </c>
      <c r="E248" s="0" t="n">
        <v>0.0284256593504244</v>
      </c>
      <c r="F248" s="0" t="n">
        <v>0.058941099783099</v>
      </c>
      <c r="G248" s="0" t="n">
        <v>0.0416036129911803</v>
      </c>
      <c r="H248" s="0" t="n">
        <v>0.0011581041962318</v>
      </c>
      <c r="I248" s="0" t="n">
        <v>-0.0124741618586399</v>
      </c>
      <c r="J248" s="0" t="n">
        <v>0.0391508693511788</v>
      </c>
      <c r="K248" s="0" t="n">
        <v>0.015873334137797</v>
      </c>
      <c r="L248" s="0" t="n">
        <v>0.03662266005399</v>
      </c>
      <c r="M248" s="0" t="n">
        <v>0.0396474318394535</v>
      </c>
      <c r="N248" s="0" t="n">
        <v>0.0523257999416473</v>
      </c>
      <c r="O248" s="0" t="n">
        <v>0.0259754613780689</v>
      </c>
      <c r="P248" s="0" t="n">
        <v>0.1249328546528041</v>
      </c>
      <c r="Q248" s="0" t="n">
        <v>0.0207261724460117</v>
      </c>
      <c r="R248" s="0" t="n">
        <v>0.0388111588713533</v>
      </c>
      <c r="S248" s="0" t="n">
        <v>0.0709802824236449</v>
      </c>
      <c r="T248" s="0" t="n">
        <v>0.052942935522974</v>
      </c>
      <c r="U248" s="0" t="n">
        <v>0.0181273620190198</v>
      </c>
      <c r="V248" s="0" t="n">
        <v>0.0257125309106474</v>
      </c>
      <c r="W248" s="0" t="n">
        <v>0.044631282214544</v>
      </c>
      <c r="X248" s="0" t="n">
        <v>0.043334336531001</v>
      </c>
    </row>
    <row r="249">
      <c r="A249" s="0" t="inlineStr">
        <is>
          <t>2018-12-26</t>
        </is>
      </c>
      <c r="B249" s="0" t="n">
        <v>0.0212291972161873</v>
      </c>
      <c r="C249" s="0" t="n">
        <v>-0.0163714383379149</v>
      </c>
      <c r="D249" s="0" t="n">
        <v>0.0160732372384684</v>
      </c>
      <c r="E249" s="0" t="n">
        <v>0</v>
      </c>
      <c r="F249" s="0" t="n">
        <v>0.0107261845659003</v>
      </c>
      <c r="G249" s="0" t="n">
        <v>-0.0127020539108277</v>
      </c>
      <c r="H249" s="0" t="n">
        <v>0.0296486113239331</v>
      </c>
      <c r="I249" s="0" t="n">
        <v>0.0186533231990124</v>
      </c>
      <c r="J249" s="0" t="n">
        <v>0</v>
      </c>
      <c r="K249" s="0" t="n">
        <v>0.0039292744588861</v>
      </c>
      <c r="L249" s="0" t="n">
        <v>-0.006139691224138</v>
      </c>
      <c r="M249" s="0" t="n">
        <v>0.0155224158479199</v>
      </c>
      <c r="N249" s="0" t="n">
        <v>-0.0032733378112999</v>
      </c>
      <c r="O249" s="0" t="n">
        <v>0.0024897645937875</v>
      </c>
      <c r="P249" s="0" t="n">
        <v>0.0034482760187235</v>
      </c>
      <c r="Q249" s="0" t="n">
        <v>0.0025608183600687</v>
      </c>
      <c r="R249" s="0" t="n">
        <v>-0.0026024629514855</v>
      </c>
      <c r="S249" s="0" t="n">
        <v>0.014758018359497</v>
      </c>
      <c r="T249" s="0" t="n">
        <v>0.0103069223795402</v>
      </c>
      <c r="U249" s="0" t="n">
        <v>0.0055595830381349</v>
      </c>
      <c r="V249" s="0" t="n">
        <v>0.0075667639669121</v>
      </c>
      <c r="W249" s="0" t="n">
        <v>-0.0013169750365817</v>
      </c>
      <c r="X249" s="0" t="n">
        <v>0.0016949544261537</v>
      </c>
    </row>
    <row r="250">
      <c r="A250" s="0" t="inlineStr">
        <is>
          <t>2018-12-27</t>
        </is>
      </c>
      <c r="B250" s="0" t="n">
        <v>-0.00661348919105</v>
      </c>
      <c r="C250" s="0" t="n">
        <v>0.0324791642393205</v>
      </c>
      <c r="D250" s="0" t="n">
        <v>0.0115373826321354</v>
      </c>
      <c r="E250" s="0" t="n">
        <v>-0.0051085631205682</v>
      </c>
      <c r="F250" s="0" t="n">
        <v>0.0008202851288978</v>
      </c>
      <c r="G250" s="0" t="n">
        <v>0.0072780803899048</v>
      </c>
      <c r="H250" s="0" t="n">
        <v>0.015607936307961</v>
      </c>
      <c r="I250" s="0" t="n">
        <v>-0.0072127768003222</v>
      </c>
      <c r="J250" s="0" t="n">
        <v>-0.0017467653434297</v>
      </c>
      <c r="K250" s="0" t="n">
        <v>0.0251707606929862</v>
      </c>
      <c r="L250" s="0" t="n">
        <v>0.0023068588762633</v>
      </c>
      <c r="M250" s="0" t="n">
        <v>0.0025638194554389</v>
      </c>
      <c r="N250" s="0" t="n">
        <v>0.0013106461550944</v>
      </c>
      <c r="O250" s="0" t="n">
        <v>0.0109522194584128</v>
      </c>
      <c r="P250" s="0" t="n">
        <v>0.0017197302232241</v>
      </c>
      <c r="Q250" s="0" t="n">
        <v>-0.0025608183600687</v>
      </c>
      <c r="R250" s="0" t="n">
        <v>-0.0007666246215576</v>
      </c>
      <c r="S250" s="0" t="n">
        <v>-0.0031898075944454</v>
      </c>
      <c r="T250" s="0" t="n">
        <v>-0.0032679625057028</v>
      </c>
      <c r="U250" s="0" t="n">
        <v>0.0038938183517225</v>
      </c>
      <c r="V250" s="0" t="n">
        <v>0.0104588775247167</v>
      </c>
      <c r="W250" s="0" t="n">
        <v>0.0054758653241422</v>
      </c>
      <c r="X250" s="0" t="n">
        <v>0.0067510738377092</v>
      </c>
    </row>
    <row r="251">
      <c r="A251" s="0" t="inlineStr">
        <is>
          <t>2018-12-28</t>
        </is>
      </c>
      <c r="B251" s="0" t="n">
        <v>0.005646238187281</v>
      </c>
      <c r="C251" s="0" t="n">
        <v>0.007957632029475799</v>
      </c>
      <c r="D251" s="0" t="n">
        <v>0.0132222201577132</v>
      </c>
      <c r="E251" s="0" t="n">
        <v>-0.0206992962202559</v>
      </c>
      <c r="F251" s="0" t="n">
        <v>0.0101979266913931</v>
      </c>
      <c r="G251" s="0" t="n">
        <v>-0.0029048649263518</v>
      </c>
      <c r="H251" s="0" t="n">
        <v>0.0110012528444349</v>
      </c>
      <c r="I251" s="0" t="n">
        <v>0.0133540877843079</v>
      </c>
      <c r="J251" s="0" t="n">
        <v>-0.0017497383632749</v>
      </c>
      <c r="K251" s="0" t="n">
        <v>-0.0530055332960117</v>
      </c>
      <c r="L251" s="0" t="n">
        <v>0.0129722629770552</v>
      </c>
      <c r="M251" s="0" t="n">
        <v>0.0159338883532935</v>
      </c>
      <c r="N251" s="0" t="n">
        <v>-0.0078896424326568</v>
      </c>
      <c r="O251" s="0" t="n">
        <v>0.0028070836346434</v>
      </c>
      <c r="P251" s="0" t="n">
        <v>-0.0068965722551199</v>
      </c>
      <c r="Q251" s="0" t="n">
        <v>0.0051150956763239</v>
      </c>
      <c r="R251" s="0" t="n">
        <v>0.00504926792249</v>
      </c>
      <c r="S251" s="0" t="n">
        <v>0.0339229080653256</v>
      </c>
      <c r="T251" s="0" t="n">
        <v>0.0130083450684437</v>
      </c>
      <c r="U251" s="0" t="n">
        <v>0.0101750980883625</v>
      </c>
      <c r="V251" s="0" t="n">
        <v>0.02021057781449</v>
      </c>
      <c r="W251" s="0" t="n">
        <v>0.0065317682641947</v>
      </c>
      <c r="X251" s="0" t="n">
        <v>0.0025199284600962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Q1: Average daily returns and covariance matrix (2018 data)</t>
        </is>
      </c>
    </row>
    <row r="3">
      <c r="A3" s="0" t="inlineStr">
        <is>
          <t>COVARIANCE MATRIX</t>
        </is>
      </c>
      <c r="B3" s="0" t="inlineStr">
        <is>
          <t>IBM</t>
        </is>
      </c>
      <c r="C3" s="0" t="inlineStr">
        <is>
          <t>GE</t>
        </is>
      </c>
      <c r="D3" s="0" t="inlineStr">
        <is>
          <t>LLY</t>
        </is>
      </c>
      <c r="E3" s="0" t="inlineStr">
        <is>
          <t>F</t>
        </is>
      </c>
      <c r="F3" s="0" t="inlineStr">
        <is>
          <t>BAC</t>
        </is>
      </c>
      <c r="G3" s="0" t="inlineStr">
        <is>
          <t>KR</t>
        </is>
      </c>
      <c r="H3" s="0" t="inlineStr">
        <is>
          <t>ITUB</t>
        </is>
      </c>
      <c r="I3" s="0" t="inlineStr">
        <is>
          <t>GG</t>
        </is>
      </c>
      <c r="J3" s="0" t="inlineStr">
        <is>
          <t>SIRI</t>
        </is>
      </c>
      <c r="K3" s="0" t="inlineStr">
        <is>
          <t>ACB</t>
        </is>
      </c>
      <c r="L3" s="0" t="inlineStr">
        <is>
          <t>VALE</t>
        </is>
      </c>
      <c r="M3" s="0" t="inlineStr">
        <is>
          <t>PFE</t>
        </is>
      </c>
      <c r="N3" s="0" t="inlineStr">
        <is>
          <t>CTL</t>
        </is>
      </c>
      <c r="O3" s="0" t="inlineStr">
        <is>
          <t>T</t>
        </is>
      </c>
      <c r="P3" s="0" t="inlineStr">
        <is>
          <t>ECA</t>
        </is>
      </c>
      <c r="Q3" s="0" t="inlineStr">
        <is>
          <t>ABEV</t>
        </is>
      </c>
      <c r="R3" s="0" t="inlineStr">
        <is>
          <t>CVS</t>
        </is>
      </c>
      <c r="S3" s="0" t="inlineStr">
        <is>
          <t>MRVL</t>
        </is>
      </c>
      <c r="T3" s="0" t="inlineStr">
        <is>
          <t>CSCO</t>
        </is>
      </c>
      <c r="U3" s="0" t="inlineStr">
        <is>
          <t>MO</t>
        </is>
      </c>
      <c r="V3" s="0" t="inlineStr">
        <is>
          <t>BMY</t>
        </is>
      </c>
      <c r="W3" s="0" t="inlineStr">
        <is>
          <t>WFC</t>
        </is>
      </c>
      <c r="X3" s="0" t="inlineStr">
        <is>
          <t>HBAN</t>
        </is>
      </c>
    </row>
    <row r="4">
      <c r="A4" s="0" t="inlineStr">
        <is>
          <t>IBM</t>
        </is>
      </c>
      <c r="B4" s="0">
        <f>_xlfn.COVARIANCE.S(Returns_2018!B2:B251,Returns_2018!B2:B251)</f>
        <v/>
      </c>
      <c r="C4" s="0">
        <f>_xlfn.COVARIANCE.S(Returns_2018!B2:B251,Returns_2018!C2:C251)</f>
        <v/>
      </c>
      <c r="D4" s="0">
        <f>_xlfn.COVARIANCE.S(Returns_2018!B2:B251,Returns_2018!D2:D251)</f>
        <v/>
      </c>
      <c r="E4" s="0">
        <f>_xlfn.COVARIANCE.S(Returns_2018!B2:B251,Returns_2018!E2:E251)</f>
        <v/>
      </c>
      <c r="F4" s="0">
        <f>_xlfn.COVARIANCE.S(Returns_2018!B2:B251,Returns_2018!F2:F251)</f>
        <v/>
      </c>
      <c r="G4" s="0">
        <f>_xlfn.COVARIANCE.S(Returns_2018!B2:B251,Returns_2018!G2:G251)</f>
        <v/>
      </c>
      <c r="H4" s="0">
        <f>_xlfn.COVARIANCE.S(Returns_2018!B2:B251,Returns_2018!H2:H251)</f>
        <v/>
      </c>
      <c r="I4" s="0">
        <f>_xlfn.COVARIANCE.S(Returns_2018!B2:B251,Returns_2018!I2:I251)</f>
        <v/>
      </c>
      <c r="J4" s="0">
        <f>_xlfn.COVARIANCE.S(Returns_2018!B2:B251,Returns_2018!J2:J251)</f>
        <v/>
      </c>
      <c r="K4" s="0">
        <f>_xlfn.COVARIANCE.S(Returns_2018!B2:B251,Returns_2018!K2:K251)</f>
        <v/>
      </c>
      <c r="L4" s="0">
        <f>_xlfn.COVARIANCE.S(Returns_2018!B2:B251,Returns_2018!L2:L251)</f>
        <v/>
      </c>
      <c r="M4" s="0">
        <f>_xlfn.COVARIANCE.S(Returns_2018!B2:B251,Returns_2018!M2:M251)</f>
        <v/>
      </c>
      <c r="N4" s="0">
        <f>_xlfn.COVARIANCE.S(Returns_2018!B2:B251,Returns_2018!N2:N251)</f>
        <v/>
      </c>
      <c r="O4" s="0">
        <f>_xlfn.COVARIANCE.S(Returns_2018!B2:B251,Returns_2018!O2:O251)</f>
        <v/>
      </c>
      <c r="P4" s="0">
        <f>_xlfn.COVARIANCE.S(Returns_2018!B2:B251,Returns_2018!P2:P251)</f>
        <v/>
      </c>
      <c r="Q4" s="0">
        <f>_xlfn.COVARIANCE.S(Returns_2018!B2:B251,Returns_2018!Q2:Q251)</f>
        <v/>
      </c>
      <c r="R4" s="0">
        <f>_xlfn.COVARIANCE.S(Returns_2018!B2:B251,Returns_2018!R2:R251)</f>
        <v/>
      </c>
      <c r="S4" s="0">
        <f>_xlfn.COVARIANCE.S(Returns_2018!B2:B251,Returns_2018!S2:S251)</f>
        <v/>
      </c>
      <c r="T4" s="0">
        <f>_xlfn.COVARIANCE.S(Returns_2018!B2:B251,Returns_2018!T2:T251)</f>
        <v/>
      </c>
      <c r="U4" s="0">
        <f>_xlfn.COVARIANCE.S(Returns_2018!B2:B251,Returns_2018!U2:U251)</f>
        <v/>
      </c>
      <c r="V4" s="0">
        <f>_xlfn.COVARIANCE.S(Returns_2018!B2:B251,Returns_2018!V2:V251)</f>
        <v/>
      </c>
      <c r="W4" s="0">
        <f>_xlfn.COVARIANCE.S(Returns_2018!B2:B251,Returns_2018!W2:W251)</f>
        <v/>
      </c>
      <c r="X4" s="0">
        <f>_xlfn.COVARIANCE.S(Returns_2018!B2:B251,Returns_2018!X2:X251)</f>
        <v/>
      </c>
    </row>
    <row r="5">
      <c r="A5" s="0" t="inlineStr">
        <is>
          <t>GE</t>
        </is>
      </c>
      <c r="B5" s="0">
        <f>_xlfn.COVARIANCE.S(Returns_2018!C2:C251,Returns_2018!B2:B251)</f>
        <v/>
      </c>
      <c r="C5" s="0">
        <f>_xlfn.COVARIANCE.S(Returns_2018!C2:C251,Returns_2018!C2:C251)</f>
        <v/>
      </c>
      <c r="D5" s="0">
        <f>_xlfn.COVARIANCE.S(Returns_2018!C2:C251,Returns_2018!D2:D251)</f>
        <v/>
      </c>
      <c r="E5" s="0">
        <f>_xlfn.COVARIANCE.S(Returns_2018!C2:C251,Returns_2018!E2:E251)</f>
        <v/>
      </c>
      <c r="F5" s="0">
        <f>_xlfn.COVARIANCE.S(Returns_2018!C2:C251,Returns_2018!F2:F251)</f>
        <v/>
      </c>
      <c r="G5" s="0">
        <f>_xlfn.COVARIANCE.S(Returns_2018!C2:C251,Returns_2018!G2:G251)</f>
        <v/>
      </c>
      <c r="H5" s="0">
        <f>_xlfn.COVARIANCE.S(Returns_2018!C2:C251,Returns_2018!H2:H251)</f>
        <v/>
      </c>
      <c r="I5" s="0">
        <f>_xlfn.COVARIANCE.S(Returns_2018!C2:C251,Returns_2018!I2:I251)</f>
        <v/>
      </c>
      <c r="J5" s="0">
        <f>_xlfn.COVARIANCE.S(Returns_2018!C2:C251,Returns_2018!J2:J251)</f>
        <v/>
      </c>
      <c r="K5" s="0">
        <f>_xlfn.COVARIANCE.S(Returns_2018!C2:C251,Returns_2018!K2:K251)</f>
        <v/>
      </c>
      <c r="L5" s="0">
        <f>_xlfn.COVARIANCE.S(Returns_2018!C2:C251,Returns_2018!L2:L251)</f>
        <v/>
      </c>
      <c r="M5" s="0">
        <f>_xlfn.COVARIANCE.S(Returns_2018!C2:C251,Returns_2018!M2:M251)</f>
        <v/>
      </c>
      <c r="N5" s="0">
        <f>_xlfn.COVARIANCE.S(Returns_2018!C2:C251,Returns_2018!N2:N251)</f>
        <v/>
      </c>
      <c r="O5" s="0">
        <f>_xlfn.COVARIANCE.S(Returns_2018!C2:C251,Returns_2018!O2:O251)</f>
        <v/>
      </c>
      <c r="P5" s="0">
        <f>_xlfn.COVARIANCE.S(Returns_2018!C2:C251,Returns_2018!P2:P251)</f>
        <v/>
      </c>
      <c r="Q5" s="0">
        <f>_xlfn.COVARIANCE.S(Returns_2018!C2:C251,Returns_2018!Q2:Q251)</f>
        <v/>
      </c>
      <c r="R5" s="0">
        <f>_xlfn.COVARIANCE.S(Returns_2018!C2:C251,Returns_2018!R2:R251)</f>
        <v/>
      </c>
      <c r="S5" s="0">
        <f>_xlfn.COVARIANCE.S(Returns_2018!C2:C251,Returns_2018!S2:S251)</f>
        <v/>
      </c>
      <c r="T5" s="0">
        <f>_xlfn.COVARIANCE.S(Returns_2018!C2:C251,Returns_2018!T2:T251)</f>
        <v/>
      </c>
      <c r="U5" s="0">
        <f>_xlfn.COVARIANCE.S(Returns_2018!C2:C251,Returns_2018!U2:U251)</f>
        <v/>
      </c>
      <c r="V5" s="0">
        <f>_xlfn.COVARIANCE.S(Returns_2018!C2:C251,Returns_2018!V2:V251)</f>
        <v/>
      </c>
      <c r="W5" s="0">
        <f>_xlfn.COVARIANCE.S(Returns_2018!C2:C251,Returns_2018!W2:W251)</f>
        <v/>
      </c>
      <c r="X5" s="0">
        <f>_xlfn.COVARIANCE.S(Returns_2018!C2:C251,Returns_2018!X2:X251)</f>
        <v/>
      </c>
    </row>
    <row r="6">
      <c r="A6" s="0" t="inlineStr">
        <is>
          <t>LLY</t>
        </is>
      </c>
      <c r="B6" s="0">
        <f>_xlfn.COVARIANCE.S(Returns_2018!D2:D251,Returns_2018!B2:B251)</f>
        <v/>
      </c>
      <c r="C6" s="0">
        <f>_xlfn.COVARIANCE.S(Returns_2018!D2:D251,Returns_2018!C2:C251)</f>
        <v/>
      </c>
      <c r="D6" s="0">
        <f>_xlfn.COVARIANCE.S(Returns_2018!D2:D251,Returns_2018!D2:D251)</f>
        <v/>
      </c>
      <c r="E6" s="0">
        <f>_xlfn.COVARIANCE.S(Returns_2018!D2:D251,Returns_2018!E2:E251)</f>
        <v/>
      </c>
      <c r="F6" s="0">
        <f>_xlfn.COVARIANCE.S(Returns_2018!D2:D251,Returns_2018!F2:F251)</f>
        <v/>
      </c>
      <c r="G6" s="0">
        <f>_xlfn.COVARIANCE.S(Returns_2018!D2:D251,Returns_2018!G2:G251)</f>
        <v/>
      </c>
      <c r="H6" s="0">
        <f>_xlfn.COVARIANCE.S(Returns_2018!D2:D251,Returns_2018!H2:H251)</f>
        <v/>
      </c>
      <c r="I6" s="0">
        <f>_xlfn.COVARIANCE.S(Returns_2018!D2:D251,Returns_2018!I2:I251)</f>
        <v/>
      </c>
      <c r="J6" s="0">
        <f>_xlfn.COVARIANCE.S(Returns_2018!D2:D251,Returns_2018!J2:J251)</f>
        <v/>
      </c>
      <c r="K6" s="0">
        <f>_xlfn.COVARIANCE.S(Returns_2018!D2:D251,Returns_2018!K2:K251)</f>
        <v/>
      </c>
      <c r="L6" s="0">
        <f>_xlfn.COVARIANCE.S(Returns_2018!D2:D251,Returns_2018!L2:L251)</f>
        <v/>
      </c>
      <c r="M6" s="0">
        <f>_xlfn.COVARIANCE.S(Returns_2018!D2:D251,Returns_2018!M2:M251)</f>
        <v/>
      </c>
      <c r="N6" s="0">
        <f>_xlfn.COVARIANCE.S(Returns_2018!D2:D251,Returns_2018!N2:N251)</f>
        <v/>
      </c>
      <c r="O6" s="0">
        <f>_xlfn.COVARIANCE.S(Returns_2018!D2:D251,Returns_2018!O2:O251)</f>
        <v/>
      </c>
      <c r="P6" s="0">
        <f>_xlfn.COVARIANCE.S(Returns_2018!D2:D251,Returns_2018!P2:P251)</f>
        <v/>
      </c>
      <c r="Q6" s="0">
        <f>_xlfn.COVARIANCE.S(Returns_2018!D2:D251,Returns_2018!Q2:Q251)</f>
        <v/>
      </c>
      <c r="R6" s="0">
        <f>_xlfn.COVARIANCE.S(Returns_2018!D2:D251,Returns_2018!R2:R251)</f>
        <v/>
      </c>
      <c r="S6" s="0">
        <f>_xlfn.COVARIANCE.S(Returns_2018!D2:D251,Returns_2018!S2:S251)</f>
        <v/>
      </c>
      <c r="T6" s="0">
        <f>_xlfn.COVARIANCE.S(Returns_2018!D2:D251,Returns_2018!T2:T251)</f>
        <v/>
      </c>
      <c r="U6" s="0">
        <f>_xlfn.COVARIANCE.S(Returns_2018!D2:D251,Returns_2018!U2:U251)</f>
        <v/>
      </c>
      <c r="V6" s="0">
        <f>_xlfn.COVARIANCE.S(Returns_2018!D2:D251,Returns_2018!V2:V251)</f>
        <v/>
      </c>
      <c r="W6" s="0">
        <f>_xlfn.COVARIANCE.S(Returns_2018!D2:D251,Returns_2018!W2:W251)</f>
        <v/>
      </c>
      <c r="X6" s="0">
        <f>_xlfn.COVARIANCE.S(Returns_2018!D2:D251,Returns_2018!X2:X251)</f>
        <v/>
      </c>
    </row>
    <row r="7">
      <c r="A7" s="0" t="inlineStr">
        <is>
          <t>F</t>
        </is>
      </c>
      <c r="B7" s="0">
        <f>_xlfn.COVARIANCE.S(Returns_2018!E2:E251,Returns_2018!B2:B251)</f>
        <v/>
      </c>
      <c r="C7" s="0">
        <f>_xlfn.COVARIANCE.S(Returns_2018!E2:E251,Returns_2018!C2:C251)</f>
        <v/>
      </c>
      <c r="D7" s="0">
        <f>_xlfn.COVARIANCE.S(Returns_2018!E2:E251,Returns_2018!D2:D251)</f>
        <v/>
      </c>
      <c r="E7" s="0">
        <f>_xlfn.COVARIANCE.S(Returns_2018!E2:E251,Returns_2018!E2:E251)</f>
        <v/>
      </c>
      <c r="F7" s="0">
        <f>_xlfn.COVARIANCE.S(Returns_2018!E2:E251,Returns_2018!F2:F251)</f>
        <v/>
      </c>
      <c r="G7" s="0">
        <f>_xlfn.COVARIANCE.S(Returns_2018!E2:E251,Returns_2018!G2:G251)</f>
        <v/>
      </c>
      <c r="H7" s="0">
        <f>_xlfn.COVARIANCE.S(Returns_2018!E2:E251,Returns_2018!H2:H251)</f>
        <v/>
      </c>
      <c r="I7" s="0">
        <f>_xlfn.COVARIANCE.S(Returns_2018!E2:E251,Returns_2018!I2:I251)</f>
        <v/>
      </c>
      <c r="J7" s="0">
        <f>_xlfn.COVARIANCE.S(Returns_2018!E2:E251,Returns_2018!J2:J251)</f>
        <v/>
      </c>
      <c r="K7" s="0">
        <f>_xlfn.COVARIANCE.S(Returns_2018!E2:E251,Returns_2018!K2:K251)</f>
        <v/>
      </c>
      <c r="L7" s="0">
        <f>_xlfn.COVARIANCE.S(Returns_2018!E2:E251,Returns_2018!L2:L251)</f>
        <v/>
      </c>
      <c r="M7" s="0">
        <f>_xlfn.COVARIANCE.S(Returns_2018!E2:E251,Returns_2018!M2:M251)</f>
        <v/>
      </c>
      <c r="N7" s="0">
        <f>_xlfn.COVARIANCE.S(Returns_2018!E2:E251,Returns_2018!N2:N251)</f>
        <v/>
      </c>
      <c r="O7" s="0">
        <f>_xlfn.COVARIANCE.S(Returns_2018!E2:E251,Returns_2018!O2:O251)</f>
        <v/>
      </c>
      <c r="P7" s="0">
        <f>_xlfn.COVARIANCE.S(Returns_2018!E2:E251,Returns_2018!P2:P251)</f>
        <v/>
      </c>
      <c r="Q7" s="0">
        <f>_xlfn.COVARIANCE.S(Returns_2018!E2:E251,Returns_2018!Q2:Q251)</f>
        <v/>
      </c>
      <c r="R7" s="0">
        <f>_xlfn.COVARIANCE.S(Returns_2018!E2:E251,Returns_2018!R2:R251)</f>
        <v/>
      </c>
      <c r="S7" s="0">
        <f>_xlfn.COVARIANCE.S(Returns_2018!E2:E251,Returns_2018!S2:S251)</f>
        <v/>
      </c>
      <c r="T7" s="0">
        <f>_xlfn.COVARIANCE.S(Returns_2018!E2:E251,Returns_2018!T2:T251)</f>
        <v/>
      </c>
      <c r="U7" s="0">
        <f>_xlfn.COVARIANCE.S(Returns_2018!E2:E251,Returns_2018!U2:U251)</f>
        <v/>
      </c>
      <c r="V7" s="0">
        <f>_xlfn.COVARIANCE.S(Returns_2018!E2:E251,Returns_2018!V2:V251)</f>
        <v/>
      </c>
      <c r="W7" s="0">
        <f>_xlfn.COVARIANCE.S(Returns_2018!E2:E251,Returns_2018!W2:W251)</f>
        <v/>
      </c>
      <c r="X7" s="0">
        <f>_xlfn.COVARIANCE.S(Returns_2018!E2:E251,Returns_2018!X2:X251)</f>
        <v/>
      </c>
    </row>
    <row r="8">
      <c r="A8" s="0" t="inlineStr">
        <is>
          <t>BAC</t>
        </is>
      </c>
      <c r="B8" s="0">
        <f>_xlfn.COVARIANCE.S(Returns_2018!F2:F251,Returns_2018!B2:B251)</f>
        <v/>
      </c>
      <c r="C8" s="0">
        <f>_xlfn.COVARIANCE.S(Returns_2018!F2:F251,Returns_2018!C2:C251)</f>
        <v/>
      </c>
      <c r="D8" s="0">
        <f>_xlfn.COVARIANCE.S(Returns_2018!F2:F251,Returns_2018!D2:D251)</f>
        <v/>
      </c>
      <c r="E8" s="0">
        <f>_xlfn.COVARIANCE.S(Returns_2018!F2:F251,Returns_2018!E2:E251)</f>
        <v/>
      </c>
      <c r="F8" s="0">
        <f>_xlfn.COVARIANCE.S(Returns_2018!F2:F251,Returns_2018!F2:F251)</f>
        <v/>
      </c>
      <c r="G8" s="0">
        <f>_xlfn.COVARIANCE.S(Returns_2018!F2:F251,Returns_2018!G2:G251)</f>
        <v/>
      </c>
      <c r="H8" s="0">
        <f>_xlfn.COVARIANCE.S(Returns_2018!F2:F251,Returns_2018!H2:H251)</f>
        <v/>
      </c>
      <c r="I8" s="0">
        <f>_xlfn.COVARIANCE.S(Returns_2018!F2:F251,Returns_2018!I2:I251)</f>
        <v/>
      </c>
      <c r="J8" s="0">
        <f>_xlfn.COVARIANCE.S(Returns_2018!F2:F251,Returns_2018!J2:J251)</f>
        <v/>
      </c>
      <c r="K8" s="0">
        <f>_xlfn.COVARIANCE.S(Returns_2018!F2:F251,Returns_2018!K2:K251)</f>
        <v/>
      </c>
      <c r="L8" s="0">
        <f>_xlfn.COVARIANCE.S(Returns_2018!F2:F251,Returns_2018!L2:L251)</f>
        <v/>
      </c>
      <c r="M8" s="0">
        <f>_xlfn.COVARIANCE.S(Returns_2018!F2:F251,Returns_2018!M2:M251)</f>
        <v/>
      </c>
      <c r="N8" s="0">
        <f>_xlfn.COVARIANCE.S(Returns_2018!F2:F251,Returns_2018!N2:N251)</f>
        <v/>
      </c>
      <c r="O8" s="0">
        <f>_xlfn.COVARIANCE.S(Returns_2018!F2:F251,Returns_2018!O2:O251)</f>
        <v/>
      </c>
      <c r="P8" s="0">
        <f>_xlfn.COVARIANCE.S(Returns_2018!F2:F251,Returns_2018!P2:P251)</f>
        <v/>
      </c>
      <c r="Q8" s="0">
        <f>_xlfn.COVARIANCE.S(Returns_2018!F2:F251,Returns_2018!Q2:Q251)</f>
        <v/>
      </c>
      <c r="R8" s="0">
        <f>_xlfn.COVARIANCE.S(Returns_2018!F2:F251,Returns_2018!R2:R251)</f>
        <v/>
      </c>
      <c r="S8" s="0">
        <f>_xlfn.COVARIANCE.S(Returns_2018!F2:F251,Returns_2018!S2:S251)</f>
        <v/>
      </c>
      <c r="T8" s="0">
        <f>_xlfn.COVARIANCE.S(Returns_2018!F2:F251,Returns_2018!T2:T251)</f>
        <v/>
      </c>
      <c r="U8" s="0">
        <f>_xlfn.COVARIANCE.S(Returns_2018!F2:F251,Returns_2018!U2:U251)</f>
        <v/>
      </c>
      <c r="V8" s="0">
        <f>_xlfn.COVARIANCE.S(Returns_2018!F2:F251,Returns_2018!V2:V251)</f>
        <v/>
      </c>
      <c r="W8" s="0">
        <f>_xlfn.COVARIANCE.S(Returns_2018!F2:F251,Returns_2018!W2:W251)</f>
        <v/>
      </c>
      <c r="X8" s="0">
        <f>_xlfn.COVARIANCE.S(Returns_2018!F2:F251,Returns_2018!X2:X251)</f>
        <v/>
      </c>
    </row>
    <row r="9">
      <c r="A9" s="0" t="inlineStr">
        <is>
          <t>KR</t>
        </is>
      </c>
      <c r="B9" s="0">
        <f>_xlfn.COVARIANCE.S(Returns_2018!G2:G251,Returns_2018!B2:B251)</f>
        <v/>
      </c>
      <c r="C9" s="0">
        <f>_xlfn.COVARIANCE.S(Returns_2018!G2:G251,Returns_2018!C2:C251)</f>
        <v/>
      </c>
      <c r="D9" s="0">
        <f>_xlfn.COVARIANCE.S(Returns_2018!G2:G251,Returns_2018!D2:D251)</f>
        <v/>
      </c>
      <c r="E9" s="0">
        <f>_xlfn.COVARIANCE.S(Returns_2018!G2:G251,Returns_2018!E2:E251)</f>
        <v/>
      </c>
      <c r="F9" s="0">
        <f>_xlfn.COVARIANCE.S(Returns_2018!G2:G251,Returns_2018!F2:F251)</f>
        <v/>
      </c>
      <c r="G9" s="0">
        <f>_xlfn.COVARIANCE.S(Returns_2018!G2:G251,Returns_2018!G2:G251)</f>
        <v/>
      </c>
      <c r="H9" s="0">
        <f>_xlfn.COVARIANCE.S(Returns_2018!G2:G251,Returns_2018!H2:H251)</f>
        <v/>
      </c>
      <c r="I9" s="0">
        <f>_xlfn.COVARIANCE.S(Returns_2018!G2:G251,Returns_2018!I2:I251)</f>
        <v/>
      </c>
      <c r="J9" s="0">
        <f>_xlfn.COVARIANCE.S(Returns_2018!G2:G251,Returns_2018!J2:J251)</f>
        <v/>
      </c>
      <c r="K9" s="0">
        <f>_xlfn.COVARIANCE.S(Returns_2018!G2:G251,Returns_2018!K2:K251)</f>
        <v/>
      </c>
      <c r="L9" s="0">
        <f>_xlfn.COVARIANCE.S(Returns_2018!G2:G251,Returns_2018!L2:L251)</f>
        <v/>
      </c>
      <c r="M9" s="0">
        <f>_xlfn.COVARIANCE.S(Returns_2018!G2:G251,Returns_2018!M2:M251)</f>
        <v/>
      </c>
      <c r="N9" s="0">
        <f>_xlfn.COVARIANCE.S(Returns_2018!G2:G251,Returns_2018!N2:N251)</f>
        <v/>
      </c>
      <c r="O9" s="0">
        <f>_xlfn.COVARIANCE.S(Returns_2018!G2:G251,Returns_2018!O2:O251)</f>
        <v/>
      </c>
      <c r="P9" s="0">
        <f>_xlfn.COVARIANCE.S(Returns_2018!G2:G251,Returns_2018!P2:P251)</f>
        <v/>
      </c>
      <c r="Q9" s="0">
        <f>_xlfn.COVARIANCE.S(Returns_2018!G2:G251,Returns_2018!Q2:Q251)</f>
        <v/>
      </c>
      <c r="R9" s="0">
        <f>_xlfn.COVARIANCE.S(Returns_2018!G2:G251,Returns_2018!R2:R251)</f>
        <v/>
      </c>
      <c r="S9" s="0">
        <f>_xlfn.COVARIANCE.S(Returns_2018!G2:G251,Returns_2018!S2:S251)</f>
        <v/>
      </c>
      <c r="T9" s="0">
        <f>_xlfn.COVARIANCE.S(Returns_2018!G2:G251,Returns_2018!T2:T251)</f>
        <v/>
      </c>
      <c r="U9" s="0">
        <f>_xlfn.COVARIANCE.S(Returns_2018!G2:G251,Returns_2018!U2:U251)</f>
        <v/>
      </c>
      <c r="V9" s="0">
        <f>_xlfn.COVARIANCE.S(Returns_2018!G2:G251,Returns_2018!V2:V251)</f>
        <v/>
      </c>
      <c r="W9" s="0">
        <f>_xlfn.COVARIANCE.S(Returns_2018!G2:G251,Returns_2018!W2:W251)</f>
        <v/>
      </c>
      <c r="X9" s="0">
        <f>_xlfn.COVARIANCE.S(Returns_2018!G2:G251,Returns_2018!X2:X251)</f>
        <v/>
      </c>
    </row>
    <row r="10">
      <c r="A10" s="0" t="inlineStr">
        <is>
          <t>ITUB</t>
        </is>
      </c>
      <c r="B10" s="0">
        <f>_xlfn.COVARIANCE.S(Returns_2018!H2:H251,Returns_2018!B2:B251)</f>
        <v/>
      </c>
      <c r="C10" s="0">
        <f>_xlfn.COVARIANCE.S(Returns_2018!H2:H251,Returns_2018!C2:C251)</f>
        <v/>
      </c>
      <c r="D10" s="0">
        <f>_xlfn.COVARIANCE.S(Returns_2018!H2:H251,Returns_2018!D2:D251)</f>
        <v/>
      </c>
      <c r="E10" s="0">
        <f>_xlfn.COVARIANCE.S(Returns_2018!H2:H251,Returns_2018!E2:E251)</f>
        <v/>
      </c>
      <c r="F10" s="0">
        <f>_xlfn.COVARIANCE.S(Returns_2018!H2:H251,Returns_2018!F2:F251)</f>
        <v/>
      </c>
      <c r="G10" s="0">
        <f>_xlfn.COVARIANCE.S(Returns_2018!H2:H251,Returns_2018!G2:G251)</f>
        <v/>
      </c>
      <c r="H10" s="0">
        <f>_xlfn.COVARIANCE.S(Returns_2018!H2:H251,Returns_2018!H2:H251)</f>
        <v/>
      </c>
      <c r="I10" s="0">
        <f>_xlfn.COVARIANCE.S(Returns_2018!H2:H251,Returns_2018!I2:I251)</f>
        <v/>
      </c>
      <c r="J10" s="0">
        <f>_xlfn.COVARIANCE.S(Returns_2018!H2:H251,Returns_2018!J2:J251)</f>
        <v/>
      </c>
      <c r="K10" s="0">
        <f>_xlfn.COVARIANCE.S(Returns_2018!H2:H251,Returns_2018!K2:K251)</f>
        <v/>
      </c>
      <c r="L10" s="0">
        <f>_xlfn.COVARIANCE.S(Returns_2018!H2:H251,Returns_2018!L2:L251)</f>
        <v/>
      </c>
      <c r="M10" s="0">
        <f>_xlfn.COVARIANCE.S(Returns_2018!H2:H251,Returns_2018!M2:M251)</f>
        <v/>
      </c>
      <c r="N10" s="0">
        <f>_xlfn.COVARIANCE.S(Returns_2018!H2:H251,Returns_2018!N2:N251)</f>
        <v/>
      </c>
      <c r="O10" s="0">
        <f>_xlfn.COVARIANCE.S(Returns_2018!H2:H251,Returns_2018!O2:O251)</f>
        <v/>
      </c>
      <c r="P10" s="0">
        <f>_xlfn.COVARIANCE.S(Returns_2018!H2:H251,Returns_2018!P2:P251)</f>
        <v/>
      </c>
      <c r="Q10" s="0">
        <f>_xlfn.COVARIANCE.S(Returns_2018!H2:H251,Returns_2018!Q2:Q251)</f>
        <v/>
      </c>
      <c r="R10" s="0">
        <f>_xlfn.COVARIANCE.S(Returns_2018!H2:H251,Returns_2018!R2:R251)</f>
        <v/>
      </c>
      <c r="S10" s="0">
        <f>_xlfn.COVARIANCE.S(Returns_2018!H2:H251,Returns_2018!S2:S251)</f>
        <v/>
      </c>
      <c r="T10" s="0">
        <f>_xlfn.COVARIANCE.S(Returns_2018!H2:H251,Returns_2018!T2:T251)</f>
        <v/>
      </c>
      <c r="U10" s="0">
        <f>_xlfn.COVARIANCE.S(Returns_2018!H2:H251,Returns_2018!U2:U251)</f>
        <v/>
      </c>
      <c r="V10" s="0">
        <f>_xlfn.COVARIANCE.S(Returns_2018!H2:H251,Returns_2018!V2:V251)</f>
        <v/>
      </c>
      <c r="W10" s="0">
        <f>_xlfn.COVARIANCE.S(Returns_2018!H2:H251,Returns_2018!W2:W251)</f>
        <v/>
      </c>
      <c r="X10" s="0">
        <f>_xlfn.COVARIANCE.S(Returns_2018!H2:H251,Returns_2018!X2:X251)</f>
        <v/>
      </c>
    </row>
    <row r="11">
      <c r="A11" s="0" t="inlineStr">
        <is>
          <t>GG</t>
        </is>
      </c>
      <c r="B11" s="0">
        <f>_xlfn.COVARIANCE.S(Returns_2018!I2:I251,Returns_2018!B2:B251)</f>
        <v/>
      </c>
      <c r="C11" s="0">
        <f>_xlfn.COVARIANCE.S(Returns_2018!I2:I251,Returns_2018!C2:C251)</f>
        <v/>
      </c>
      <c r="D11" s="0">
        <f>_xlfn.COVARIANCE.S(Returns_2018!I2:I251,Returns_2018!D2:D251)</f>
        <v/>
      </c>
      <c r="E11" s="0">
        <f>_xlfn.COVARIANCE.S(Returns_2018!I2:I251,Returns_2018!E2:E251)</f>
        <v/>
      </c>
      <c r="F11" s="0">
        <f>_xlfn.COVARIANCE.S(Returns_2018!I2:I251,Returns_2018!F2:F251)</f>
        <v/>
      </c>
      <c r="G11" s="0">
        <f>_xlfn.COVARIANCE.S(Returns_2018!I2:I251,Returns_2018!G2:G251)</f>
        <v/>
      </c>
      <c r="H11" s="0">
        <f>_xlfn.COVARIANCE.S(Returns_2018!I2:I251,Returns_2018!H2:H251)</f>
        <v/>
      </c>
      <c r="I11" s="0">
        <f>_xlfn.COVARIANCE.S(Returns_2018!I2:I251,Returns_2018!I2:I251)</f>
        <v/>
      </c>
      <c r="J11" s="0">
        <f>_xlfn.COVARIANCE.S(Returns_2018!I2:I251,Returns_2018!J2:J251)</f>
        <v/>
      </c>
      <c r="K11" s="0">
        <f>_xlfn.COVARIANCE.S(Returns_2018!I2:I251,Returns_2018!K2:K251)</f>
        <v/>
      </c>
      <c r="L11" s="0">
        <f>_xlfn.COVARIANCE.S(Returns_2018!I2:I251,Returns_2018!L2:L251)</f>
        <v/>
      </c>
      <c r="M11" s="0">
        <f>_xlfn.COVARIANCE.S(Returns_2018!I2:I251,Returns_2018!M2:M251)</f>
        <v/>
      </c>
      <c r="N11" s="0">
        <f>_xlfn.COVARIANCE.S(Returns_2018!I2:I251,Returns_2018!N2:N251)</f>
        <v/>
      </c>
      <c r="O11" s="0">
        <f>_xlfn.COVARIANCE.S(Returns_2018!I2:I251,Returns_2018!O2:O251)</f>
        <v/>
      </c>
      <c r="P11" s="0">
        <f>_xlfn.COVARIANCE.S(Returns_2018!I2:I251,Returns_2018!P2:P251)</f>
        <v/>
      </c>
      <c r="Q11" s="0">
        <f>_xlfn.COVARIANCE.S(Returns_2018!I2:I251,Returns_2018!Q2:Q251)</f>
        <v/>
      </c>
      <c r="R11" s="0">
        <f>_xlfn.COVARIANCE.S(Returns_2018!I2:I251,Returns_2018!R2:R251)</f>
        <v/>
      </c>
      <c r="S11" s="0">
        <f>_xlfn.COVARIANCE.S(Returns_2018!I2:I251,Returns_2018!S2:S251)</f>
        <v/>
      </c>
      <c r="T11" s="0">
        <f>_xlfn.COVARIANCE.S(Returns_2018!I2:I251,Returns_2018!T2:T251)</f>
        <v/>
      </c>
      <c r="U11" s="0">
        <f>_xlfn.COVARIANCE.S(Returns_2018!I2:I251,Returns_2018!U2:U251)</f>
        <v/>
      </c>
      <c r="V11" s="0">
        <f>_xlfn.COVARIANCE.S(Returns_2018!I2:I251,Returns_2018!V2:V251)</f>
        <v/>
      </c>
      <c r="W11" s="0">
        <f>_xlfn.COVARIANCE.S(Returns_2018!I2:I251,Returns_2018!W2:W251)</f>
        <v/>
      </c>
      <c r="X11" s="0">
        <f>_xlfn.COVARIANCE.S(Returns_2018!I2:I251,Returns_2018!X2:X251)</f>
        <v/>
      </c>
    </row>
    <row r="12">
      <c r="A12" s="0" t="inlineStr">
        <is>
          <t>SIRI</t>
        </is>
      </c>
      <c r="B12" s="0">
        <f>_xlfn.COVARIANCE.S(Returns_2018!J2:J251,Returns_2018!B2:B251)</f>
        <v/>
      </c>
      <c r="C12" s="0">
        <f>_xlfn.COVARIANCE.S(Returns_2018!J2:J251,Returns_2018!C2:C251)</f>
        <v/>
      </c>
      <c r="D12" s="0">
        <f>_xlfn.COVARIANCE.S(Returns_2018!J2:J251,Returns_2018!D2:D251)</f>
        <v/>
      </c>
      <c r="E12" s="0">
        <f>_xlfn.COVARIANCE.S(Returns_2018!J2:J251,Returns_2018!E2:E251)</f>
        <v/>
      </c>
      <c r="F12" s="0">
        <f>_xlfn.COVARIANCE.S(Returns_2018!J2:J251,Returns_2018!F2:F251)</f>
        <v/>
      </c>
      <c r="G12" s="0">
        <f>_xlfn.COVARIANCE.S(Returns_2018!J2:J251,Returns_2018!G2:G251)</f>
        <v/>
      </c>
      <c r="H12" s="0">
        <f>_xlfn.COVARIANCE.S(Returns_2018!J2:J251,Returns_2018!H2:H251)</f>
        <v/>
      </c>
      <c r="I12" s="0">
        <f>_xlfn.COVARIANCE.S(Returns_2018!J2:J251,Returns_2018!I2:I251)</f>
        <v/>
      </c>
      <c r="J12" s="0">
        <f>_xlfn.COVARIANCE.S(Returns_2018!J2:J251,Returns_2018!J2:J251)</f>
        <v/>
      </c>
      <c r="K12" s="0">
        <f>_xlfn.COVARIANCE.S(Returns_2018!J2:J251,Returns_2018!K2:K251)</f>
        <v/>
      </c>
      <c r="L12" s="0">
        <f>_xlfn.COVARIANCE.S(Returns_2018!J2:J251,Returns_2018!L2:L251)</f>
        <v/>
      </c>
      <c r="M12" s="0">
        <f>_xlfn.COVARIANCE.S(Returns_2018!J2:J251,Returns_2018!M2:M251)</f>
        <v/>
      </c>
      <c r="N12" s="0">
        <f>_xlfn.COVARIANCE.S(Returns_2018!J2:J251,Returns_2018!N2:N251)</f>
        <v/>
      </c>
      <c r="O12" s="0">
        <f>_xlfn.COVARIANCE.S(Returns_2018!J2:J251,Returns_2018!O2:O251)</f>
        <v/>
      </c>
      <c r="P12" s="0">
        <f>_xlfn.COVARIANCE.S(Returns_2018!J2:J251,Returns_2018!P2:P251)</f>
        <v/>
      </c>
      <c r="Q12" s="0">
        <f>_xlfn.COVARIANCE.S(Returns_2018!J2:J251,Returns_2018!Q2:Q251)</f>
        <v/>
      </c>
      <c r="R12" s="0">
        <f>_xlfn.COVARIANCE.S(Returns_2018!J2:J251,Returns_2018!R2:R251)</f>
        <v/>
      </c>
      <c r="S12" s="0">
        <f>_xlfn.COVARIANCE.S(Returns_2018!J2:J251,Returns_2018!S2:S251)</f>
        <v/>
      </c>
      <c r="T12" s="0">
        <f>_xlfn.COVARIANCE.S(Returns_2018!J2:J251,Returns_2018!T2:T251)</f>
        <v/>
      </c>
      <c r="U12" s="0">
        <f>_xlfn.COVARIANCE.S(Returns_2018!J2:J251,Returns_2018!U2:U251)</f>
        <v/>
      </c>
      <c r="V12" s="0">
        <f>_xlfn.COVARIANCE.S(Returns_2018!J2:J251,Returns_2018!V2:V251)</f>
        <v/>
      </c>
      <c r="W12" s="0">
        <f>_xlfn.COVARIANCE.S(Returns_2018!J2:J251,Returns_2018!W2:W251)</f>
        <v/>
      </c>
      <c r="X12" s="0">
        <f>_xlfn.COVARIANCE.S(Returns_2018!J2:J251,Returns_2018!X2:X251)</f>
        <v/>
      </c>
    </row>
    <row r="13">
      <c r="A13" s="0" t="inlineStr">
        <is>
          <t>ACB</t>
        </is>
      </c>
      <c r="B13" s="0">
        <f>_xlfn.COVARIANCE.S(Returns_2018!K2:K251,Returns_2018!B2:B251)</f>
        <v/>
      </c>
      <c r="C13" s="0">
        <f>_xlfn.COVARIANCE.S(Returns_2018!K2:K251,Returns_2018!C2:C251)</f>
        <v/>
      </c>
      <c r="D13" s="0">
        <f>_xlfn.COVARIANCE.S(Returns_2018!K2:K251,Returns_2018!D2:D251)</f>
        <v/>
      </c>
      <c r="E13" s="0">
        <f>_xlfn.COVARIANCE.S(Returns_2018!K2:K251,Returns_2018!E2:E251)</f>
        <v/>
      </c>
      <c r="F13" s="0">
        <f>_xlfn.COVARIANCE.S(Returns_2018!K2:K251,Returns_2018!F2:F251)</f>
        <v/>
      </c>
      <c r="G13" s="0">
        <f>_xlfn.COVARIANCE.S(Returns_2018!K2:K251,Returns_2018!G2:G251)</f>
        <v/>
      </c>
      <c r="H13" s="0">
        <f>_xlfn.COVARIANCE.S(Returns_2018!K2:K251,Returns_2018!H2:H251)</f>
        <v/>
      </c>
      <c r="I13" s="0">
        <f>_xlfn.COVARIANCE.S(Returns_2018!K2:K251,Returns_2018!I2:I251)</f>
        <v/>
      </c>
      <c r="J13" s="0">
        <f>_xlfn.COVARIANCE.S(Returns_2018!K2:K251,Returns_2018!J2:J251)</f>
        <v/>
      </c>
      <c r="K13" s="0">
        <f>_xlfn.COVARIANCE.S(Returns_2018!K2:K251,Returns_2018!K2:K251)</f>
        <v/>
      </c>
      <c r="L13" s="0">
        <f>_xlfn.COVARIANCE.S(Returns_2018!K2:K251,Returns_2018!L2:L251)</f>
        <v/>
      </c>
      <c r="M13" s="0">
        <f>_xlfn.COVARIANCE.S(Returns_2018!K2:K251,Returns_2018!M2:M251)</f>
        <v/>
      </c>
      <c r="N13" s="0">
        <f>_xlfn.COVARIANCE.S(Returns_2018!K2:K251,Returns_2018!N2:N251)</f>
        <v/>
      </c>
      <c r="O13" s="0">
        <f>_xlfn.COVARIANCE.S(Returns_2018!K2:K251,Returns_2018!O2:O251)</f>
        <v/>
      </c>
      <c r="P13" s="0">
        <f>_xlfn.COVARIANCE.S(Returns_2018!K2:K251,Returns_2018!P2:P251)</f>
        <v/>
      </c>
      <c r="Q13" s="0">
        <f>_xlfn.COVARIANCE.S(Returns_2018!K2:K251,Returns_2018!Q2:Q251)</f>
        <v/>
      </c>
      <c r="R13" s="0">
        <f>_xlfn.COVARIANCE.S(Returns_2018!K2:K251,Returns_2018!R2:R251)</f>
        <v/>
      </c>
      <c r="S13" s="0">
        <f>_xlfn.COVARIANCE.S(Returns_2018!K2:K251,Returns_2018!S2:S251)</f>
        <v/>
      </c>
      <c r="T13" s="0">
        <f>_xlfn.COVARIANCE.S(Returns_2018!K2:K251,Returns_2018!T2:T251)</f>
        <v/>
      </c>
      <c r="U13" s="0">
        <f>_xlfn.COVARIANCE.S(Returns_2018!K2:K251,Returns_2018!U2:U251)</f>
        <v/>
      </c>
      <c r="V13" s="0">
        <f>_xlfn.COVARIANCE.S(Returns_2018!K2:K251,Returns_2018!V2:V251)</f>
        <v/>
      </c>
      <c r="W13" s="0">
        <f>_xlfn.COVARIANCE.S(Returns_2018!K2:K251,Returns_2018!W2:W251)</f>
        <v/>
      </c>
      <c r="X13" s="0">
        <f>_xlfn.COVARIANCE.S(Returns_2018!K2:K251,Returns_2018!X2:X251)</f>
        <v/>
      </c>
    </row>
    <row r="14">
      <c r="A14" s="0" t="inlineStr">
        <is>
          <t>VALE</t>
        </is>
      </c>
      <c r="B14" s="0">
        <f>_xlfn.COVARIANCE.S(Returns_2018!L2:L251,Returns_2018!B2:B251)</f>
        <v/>
      </c>
      <c r="C14" s="0">
        <f>_xlfn.COVARIANCE.S(Returns_2018!L2:L251,Returns_2018!C2:C251)</f>
        <v/>
      </c>
      <c r="D14" s="0">
        <f>_xlfn.COVARIANCE.S(Returns_2018!L2:L251,Returns_2018!D2:D251)</f>
        <v/>
      </c>
      <c r="E14" s="0">
        <f>_xlfn.COVARIANCE.S(Returns_2018!L2:L251,Returns_2018!E2:E251)</f>
        <v/>
      </c>
      <c r="F14" s="0">
        <f>_xlfn.COVARIANCE.S(Returns_2018!L2:L251,Returns_2018!F2:F251)</f>
        <v/>
      </c>
      <c r="G14" s="0">
        <f>_xlfn.COVARIANCE.S(Returns_2018!L2:L251,Returns_2018!G2:G251)</f>
        <v/>
      </c>
      <c r="H14" s="0">
        <f>_xlfn.COVARIANCE.S(Returns_2018!L2:L251,Returns_2018!H2:H251)</f>
        <v/>
      </c>
      <c r="I14" s="0">
        <f>_xlfn.COVARIANCE.S(Returns_2018!L2:L251,Returns_2018!I2:I251)</f>
        <v/>
      </c>
      <c r="J14" s="0">
        <f>_xlfn.COVARIANCE.S(Returns_2018!L2:L251,Returns_2018!J2:J251)</f>
        <v/>
      </c>
      <c r="K14" s="0">
        <f>_xlfn.COVARIANCE.S(Returns_2018!L2:L251,Returns_2018!K2:K251)</f>
        <v/>
      </c>
      <c r="L14" s="0">
        <f>_xlfn.COVARIANCE.S(Returns_2018!L2:L251,Returns_2018!L2:L251)</f>
        <v/>
      </c>
      <c r="M14" s="0">
        <f>_xlfn.COVARIANCE.S(Returns_2018!L2:L251,Returns_2018!M2:M251)</f>
        <v/>
      </c>
      <c r="N14" s="0">
        <f>_xlfn.COVARIANCE.S(Returns_2018!L2:L251,Returns_2018!N2:N251)</f>
        <v/>
      </c>
      <c r="O14" s="0">
        <f>_xlfn.COVARIANCE.S(Returns_2018!L2:L251,Returns_2018!O2:O251)</f>
        <v/>
      </c>
      <c r="P14" s="0">
        <f>_xlfn.COVARIANCE.S(Returns_2018!L2:L251,Returns_2018!P2:P251)</f>
        <v/>
      </c>
      <c r="Q14" s="0">
        <f>_xlfn.COVARIANCE.S(Returns_2018!L2:L251,Returns_2018!Q2:Q251)</f>
        <v/>
      </c>
      <c r="R14" s="0">
        <f>_xlfn.COVARIANCE.S(Returns_2018!L2:L251,Returns_2018!R2:R251)</f>
        <v/>
      </c>
      <c r="S14" s="0">
        <f>_xlfn.COVARIANCE.S(Returns_2018!L2:L251,Returns_2018!S2:S251)</f>
        <v/>
      </c>
      <c r="T14" s="0">
        <f>_xlfn.COVARIANCE.S(Returns_2018!L2:L251,Returns_2018!T2:T251)</f>
        <v/>
      </c>
      <c r="U14" s="0">
        <f>_xlfn.COVARIANCE.S(Returns_2018!L2:L251,Returns_2018!U2:U251)</f>
        <v/>
      </c>
      <c r="V14" s="0">
        <f>_xlfn.COVARIANCE.S(Returns_2018!L2:L251,Returns_2018!V2:V251)</f>
        <v/>
      </c>
      <c r="W14" s="0">
        <f>_xlfn.COVARIANCE.S(Returns_2018!L2:L251,Returns_2018!W2:W251)</f>
        <v/>
      </c>
      <c r="X14" s="0">
        <f>_xlfn.COVARIANCE.S(Returns_2018!L2:L251,Returns_2018!X2:X251)</f>
        <v/>
      </c>
    </row>
    <row r="15">
      <c r="A15" s="0" t="inlineStr">
        <is>
          <t>PFE</t>
        </is>
      </c>
      <c r="B15" s="0">
        <f>_xlfn.COVARIANCE.S(Returns_2018!M2:M251,Returns_2018!B2:B251)</f>
        <v/>
      </c>
      <c r="C15" s="0">
        <f>_xlfn.COVARIANCE.S(Returns_2018!M2:M251,Returns_2018!C2:C251)</f>
        <v/>
      </c>
      <c r="D15" s="0">
        <f>_xlfn.COVARIANCE.S(Returns_2018!M2:M251,Returns_2018!D2:D251)</f>
        <v/>
      </c>
      <c r="E15" s="0">
        <f>_xlfn.COVARIANCE.S(Returns_2018!M2:M251,Returns_2018!E2:E251)</f>
        <v/>
      </c>
      <c r="F15" s="0">
        <f>_xlfn.COVARIANCE.S(Returns_2018!M2:M251,Returns_2018!F2:F251)</f>
        <v/>
      </c>
      <c r="G15" s="0">
        <f>_xlfn.COVARIANCE.S(Returns_2018!M2:M251,Returns_2018!G2:G251)</f>
        <v/>
      </c>
      <c r="H15" s="0">
        <f>_xlfn.COVARIANCE.S(Returns_2018!M2:M251,Returns_2018!H2:H251)</f>
        <v/>
      </c>
      <c r="I15" s="0">
        <f>_xlfn.COVARIANCE.S(Returns_2018!M2:M251,Returns_2018!I2:I251)</f>
        <v/>
      </c>
      <c r="J15" s="0">
        <f>_xlfn.COVARIANCE.S(Returns_2018!M2:M251,Returns_2018!J2:J251)</f>
        <v/>
      </c>
      <c r="K15" s="0">
        <f>_xlfn.COVARIANCE.S(Returns_2018!M2:M251,Returns_2018!K2:K251)</f>
        <v/>
      </c>
      <c r="L15" s="0">
        <f>_xlfn.COVARIANCE.S(Returns_2018!M2:M251,Returns_2018!L2:L251)</f>
        <v/>
      </c>
      <c r="M15" s="0">
        <f>_xlfn.COVARIANCE.S(Returns_2018!M2:M251,Returns_2018!M2:M251)</f>
        <v/>
      </c>
      <c r="N15" s="0">
        <f>_xlfn.COVARIANCE.S(Returns_2018!M2:M251,Returns_2018!N2:N251)</f>
        <v/>
      </c>
      <c r="O15" s="0">
        <f>_xlfn.COVARIANCE.S(Returns_2018!M2:M251,Returns_2018!O2:O251)</f>
        <v/>
      </c>
      <c r="P15" s="0">
        <f>_xlfn.COVARIANCE.S(Returns_2018!M2:M251,Returns_2018!P2:P251)</f>
        <v/>
      </c>
      <c r="Q15" s="0">
        <f>_xlfn.COVARIANCE.S(Returns_2018!M2:M251,Returns_2018!Q2:Q251)</f>
        <v/>
      </c>
      <c r="R15" s="0">
        <f>_xlfn.COVARIANCE.S(Returns_2018!M2:M251,Returns_2018!R2:R251)</f>
        <v/>
      </c>
      <c r="S15" s="0">
        <f>_xlfn.COVARIANCE.S(Returns_2018!M2:M251,Returns_2018!S2:S251)</f>
        <v/>
      </c>
      <c r="T15" s="0">
        <f>_xlfn.COVARIANCE.S(Returns_2018!M2:M251,Returns_2018!T2:T251)</f>
        <v/>
      </c>
      <c r="U15" s="0">
        <f>_xlfn.COVARIANCE.S(Returns_2018!M2:M251,Returns_2018!U2:U251)</f>
        <v/>
      </c>
      <c r="V15" s="0">
        <f>_xlfn.COVARIANCE.S(Returns_2018!M2:M251,Returns_2018!V2:V251)</f>
        <v/>
      </c>
      <c r="W15" s="0">
        <f>_xlfn.COVARIANCE.S(Returns_2018!M2:M251,Returns_2018!W2:W251)</f>
        <v/>
      </c>
      <c r="X15" s="0">
        <f>_xlfn.COVARIANCE.S(Returns_2018!M2:M251,Returns_2018!X2:X251)</f>
        <v/>
      </c>
    </row>
    <row r="16">
      <c r="A16" s="0" t="inlineStr">
        <is>
          <t>CTL</t>
        </is>
      </c>
      <c r="B16" s="0">
        <f>_xlfn.COVARIANCE.S(Returns_2018!N2:N251,Returns_2018!B2:B251)</f>
        <v/>
      </c>
      <c r="C16" s="0">
        <f>_xlfn.COVARIANCE.S(Returns_2018!N2:N251,Returns_2018!C2:C251)</f>
        <v/>
      </c>
      <c r="D16" s="0">
        <f>_xlfn.COVARIANCE.S(Returns_2018!N2:N251,Returns_2018!D2:D251)</f>
        <v/>
      </c>
      <c r="E16" s="0">
        <f>_xlfn.COVARIANCE.S(Returns_2018!N2:N251,Returns_2018!E2:E251)</f>
        <v/>
      </c>
      <c r="F16" s="0">
        <f>_xlfn.COVARIANCE.S(Returns_2018!N2:N251,Returns_2018!F2:F251)</f>
        <v/>
      </c>
      <c r="G16" s="0">
        <f>_xlfn.COVARIANCE.S(Returns_2018!N2:N251,Returns_2018!G2:G251)</f>
        <v/>
      </c>
      <c r="H16" s="0">
        <f>_xlfn.COVARIANCE.S(Returns_2018!N2:N251,Returns_2018!H2:H251)</f>
        <v/>
      </c>
      <c r="I16" s="0">
        <f>_xlfn.COVARIANCE.S(Returns_2018!N2:N251,Returns_2018!I2:I251)</f>
        <v/>
      </c>
      <c r="J16" s="0">
        <f>_xlfn.COVARIANCE.S(Returns_2018!N2:N251,Returns_2018!J2:J251)</f>
        <v/>
      </c>
      <c r="K16" s="0">
        <f>_xlfn.COVARIANCE.S(Returns_2018!N2:N251,Returns_2018!K2:K251)</f>
        <v/>
      </c>
      <c r="L16" s="0">
        <f>_xlfn.COVARIANCE.S(Returns_2018!N2:N251,Returns_2018!L2:L251)</f>
        <v/>
      </c>
      <c r="M16" s="0">
        <f>_xlfn.COVARIANCE.S(Returns_2018!N2:N251,Returns_2018!M2:M251)</f>
        <v/>
      </c>
      <c r="N16" s="0">
        <f>_xlfn.COVARIANCE.S(Returns_2018!N2:N251,Returns_2018!N2:N251)</f>
        <v/>
      </c>
      <c r="O16" s="0">
        <f>_xlfn.COVARIANCE.S(Returns_2018!N2:N251,Returns_2018!O2:O251)</f>
        <v/>
      </c>
      <c r="P16" s="0">
        <f>_xlfn.COVARIANCE.S(Returns_2018!N2:N251,Returns_2018!P2:P251)</f>
        <v/>
      </c>
      <c r="Q16" s="0">
        <f>_xlfn.COVARIANCE.S(Returns_2018!N2:N251,Returns_2018!Q2:Q251)</f>
        <v/>
      </c>
      <c r="R16" s="0">
        <f>_xlfn.COVARIANCE.S(Returns_2018!N2:N251,Returns_2018!R2:R251)</f>
        <v/>
      </c>
      <c r="S16" s="0">
        <f>_xlfn.COVARIANCE.S(Returns_2018!N2:N251,Returns_2018!S2:S251)</f>
        <v/>
      </c>
      <c r="T16" s="0">
        <f>_xlfn.COVARIANCE.S(Returns_2018!N2:N251,Returns_2018!T2:T251)</f>
        <v/>
      </c>
      <c r="U16" s="0">
        <f>_xlfn.COVARIANCE.S(Returns_2018!N2:N251,Returns_2018!U2:U251)</f>
        <v/>
      </c>
      <c r="V16" s="0">
        <f>_xlfn.COVARIANCE.S(Returns_2018!N2:N251,Returns_2018!V2:V251)</f>
        <v/>
      </c>
      <c r="W16" s="0">
        <f>_xlfn.COVARIANCE.S(Returns_2018!N2:N251,Returns_2018!W2:W251)</f>
        <v/>
      </c>
      <c r="X16" s="0">
        <f>_xlfn.COVARIANCE.S(Returns_2018!N2:N251,Returns_2018!X2:X251)</f>
        <v/>
      </c>
    </row>
    <row r="17">
      <c r="A17" s="0" t="inlineStr">
        <is>
          <t>T</t>
        </is>
      </c>
      <c r="B17" s="0">
        <f>_xlfn.COVARIANCE.S(Returns_2018!O2:O251,Returns_2018!B2:B251)</f>
        <v/>
      </c>
      <c r="C17" s="0">
        <f>_xlfn.COVARIANCE.S(Returns_2018!O2:O251,Returns_2018!C2:C251)</f>
        <v/>
      </c>
      <c r="D17" s="0">
        <f>_xlfn.COVARIANCE.S(Returns_2018!O2:O251,Returns_2018!D2:D251)</f>
        <v/>
      </c>
      <c r="E17" s="0">
        <f>_xlfn.COVARIANCE.S(Returns_2018!O2:O251,Returns_2018!E2:E251)</f>
        <v/>
      </c>
      <c r="F17" s="0">
        <f>_xlfn.COVARIANCE.S(Returns_2018!O2:O251,Returns_2018!F2:F251)</f>
        <v/>
      </c>
      <c r="G17" s="0">
        <f>_xlfn.COVARIANCE.S(Returns_2018!O2:O251,Returns_2018!G2:G251)</f>
        <v/>
      </c>
      <c r="H17" s="0">
        <f>_xlfn.COVARIANCE.S(Returns_2018!O2:O251,Returns_2018!H2:H251)</f>
        <v/>
      </c>
      <c r="I17" s="0">
        <f>_xlfn.COVARIANCE.S(Returns_2018!O2:O251,Returns_2018!I2:I251)</f>
        <v/>
      </c>
      <c r="J17" s="0">
        <f>_xlfn.COVARIANCE.S(Returns_2018!O2:O251,Returns_2018!J2:J251)</f>
        <v/>
      </c>
      <c r="K17" s="0">
        <f>_xlfn.COVARIANCE.S(Returns_2018!O2:O251,Returns_2018!K2:K251)</f>
        <v/>
      </c>
      <c r="L17" s="0">
        <f>_xlfn.COVARIANCE.S(Returns_2018!O2:O251,Returns_2018!L2:L251)</f>
        <v/>
      </c>
      <c r="M17" s="0">
        <f>_xlfn.COVARIANCE.S(Returns_2018!O2:O251,Returns_2018!M2:M251)</f>
        <v/>
      </c>
      <c r="N17" s="0">
        <f>_xlfn.COVARIANCE.S(Returns_2018!O2:O251,Returns_2018!N2:N251)</f>
        <v/>
      </c>
      <c r="O17" s="0">
        <f>_xlfn.COVARIANCE.S(Returns_2018!O2:O251,Returns_2018!O2:O251)</f>
        <v/>
      </c>
      <c r="P17" s="0">
        <f>_xlfn.COVARIANCE.S(Returns_2018!O2:O251,Returns_2018!P2:P251)</f>
        <v/>
      </c>
      <c r="Q17" s="0">
        <f>_xlfn.COVARIANCE.S(Returns_2018!O2:O251,Returns_2018!Q2:Q251)</f>
        <v/>
      </c>
      <c r="R17" s="0">
        <f>_xlfn.COVARIANCE.S(Returns_2018!O2:O251,Returns_2018!R2:R251)</f>
        <v/>
      </c>
      <c r="S17" s="0">
        <f>_xlfn.COVARIANCE.S(Returns_2018!O2:O251,Returns_2018!S2:S251)</f>
        <v/>
      </c>
      <c r="T17" s="0">
        <f>_xlfn.COVARIANCE.S(Returns_2018!O2:O251,Returns_2018!T2:T251)</f>
        <v/>
      </c>
      <c r="U17" s="0">
        <f>_xlfn.COVARIANCE.S(Returns_2018!O2:O251,Returns_2018!U2:U251)</f>
        <v/>
      </c>
      <c r="V17" s="0">
        <f>_xlfn.COVARIANCE.S(Returns_2018!O2:O251,Returns_2018!V2:V251)</f>
        <v/>
      </c>
      <c r="W17" s="0">
        <f>_xlfn.COVARIANCE.S(Returns_2018!O2:O251,Returns_2018!W2:W251)</f>
        <v/>
      </c>
      <c r="X17" s="0">
        <f>_xlfn.COVARIANCE.S(Returns_2018!O2:O251,Returns_2018!X2:X251)</f>
        <v/>
      </c>
    </row>
    <row r="18">
      <c r="A18" s="0" t="inlineStr">
        <is>
          <t>ECA</t>
        </is>
      </c>
      <c r="B18" s="0">
        <f>_xlfn.COVARIANCE.S(Returns_2018!P2:P251,Returns_2018!B2:B251)</f>
        <v/>
      </c>
      <c r="C18" s="0">
        <f>_xlfn.COVARIANCE.S(Returns_2018!P2:P251,Returns_2018!C2:C251)</f>
        <v/>
      </c>
      <c r="D18" s="0">
        <f>_xlfn.COVARIANCE.S(Returns_2018!P2:P251,Returns_2018!D2:D251)</f>
        <v/>
      </c>
      <c r="E18" s="0">
        <f>_xlfn.COVARIANCE.S(Returns_2018!P2:P251,Returns_2018!E2:E251)</f>
        <v/>
      </c>
      <c r="F18" s="0">
        <f>_xlfn.COVARIANCE.S(Returns_2018!P2:P251,Returns_2018!F2:F251)</f>
        <v/>
      </c>
      <c r="G18" s="0">
        <f>_xlfn.COVARIANCE.S(Returns_2018!P2:P251,Returns_2018!G2:G251)</f>
        <v/>
      </c>
      <c r="H18" s="0">
        <f>_xlfn.COVARIANCE.S(Returns_2018!P2:P251,Returns_2018!H2:H251)</f>
        <v/>
      </c>
      <c r="I18" s="0">
        <f>_xlfn.COVARIANCE.S(Returns_2018!P2:P251,Returns_2018!I2:I251)</f>
        <v/>
      </c>
      <c r="J18" s="0">
        <f>_xlfn.COVARIANCE.S(Returns_2018!P2:P251,Returns_2018!J2:J251)</f>
        <v/>
      </c>
      <c r="K18" s="0">
        <f>_xlfn.COVARIANCE.S(Returns_2018!P2:P251,Returns_2018!K2:K251)</f>
        <v/>
      </c>
      <c r="L18" s="0">
        <f>_xlfn.COVARIANCE.S(Returns_2018!P2:P251,Returns_2018!L2:L251)</f>
        <v/>
      </c>
      <c r="M18" s="0">
        <f>_xlfn.COVARIANCE.S(Returns_2018!P2:P251,Returns_2018!M2:M251)</f>
        <v/>
      </c>
      <c r="N18" s="0">
        <f>_xlfn.COVARIANCE.S(Returns_2018!P2:P251,Returns_2018!N2:N251)</f>
        <v/>
      </c>
      <c r="O18" s="0">
        <f>_xlfn.COVARIANCE.S(Returns_2018!P2:P251,Returns_2018!O2:O251)</f>
        <v/>
      </c>
      <c r="P18" s="0">
        <f>_xlfn.COVARIANCE.S(Returns_2018!P2:P251,Returns_2018!P2:P251)</f>
        <v/>
      </c>
      <c r="Q18" s="0">
        <f>_xlfn.COVARIANCE.S(Returns_2018!P2:P251,Returns_2018!Q2:Q251)</f>
        <v/>
      </c>
      <c r="R18" s="0">
        <f>_xlfn.COVARIANCE.S(Returns_2018!P2:P251,Returns_2018!R2:R251)</f>
        <v/>
      </c>
      <c r="S18" s="0">
        <f>_xlfn.COVARIANCE.S(Returns_2018!P2:P251,Returns_2018!S2:S251)</f>
        <v/>
      </c>
      <c r="T18" s="0">
        <f>_xlfn.COVARIANCE.S(Returns_2018!P2:P251,Returns_2018!T2:T251)</f>
        <v/>
      </c>
      <c r="U18" s="0">
        <f>_xlfn.COVARIANCE.S(Returns_2018!P2:P251,Returns_2018!U2:U251)</f>
        <v/>
      </c>
      <c r="V18" s="0">
        <f>_xlfn.COVARIANCE.S(Returns_2018!P2:P251,Returns_2018!V2:V251)</f>
        <v/>
      </c>
      <c r="W18" s="0">
        <f>_xlfn.COVARIANCE.S(Returns_2018!P2:P251,Returns_2018!W2:W251)</f>
        <v/>
      </c>
      <c r="X18" s="0">
        <f>_xlfn.COVARIANCE.S(Returns_2018!P2:P251,Returns_2018!X2:X251)</f>
        <v/>
      </c>
    </row>
    <row r="19">
      <c r="A19" s="0" t="inlineStr">
        <is>
          <t>ABEV</t>
        </is>
      </c>
      <c r="B19" s="0">
        <f>_xlfn.COVARIANCE.S(Returns_2018!Q2:Q251,Returns_2018!B2:B251)</f>
        <v/>
      </c>
      <c r="C19" s="0">
        <f>_xlfn.COVARIANCE.S(Returns_2018!Q2:Q251,Returns_2018!C2:C251)</f>
        <v/>
      </c>
      <c r="D19" s="0">
        <f>_xlfn.COVARIANCE.S(Returns_2018!Q2:Q251,Returns_2018!D2:D251)</f>
        <v/>
      </c>
      <c r="E19" s="0">
        <f>_xlfn.COVARIANCE.S(Returns_2018!Q2:Q251,Returns_2018!E2:E251)</f>
        <v/>
      </c>
      <c r="F19" s="0">
        <f>_xlfn.COVARIANCE.S(Returns_2018!Q2:Q251,Returns_2018!F2:F251)</f>
        <v/>
      </c>
      <c r="G19" s="0">
        <f>_xlfn.COVARIANCE.S(Returns_2018!Q2:Q251,Returns_2018!G2:G251)</f>
        <v/>
      </c>
      <c r="H19" s="0">
        <f>_xlfn.COVARIANCE.S(Returns_2018!Q2:Q251,Returns_2018!H2:H251)</f>
        <v/>
      </c>
      <c r="I19" s="0">
        <f>_xlfn.COVARIANCE.S(Returns_2018!Q2:Q251,Returns_2018!I2:I251)</f>
        <v/>
      </c>
      <c r="J19" s="0">
        <f>_xlfn.COVARIANCE.S(Returns_2018!Q2:Q251,Returns_2018!J2:J251)</f>
        <v/>
      </c>
      <c r="K19" s="0">
        <f>_xlfn.COVARIANCE.S(Returns_2018!Q2:Q251,Returns_2018!K2:K251)</f>
        <v/>
      </c>
      <c r="L19" s="0">
        <f>_xlfn.COVARIANCE.S(Returns_2018!Q2:Q251,Returns_2018!L2:L251)</f>
        <v/>
      </c>
      <c r="M19" s="0">
        <f>_xlfn.COVARIANCE.S(Returns_2018!Q2:Q251,Returns_2018!M2:M251)</f>
        <v/>
      </c>
      <c r="N19" s="0">
        <f>_xlfn.COVARIANCE.S(Returns_2018!Q2:Q251,Returns_2018!N2:N251)</f>
        <v/>
      </c>
      <c r="O19" s="0">
        <f>_xlfn.COVARIANCE.S(Returns_2018!Q2:Q251,Returns_2018!O2:O251)</f>
        <v/>
      </c>
      <c r="P19" s="0">
        <f>_xlfn.COVARIANCE.S(Returns_2018!Q2:Q251,Returns_2018!P2:P251)</f>
        <v/>
      </c>
      <c r="Q19" s="0">
        <f>_xlfn.COVARIANCE.S(Returns_2018!Q2:Q251,Returns_2018!Q2:Q251)</f>
        <v/>
      </c>
      <c r="R19" s="0">
        <f>_xlfn.COVARIANCE.S(Returns_2018!Q2:Q251,Returns_2018!R2:R251)</f>
        <v/>
      </c>
      <c r="S19" s="0">
        <f>_xlfn.COVARIANCE.S(Returns_2018!Q2:Q251,Returns_2018!S2:S251)</f>
        <v/>
      </c>
      <c r="T19" s="0">
        <f>_xlfn.COVARIANCE.S(Returns_2018!Q2:Q251,Returns_2018!T2:T251)</f>
        <v/>
      </c>
      <c r="U19" s="0">
        <f>_xlfn.COVARIANCE.S(Returns_2018!Q2:Q251,Returns_2018!U2:U251)</f>
        <v/>
      </c>
      <c r="V19" s="0">
        <f>_xlfn.COVARIANCE.S(Returns_2018!Q2:Q251,Returns_2018!V2:V251)</f>
        <v/>
      </c>
      <c r="W19" s="0">
        <f>_xlfn.COVARIANCE.S(Returns_2018!Q2:Q251,Returns_2018!W2:W251)</f>
        <v/>
      </c>
      <c r="X19" s="0">
        <f>_xlfn.COVARIANCE.S(Returns_2018!Q2:Q251,Returns_2018!X2:X251)</f>
        <v/>
      </c>
    </row>
    <row r="20">
      <c r="A20" s="0" t="inlineStr">
        <is>
          <t>CVS</t>
        </is>
      </c>
      <c r="B20" s="0">
        <f>_xlfn.COVARIANCE.S(Returns_2018!R2:R251,Returns_2018!B2:B251)</f>
        <v/>
      </c>
      <c r="C20" s="0">
        <f>_xlfn.COVARIANCE.S(Returns_2018!R2:R251,Returns_2018!C2:C251)</f>
        <v/>
      </c>
      <c r="D20" s="0">
        <f>_xlfn.COVARIANCE.S(Returns_2018!R2:R251,Returns_2018!D2:D251)</f>
        <v/>
      </c>
      <c r="E20" s="0">
        <f>_xlfn.COVARIANCE.S(Returns_2018!R2:R251,Returns_2018!E2:E251)</f>
        <v/>
      </c>
      <c r="F20" s="0">
        <f>_xlfn.COVARIANCE.S(Returns_2018!R2:R251,Returns_2018!F2:F251)</f>
        <v/>
      </c>
      <c r="G20" s="0">
        <f>_xlfn.COVARIANCE.S(Returns_2018!R2:R251,Returns_2018!G2:G251)</f>
        <v/>
      </c>
      <c r="H20" s="0">
        <f>_xlfn.COVARIANCE.S(Returns_2018!R2:R251,Returns_2018!H2:H251)</f>
        <v/>
      </c>
      <c r="I20" s="0">
        <f>_xlfn.COVARIANCE.S(Returns_2018!R2:R251,Returns_2018!I2:I251)</f>
        <v/>
      </c>
      <c r="J20" s="0">
        <f>_xlfn.COVARIANCE.S(Returns_2018!R2:R251,Returns_2018!J2:J251)</f>
        <v/>
      </c>
      <c r="K20" s="0">
        <f>_xlfn.COVARIANCE.S(Returns_2018!R2:R251,Returns_2018!K2:K251)</f>
        <v/>
      </c>
      <c r="L20" s="0">
        <f>_xlfn.COVARIANCE.S(Returns_2018!R2:R251,Returns_2018!L2:L251)</f>
        <v/>
      </c>
      <c r="M20" s="0">
        <f>_xlfn.COVARIANCE.S(Returns_2018!R2:R251,Returns_2018!M2:M251)</f>
        <v/>
      </c>
      <c r="N20" s="0">
        <f>_xlfn.COVARIANCE.S(Returns_2018!R2:R251,Returns_2018!N2:N251)</f>
        <v/>
      </c>
      <c r="O20" s="0">
        <f>_xlfn.COVARIANCE.S(Returns_2018!R2:R251,Returns_2018!O2:O251)</f>
        <v/>
      </c>
      <c r="P20" s="0">
        <f>_xlfn.COVARIANCE.S(Returns_2018!R2:R251,Returns_2018!P2:P251)</f>
        <v/>
      </c>
      <c r="Q20" s="0">
        <f>_xlfn.COVARIANCE.S(Returns_2018!R2:R251,Returns_2018!Q2:Q251)</f>
        <v/>
      </c>
      <c r="R20" s="0">
        <f>_xlfn.COVARIANCE.S(Returns_2018!R2:R251,Returns_2018!R2:R251)</f>
        <v/>
      </c>
      <c r="S20" s="0">
        <f>_xlfn.COVARIANCE.S(Returns_2018!R2:R251,Returns_2018!S2:S251)</f>
        <v/>
      </c>
      <c r="T20" s="0">
        <f>_xlfn.COVARIANCE.S(Returns_2018!R2:R251,Returns_2018!T2:T251)</f>
        <v/>
      </c>
      <c r="U20" s="0">
        <f>_xlfn.COVARIANCE.S(Returns_2018!R2:R251,Returns_2018!U2:U251)</f>
        <v/>
      </c>
      <c r="V20" s="0">
        <f>_xlfn.COVARIANCE.S(Returns_2018!R2:R251,Returns_2018!V2:V251)</f>
        <v/>
      </c>
      <c r="W20" s="0">
        <f>_xlfn.COVARIANCE.S(Returns_2018!R2:R251,Returns_2018!W2:W251)</f>
        <v/>
      </c>
      <c r="X20" s="0">
        <f>_xlfn.COVARIANCE.S(Returns_2018!R2:R251,Returns_2018!X2:X251)</f>
        <v/>
      </c>
    </row>
    <row r="21">
      <c r="A21" s="0" t="inlineStr">
        <is>
          <t>MRVL</t>
        </is>
      </c>
      <c r="B21" s="0">
        <f>_xlfn.COVARIANCE.S(Returns_2018!S2:S251,Returns_2018!B2:B251)</f>
        <v/>
      </c>
      <c r="C21" s="0">
        <f>_xlfn.COVARIANCE.S(Returns_2018!S2:S251,Returns_2018!C2:C251)</f>
        <v/>
      </c>
      <c r="D21" s="0">
        <f>_xlfn.COVARIANCE.S(Returns_2018!S2:S251,Returns_2018!D2:D251)</f>
        <v/>
      </c>
      <c r="E21" s="0">
        <f>_xlfn.COVARIANCE.S(Returns_2018!S2:S251,Returns_2018!E2:E251)</f>
        <v/>
      </c>
      <c r="F21" s="0">
        <f>_xlfn.COVARIANCE.S(Returns_2018!S2:S251,Returns_2018!F2:F251)</f>
        <v/>
      </c>
      <c r="G21" s="0">
        <f>_xlfn.COVARIANCE.S(Returns_2018!S2:S251,Returns_2018!G2:G251)</f>
        <v/>
      </c>
      <c r="H21" s="0">
        <f>_xlfn.COVARIANCE.S(Returns_2018!S2:S251,Returns_2018!H2:H251)</f>
        <v/>
      </c>
      <c r="I21" s="0">
        <f>_xlfn.COVARIANCE.S(Returns_2018!S2:S251,Returns_2018!I2:I251)</f>
        <v/>
      </c>
      <c r="J21" s="0">
        <f>_xlfn.COVARIANCE.S(Returns_2018!S2:S251,Returns_2018!J2:J251)</f>
        <v/>
      </c>
      <c r="K21" s="0">
        <f>_xlfn.COVARIANCE.S(Returns_2018!S2:S251,Returns_2018!K2:K251)</f>
        <v/>
      </c>
      <c r="L21" s="0">
        <f>_xlfn.COVARIANCE.S(Returns_2018!S2:S251,Returns_2018!L2:L251)</f>
        <v/>
      </c>
      <c r="M21" s="0">
        <f>_xlfn.COVARIANCE.S(Returns_2018!S2:S251,Returns_2018!M2:M251)</f>
        <v/>
      </c>
      <c r="N21" s="0">
        <f>_xlfn.COVARIANCE.S(Returns_2018!S2:S251,Returns_2018!N2:N251)</f>
        <v/>
      </c>
      <c r="O21" s="0">
        <f>_xlfn.COVARIANCE.S(Returns_2018!S2:S251,Returns_2018!O2:O251)</f>
        <v/>
      </c>
      <c r="P21" s="0">
        <f>_xlfn.COVARIANCE.S(Returns_2018!S2:S251,Returns_2018!P2:P251)</f>
        <v/>
      </c>
      <c r="Q21" s="0">
        <f>_xlfn.COVARIANCE.S(Returns_2018!S2:S251,Returns_2018!Q2:Q251)</f>
        <v/>
      </c>
      <c r="R21" s="0">
        <f>_xlfn.COVARIANCE.S(Returns_2018!S2:S251,Returns_2018!R2:R251)</f>
        <v/>
      </c>
      <c r="S21" s="0">
        <f>_xlfn.COVARIANCE.S(Returns_2018!S2:S251,Returns_2018!S2:S251)</f>
        <v/>
      </c>
      <c r="T21" s="0">
        <f>_xlfn.COVARIANCE.S(Returns_2018!S2:S251,Returns_2018!T2:T251)</f>
        <v/>
      </c>
      <c r="U21" s="0">
        <f>_xlfn.COVARIANCE.S(Returns_2018!S2:S251,Returns_2018!U2:U251)</f>
        <v/>
      </c>
      <c r="V21" s="0">
        <f>_xlfn.COVARIANCE.S(Returns_2018!S2:S251,Returns_2018!V2:V251)</f>
        <v/>
      </c>
      <c r="W21" s="0">
        <f>_xlfn.COVARIANCE.S(Returns_2018!S2:S251,Returns_2018!W2:W251)</f>
        <v/>
      </c>
      <c r="X21" s="0">
        <f>_xlfn.COVARIANCE.S(Returns_2018!S2:S251,Returns_2018!X2:X251)</f>
        <v/>
      </c>
    </row>
    <row r="22">
      <c r="A22" s="0" t="inlineStr">
        <is>
          <t>CSCO</t>
        </is>
      </c>
      <c r="B22" s="0">
        <f>_xlfn.COVARIANCE.S(Returns_2018!T2:T251,Returns_2018!B2:B251)</f>
        <v/>
      </c>
      <c r="C22" s="0">
        <f>_xlfn.COVARIANCE.S(Returns_2018!T2:T251,Returns_2018!C2:C251)</f>
        <v/>
      </c>
      <c r="D22" s="0">
        <f>_xlfn.COVARIANCE.S(Returns_2018!T2:T251,Returns_2018!D2:D251)</f>
        <v/>
      </c>
      <c r="E22" s="0">
        <f>_xlfn.COVARIANCE.S(Returns_2018!T2:T251,Returns_2018!E2:E251)</f>
        <v/>
      </c>
      <c r="F22" s="0">
        <f>_xlfn.COVARIANCE.S(Returns_2018!T2:T251,Returns_2018!F2:F251)</f>
        <v/>
      </c>
      <c r="G22" s="0">
        <f>_xlfn.COVARIANCE.S(Returns_2018!T2:T251,Returns_2018!G2:G251)</f>
        <v/>
      </c>
      <c r="H22" s="0">
        <f>_xlfn.COVARIANCE.S(Returns_2018!T2:T251,Returns_2018!H2:H251)</f>
        <v/>
      </c>
      <c r="I22" s="0">
        <f>_xlfn.COVARIANCE.S(Returns_2018!T2:T251,Returns_2018!I2:I251)</f>
        <v/>
      </c>
      <c r="J22" s="0">
        <f>_xlfn.COVARIANCE.S(Returns_2018!T2:T251,Returns_2018!J2:J251)</f>
        <v/>
      </c>
      <c r="K22" s="0">
        <f>_xlfn.COVARIANCE.S(Returns_2018!T2:T251,Returns_2018!K2:K251)</f>
        <v/>
      </c>
      <c r="L22" s="0">
        <f>_xlfn.COVARIANCE.S(Returns_2018!T2:T251,Returns_2018!L2:L251)</f>
        <v/>
      </c>
      <c r="M22" s="0">
        <f>_xlfn.COVARIANCE.S(Returns_2018!T2:T251,Returns_2018!M2:M251)</f>
        <v/>
      </c>
      <c r="N22" s="0">
        <f>_xlfn.COVARIANCE.S(Returns_2018!T2:T251,Returns_2018!N2:N251)</f>
        <v/>
      </c>
      <c r="O22" s="0">
        <f>_xlfn.COVARIANCE.S(Returns_2018!T2:T251,Returns_2018!O2:O251)</f>
        <v/>
      </c>
      <c r="P22" s="0">
        <f>_xlfn.COVARIANCE.S(Returns_2018!T2:T251,Returns_2018!P2:P251)</f>
        <v/>
      </c>
      <c r="Q22" s="0">
        <f>_xlfn.COVARIANCE.S(Returns_2018!T2:T251,Returns_2018!Q2:Q251)</f>
        <v/>
      </c>
      <c r="R22" s="0">
        <f>_xlfn.COVARIANCE.S(Returns_2018!T2:T251,Returns_2018!R2:R251)</f>
        <v/>
      </c>
      <c r="S22" s="0">
        <f>_xlfn.COVARIANCE.S(Returns_2018!T2:T251,Returns_2018!S2:S251)</f>
        <v/>
      </c>
      <c r="T22" s="0">
        <f>_xlfn.COVARIANCE.S(Returns_2018!T2:T251,Returns_2018!T2:T251)</f>
        <v/>
      </c>
      <c r="U22" s="0">
        <f>_xlfn.COVARIANCE.S(Returns_2018!T2:T251,Returns_2018!U2:U251)</f>
        <v/>
      </c>
      <c r="V22" s="0">
        <f>_xlfn.COVARIANCE.S(Returns_2018!T2:T251,Returns_2018!V2:V251)</f>
        <v/>
      </c>
      <c r="W22" s="0">
        <f>_xlfn.COVARIANCE.S(Returns_2018!T2:T251,Returns_2018!W2:W251)</f>
        <v/>
      </c>
      <c r="X22" s="0">
        <f>_xlfn.COVARIANCE.S(Returns_2018!T2:T251,Returns_2018!X2:X251)</f>
        <v/>
      </c>
    </row>
    <row r="23">
      <c r="A23" s="0" t="inlineStr">
        <is>
          <t>MO</t>
        </is>
      </c>
      <c r="B23" s="0">
        <f>_xlfn.COVARIANCE.S(Returns_2018!U2:U251,Returns_2018!B2:B251)</f>
        <v/>
      </c>
      <c r="C23" s="0">
        <f>_xlfn.COVARIANCE.S(Returns_2018!U2:U251,Returns_2018!C2:C251)</f>
        <v/>
      </c>
      <c r="D23" s="0">
        <f>_xlfn.COVARIANCE.S(Returns_2018!U2:U251,Returns_2018!D2:D251)</f>
        <v/>
      </c>
      <c r="E23" s="0">
        <f>_xlfn.COVARIANCE.S(Returns_2018!U2:U251,Returns_2018!E2:E251)</f>
        <v/>
      </c>
      <c r="F23" s="0">
        <f>_xlfn.COVARIANCE.S(Returns_2018!U2:U251,Returns_2018!F2:F251)</f>
        <v/>
      </c>
      <c r="G23" s="0">
        <f>_xlfn.COVARIANCE.S(Returns_2018!U2:U251,Returns_2018!G2:G251)</f>
        <v/>
      </c>
      <c r="H23" s="0">
        <f>_xlfn.COVARIANCE.S(Returns_2018!U2:U251,Returns_2018!H2:H251)</f>
        <v/>
      </c>
      <c r="I23" s="0">
        <f>_xlfn.COVARIANCE.S(Returns_2018!U2:U251,Returns_2018!I2:I251)</f>
        <v/>
      </c>
      <c r="J23" s="0">
        <f>_xlfn.COVARIANCE.S(Returns_2018!U2:U251,Returns_2018!J2:J251)</f>
        <v/>
      </c>
      <c r="K23" s="0">
        <f>_xlfn.COVARIANCE.S(Returns_2018!U2:U251,Returns_2018!K2:K251)</f>
        <v/>
      </c>
      <c r="L23" s="0">
        <f>_xlfn.COVARIANCE.S(Returns_2018!U2:U251,Returns_2018!L2:L251)</f>
        <v/>
      </c>
      <c r="M23" s="0">
        <f>_xlfn.COVARIANCE.S(Returns_2018!U2:U251,Returns_2018!M2:M251)</f>
        <v/>
      </c>
      <c r="N23" s="0">
        <f>_xlfn.COVARIANCE.S(Returns_2018!U2:U251,Returns_2018!N2:N251)</f>
        <v/>
      </c>
      <c r="O23" s="0">
        <f>_xlfn.COVARIANCE.S(Returns_2018!U2:U251,Returns_2018!O2:O251)</f>
        <v/>
      </c>
      <c r="P23" s="0">
        <f>_xlfn.COVARIANCE.S(Returns_2018!U2:U251,Returns_2018!P2:P251)</f>
        <v/>
      </c>
      <c r="Q23" s="0">
        <f>_xlfn.COVARIANCE.S(Returns_2018!U2:U251,Returns_2018!Q2:Q251)</f>
        <v/>
      </c>
      <c r="R23" s="0">
        <f>_xlfn.COVARIANCE.S(Returns_2018!U2:U251,Returns_2018!R2:R251)</f>
        <v/>
      </c>
      <c r="S23" s="0">
        <f>_xlfn.COVARIANCE.S(Returns_2018!U2:U251,Returns_2018!S2:S251)</f>
        <v/>
      </c>
      <c r="T23" s="0">
        <f>_xlfn.COVARIANCE.S(Returns_2018!U2:U251,Returns_2018!T2:T251)</f>
        <v/>
      </c>
      <c r="U23" s="0">
        <f>_xlfn.COVARIANCE.S(Returns_2018!U2:U251,Returns_2018!U2:U251)</f>
        <v/>
      </c>
      <c r="V23" s="0">
        <f>_xlfn.COVARIANCE.S(Returns_2018!U2:U251,Returns_2018!V2:V251)</f>
        <v/>
      </c>
      <c r="W23" s="0">
        <f>_xlfn.COVARIANCE.S(Returns_2018!U2:U251,Returns_2018!W2:W251)</f>
        <v/>
      </c>
      <c r="X23" s="0">
        <f>_xlfn.COVARIANCE.S(Returns_2018!U2:U251,Returns_2018!X2:X251)</f>
        <v/>
      </c>
    </row>
    <row r="24">
      <c r="A24" s="0" t="inlineStr">
        <is>
          <t>BMY</t>
        </is>
      </c>
      <c r="B24" s="0">
        <f>_xlfn.COVARIANCE.S(Returns_2018!V2:V251,Returns_2018!B2:B251)</f>
        <v/>
      </c>
      <c r="C24" s="0">
        <f>_xlfn.COVARIANCE.S(Returns_2018!V2:V251,Returns_2018!C2:C251)</f>
        <v/>
      </c>
      <c r="D24" s="0">
        <f>_xlfn.COVARIANCE.S(Returns_2018!V2:V251,Returns_2018!D2:D251)</f>
        <v/>
      </c>
      <c r="E24" s="0">
        <f>_xlfn.COVARIANCE.S(Returns_2018!V2:V251,Returns_2018!E2:E251)</f>
        <v/>
      </c>
      <c r="F24" s="0">
        <f>_xlfn.COVARIANCE.S(Returns_2018!V2:V251,Returns_2018!F2:F251)</f>
        <v/>
      </c>
      <c r="G24" s="0">
        <f>_xlfn.COVARIANCE.S(Returns_2018!V2:V251,Returns_2018!G2:G251)</f>
        <v/>
      </c>
      <c r="H24" s="0">
        <f>_xlfn.COVARIANCE.S(Returns_2018!V2:V251,Returns_2018!H2:H251)</f>
        <v/>
      </c>
      <c r="I24" s="0">
        <f>_xlfn.COVARIANCE.S(Returns_2018!V2:V251,Returns_2018!I2:I251)</f>
        <v/>
      </c>
      <c r="J24" s="0">
        <f>_xlfn.COVARIANCE.S(Returns_2018!V2:V251,Returns_2018!J2:J251)</f>
        <v/>
      </c>
      <c r="K24" s="0">
        <f>_xlfn.COVARIANCE.S(Returns_2018!V2:V251,Returns_2018!K2:K251)</f>
        <v/>
      </c>
      <c r="L24" s="0">
        <f>_xlfn.COVARIANCE.S(Returns_2018!V2:V251,Returns_2018!L2:L251)</f>
        <v/>
      </c>
      <c r="M24" s="0">
        <f>_xlfn.COVARIANCE.S(Returns_2018!V2:V251,Returns_2018!M2:M251)</f>
        <v/>
      </c>
      <c r="N24" s="0">
        <f>_xlfn.COVARIANCE.S(Returns_2018!V2:V251,Returns_2018!N2:N251)</f>
        <v/>
      </c>
      <c r="O24" s="0">
        <f>_xlfn.COVARIANCE.S(Returns_2018!V2:V251,Returns_2018!O2:O251)</f>
        <v/>
      </c>
      <c r="P24" s="0">
        <f>_xlfn.COVARIANCE.S(Returns_2018!V2:V251,Returns_2018!P2:P251)</f>
        <v/>
      </c>
      <c r="Q24" s="0">
        <f>_xlfn.COVARIANCE.S(Returns_2018!V2:V251,Returns_2018!Q2:Q251)</f>
        <v/>
      </c>
      <c r="R24" s="0">
        <f>_xlfn.COVARIANCE.S(Returns_2018!V2:V251,Returns_2018!R2:R251)</f>
        <v/>
      </c>
      <c r="S24" s="0">
        <f>_xlfn.COVARIANCE.S(Returns_2018!V2:V251,Returns_2018!S2:S251)</f>
        <v/>
      </c>
      <c r="T24" s="0">
        <f>_xlfn.COVARIANCE.S(Returns_2018!V2:V251,Returns_2018!T2:T251)</f>
        <v/>
      </c>
      <c r="U24" s="0">
        <f>_xlfn.COVARIANCE.S(Returns_2018!V2:V251,Returns_2018!U2:U251)</f>
        <v/>
      </c>
      <c r="V24" s="0">
        <f>_xlfn.COVARIANCE.S(Returns_2018!V2:V251,Returns_2018!V2:V251)</f>
        <v/>
      </c>
      <c r="W24" s="0">
        <f>_xlfn.COVARIANCE.S(Returns_2018!V2:V251,Returns_2018!W2:W251)</f>
        <v/>
      </c>
      <c r="X24" s="0">
        <f>_xlfn.COVARIANCE.S(Returns_2018!V2:V251,Returns_2018!X2:X251)</f>
        <v/>
      </c>
    </row>
    <row r="25">
      <c r="A25" s="0" t="inlineStr">
        <is>
          <t>WFC</t>
        </is>
      </c>
      <c r="B25" s="0">
        <f>_xlfn.COVARIANCE.S(Returns_2018!W2:W251,Returns_2018!B2:B251)</f>
        <v/>
      </c>
      <c r="C25" s="0">
        <f>_xlfn.COVARIANCE.S(Returns_2018!W2:W251,Returns_2018!C2:C251)</f>
        <v/>
      </c>
      <c r="D25" s="0">
        <f>_xlfn.COVARIANCE.S(Returns_2018!W2:W251,Returns_2018!D2:D251)</f>
        <v/>
      </c>
      <c r="E25" s="0">
        <f>_xlfn.COVARIANCE.S(Returns_2018!W2:W251,Returns_2018!E2:E251)</f>
        <v/>
      </c>
      <c r="F25" s="0">
        <f>_xlfn.COVARIANCE.S(Returns_2018!W2:W251,Returns_2018!F2:F251)</f>
        <v/>
      </c>
      <c r="G25" s="0">
        <f>_xlfn.COVARIANCE.S(Returns_2018!W2:W251,Returns_2018!G2:G251)</f>
        <v/>
      </c>
      <c r="H25" s="0">
        <f>_xlfn.COVARIANCE.S(Returns_2018!W2:W251,Returns_2018!H2:H251)</f>
        <v/>
      </c>
      <c r="I25" s="0">
        <f>_xlfn.COVARIANCE.S(Returns_2018!W2:W251,Returns_2018!I2:I251)</f>
        <v/>
      </c>
      <c r="J25" s="0">
        <f>_xlfn.COVARIANCE.S(Returns_2018!W2:W251,Returns_2018!J2:J251)</f>
        <v/>
      </c>
      <c r="K25" s="0">
        <f>_xlfn.COVARIANCE.S(Returns_2018!W2:W251,Returns_2018!K2:K251)</f>
        <v/>
      </c>
      <c r="L25" s="0">
        <f>_xlfn.COVARIANCE.S(Returns_2018!W2:W251,Returns_2018!L2:L251)</f>
        <v/>
      </c>
      <c r="M25" s="0">
        <f>_xlfn.COVARIANCE.S(Returns_2018!W2:W251,Returns_2018!M2:M251)</f>
        <v/>
      </c>
      <c r="N25" s="0">
        <f>_xlfn.COVARIANCE.S(Returns_2018!W2:W251,Returns_2018!N2:N251)</f>
        <v/>
      </c>
      <c r="O25" s="0">
        <f>_xlfn.COVARIANCE.S(Returns_2018!W2:W251,Returns_2018!O2:O251)</f>
        <v/>
      </c>
      <c r="P25" s="0">
        <f>_xlfn.COVARIANCE.S(Returns_2018!W2:W251,Returns_2018!P2:P251)</f>
        <v/>
      </c>
      <c r="Q25" s="0">
        <f>_xlfn.COVARIANCE.S(Returns_2018!W2:W251,Returns_2018!Q2:Q251)</f>
        <v/>
      </c>
      <c r="R25" s="0">
        <f>_xlfn.COVARIANCE.S(Returns_2018!W2:W251,Returns_2018!R2:R251)</f>
        <v/>
      </c>
      <c r="S25" s="0">
        <f>_xlfn.COVARIANCE.S(Returns_2018!W2:W251,Returns_2018!S2:S251)</f>
        <v/>
      </c>
      <c r="T25" s="0">
        <f>_xlfn.COVARIANCE.S(Returns_2018!W2:W251,Returns_2018!T2:T251)</f>
        <v/>
      </c>
      <c r="U25" s="0">
        <f>_xlfn.COVARIANCE.S(Returns_2018!W2:W251,Returns_2018!U2:U251)</f>
        <v/>
      </c>
      <c r="V25" s="0">
        <f>_xlfn.COVARIANCE.S(Returns_2018!W2:W251,Returns_2018!V2:V251)</f>
        <v/>
      </c>
      <c r="W25" s="0">
        <f>_xlfn.COVARIANCE.S(Returns_2018!W2:W251,Returns_2018!W2:W251)</f>
        <v/>
      </c>
      <c r="X25" s="0">
        <f>_xlfn.COVARIANCE.S(Returns_2018!W2:W251,Returns_2018!X2:X251)</f>
        <v/>
      </c>
    </row>
    <row r="26">
      <c r="A26" s="0" t="inlineStr">
        <is>
          <t>HBAN</t>
        </is>
      </c>
      <c r="B26" s="0">
        <f>_xlfn.COVARIANCE.S(Returns_2018!X2:X251,Returns_2018!B2:B251)</f>
        <v/>
      </c>
      <c r="C26" s="0">
        <f>_xlfn.COVARIANCE.S(Returns_2018!X2:X251,Returns_2018!C2:C251)</f>
        <v/>
      </c>
      <c r="D26" s="0">
        <f>_xlfn.COVARIANCE.S(Returns_2018!X2:X251,Returns_2018!D2:D251)</f>
        <v/>
      </c>
      <c r="E26" s="0">
        <f>_xlfn.COVARIANCE.S(Returns_2018!X2:X251,Returns_2018!E2:E251)</f>
        <v/>
      </c>
      <c r="F26" s="0">
        <f>_xlfn.COVARIANCE.S(Returns_2018!X2:X251,Returns_2018!F2:F251)</f>
        <v/>
      </c>
      <c r="G26" s="0">
        <f>_xlfn.COVARIANCE.S(Returns_2018!X2:X251,Returns_2018!G2:G251)</f>
        <v/>
      </c>
      <c r="H26" s="0">
        <f>_xlfn.COVARIANCE.S(Returns_2018!X2:X251,Returns_2018!H2:H251)</f>
        <v/>
      </c>
      <c r="I26" s="0">
        <f>_xlfn.COVARIANCE.S(Returns_2018!X2:X251,Returns_2018!I2:I251)</f>
        <v/>
      </c>
      <c r="J26" s="0">
        <f>_xlfn.COVARIANCE.S(Returns_2018!X2:X251,Returns_2018!J2:J251)</f>
        <v/>
      </c>
      <c r="K26" s="0">
        <f>_xlfn.COVARIANCE.S(Returns_2018!X2:X251,Returns_2018!K2:K251)</f>
        <v/>
      </c>
      <c r="L26" s="0">
        <f>_xlfn.COVARIANCE.S(Returns_2018!X2:X251,Returns_2018!L2:L251)</f>
        <v/>
      </c>
      <c r="M26" s="0">
        <f>_xlfn.COVARIANCE.S(Returns_2018!X2:X251,Returns_2018!M2:M251)</f>
        <v/>
      </c>
      <c r="N26" s="0">
        <f>_xlfn.COVARIANCE.S(Returns_2018!X2:X251,Returns_2018!N2:N251)</f>
        <v/>
      </c>
      <c r="O26" s="0">
        <f>_xlfn.COVARIANCE.S(Returns_2018!X2:X251,Returns_2018!O2:O251)</f>
        <v/>
      </c>
      <c r="P26" s="0">
        <f>_xlfn.COVARIANCE.S(Returns_2018!X2:X251,Returns_2018!P2:P251)</f>
        <v/>
      </c>
      <c r="Q26" s="0">
        <f>_xlfn.COVARIANCE.S(Returns_2018!X2:X251,Returns_2018!Q2:Q251)</f>
        <v/>
      </c>
      <c r="R26" s="0">
        <f>_xlfn.COVARIANCE.S(Returns_2018!X2:X251,Returns_2018!R2:R251)</f>
        <v/>
      </c>
      <c r="S26" s="0">
        <f>_xlfn.COVARIANCE.S(Returns_2018!X2:X251,Returns_2018!S2:S251)</f>
        <v/>
      </c>
      <c r="T26" s="0">
        <f>_xlfn.COVARIANCE.S(Returns_2018!X2:X251,Returns_2018!T2:T251)</f>
        <v/>
      </c>
      <c r="U26" s="0">
        <f>_xlfn.COVARIANCE.S(Returns_2018!X2:X251,Returns_2018!U2:U251)</f>
        <v/>
      </c>
      <c r="V26" s="0">
        <f>_xlfn.COVARIANCE.S(Returns_2018!X2:X251,Returns_2018!V2:V251)</f>
        <v/>
      </c>
      <c r="W26" s="0">
        <f>_xlfn.COVARIANCE.S(Returns_2018!X2:X251,Returns_2018!W2:W251)</f>
        <v/>
      </c>
      <c r="X26" s="0">
        <f>_xlfn.COVARIANCE.S(Returns_2018!X2:X251,Returns_2018!X2:X251)</f>
        <v/>
      </c>
    </row>
    <row r="29">
      <c r="A29" s="0" t="inlineStr">
        <is>
          <t>Average_Daily_Returns</t>
        </is>
      </c>
      <c r="B29" s="0">
        <f>AVERAGE(Returns_2018!B2:B251)</f>
        <v/>
      </c>
      <c r="C29" s="0">
        <f>AVERAGE(Returns_2018!C2:C251)</f>
        <v/>
      </c>
      <c r="D29" s="0">
        <f>AVERAGE(Returns_2018!D2:D251)</f>
        <v/>
      </c>
      <c r="E29" s="0">
        <f>AVERAGE(Returns_2018!E2:E251)</f>
        <v/>
      </c>
      <c r="F29" s="0">
        <f>AVERAGE(Returns_2018!F2:F251)</f>
        <v/>
      </c>
      <c r="G29" s="0">
        <f>AVERAGE(Returns_2018!G2:G251)</f>
        <v/>
      </c>
      <c r="H29" s="0">
        <f>AVERAGE(Returns_2018!H2:H251)</f>
        <v/>
      </c>
      <c r="I29" s="0">
        <f>AVERAGE(Returns_2018!I2:I251)</f>
        <v/>
      </c>
      <c r="J29" s="0">
        <f>AVERAGE(Returns_2018!J2:J251)</f>
        <v/>
      </c>
      <c r="K29" s="0">
        <f>AVERAGE(Returns_2018!K2:K251)</f>
        <v/>
      </c>
      <c r="L29" s="0">
        <f>AVERAGE(Returns_2018!L2:L251)</f>
        <v/>
      </c>
      <c r="M29" s="0">
        <f>AVERAGE(Returns_2018!M2:M251)</f>
        <v/>
      </c>
      <c r="N29" s="0">
        <f>AVERAGE(Returns_2018!N2:N251)</f>
        <v/>
      </c>
      <c r="O29" s="0">
        <f>AVERAGE(Returns_2018!O2:O251)</f>
        <v/>
      </c>
      <c r="P29" s="0">
        <f>AVERAGE(Returns_2018!P2:P251)</f>
        <v/>
      </c>
      <c r="Q29" s="0">
        <f>AVERAGE(Returns_2018!Q2:Q251)</f>
        <v/>
      </c>
      <c r="R29" s="0">
        <f>AVERAGE(Returns_2018!R2:R251)</f>
        <v/>
      </c>
      <c r="S29" s="0">
        <f>AVERAGE(Returns_2018!S2:S251)</f>
        <v/>
      </c>
      <c r="T29" s="0">
        <f>AVERAGE(Returns_2018!T2:T251)</f>
        <v/>
      </c>
      <c r="U29" s="0">
        <f>AVERAGE(Returns_2018!U2:U251)</f>
        <v/>
      </c>
      <c r="V29" s="0">
        <f>AVERAGE(Returns_2018!V2:V251)</f>
        <v/>
      </c>
      <c r="W29" s="0">
        <f>AVERAGE(Returns_2018!W2:W251)</f>
        <v/>
      </c>
      <c r="X29" s="0">
        <f>AVERAGE(Returns_2018!X2:X251)</f>
        <v/>
      </c>
    </row>
    <row r="31">
      <c r="A31" s="0" t="inlineStr">
        <is>
          <t>Risk_Free_Rate</t>
        </is>
      </c>
      <c r="B31" s="0" t="n">
        <v>0.0001</v>
      </c>
    </row>
    <row r="34">
      <c r="A34" s="15" t="inlineStr">
        <is>
          <t>Q2: Global minimum-variance (GMV) portfolio and the efficient frontier</t>
        </is>
      </c>
    </row>
    <row r="35">
      <c r="A35" s="16" t="inlineStr">
        <is>
          <t>GMV weights (closed form: Vinv*1 / (1'Vinv*1)), written as solved values</t>
        </is>
      </c>
    </row>
    <row r="36">
      <c r="A36" s="0" t="inlineStr">
        <is>
          <t>GMV_Weights</t>
        </is>
      </c>
      <c r="B36" s="0" t="n">
        <v>0.06117409187568287</v>
      </c>
      <c r="C36" s="0" t="n">
        <v>0.02180796021908501</v>
      </c>
      <c r="D36" s="0" t="n">
        <v>0.09318293434508884</v>
      </c>
      <c r="E36" s="0" t="n">
        <v>0.05383755678600843</v>
      </c>
      <c r="F36" s="0" t="n">
        <v>-0.08403994141828892</v>
      </c>
      <c r="G36" s="0" t="n">
        <v>0.06337169961868316</v>
      </c>
      <c r="H36" s="0" t="n">
        <v>-0.02999402533923007</v>
      </c>
      <c r="I36" s="0" t="n">
        <v>0.1523771057034699</v>
      </c>
      <c r="J36" s="0" t="n">
        <v>0.1433274531391227</v>
      </c>
      <c r="K36" s="0" t="n">
        <v>0.006011075562107571</v>
      </c>
      <c r="L36" s="0" t="n">
        <v>-0.02101666767556532</v>
      </c>
      <c r="M36" s="0" t="n">
        <v>0.1863372202756091</v>
      </c>
      <c r="N36" s="0" t="n">
        <v>-0.05380363860027113</v>
      </c>
      <c r="O36" s="0" t="n">
        <v>0.07998450388759167</v>
      </c>
      <c r="P36" s="0" t="n">
        <v>-0.01798999538627863</v>
      </c>
      <c r="Q36" s="0" t="n">
        <v>0.04845268731667719</v>
      </c>
      <c r="R36" s="0" t="n">
        <v>-0.01513159670274219</v>
      </c>
      <c r="S36" s="0" t="n">
        <v>-0.004169785521921927</v>
      </c>
      <c r="T36" s="0" t="n">
        <v>-0.05313443648834558</v>
      </c>
      <c r="U36" s="0" t="n">
        <v>0.1428537698115792</v>
      </c>
      <c r="V36" s="0" t="n">
        <v>0.04381523023925332</v>
      </c>
      <c r="W36" s="0" t="n">
        <v>0.05649964426510919</v>
      </c>
      <c r="X36" s="0" t="n">
        <v>0.1262471540875751</v>
      </c>
    </row>
    <row r="38">
      <c r="A38" s="0" t="inlineStr">
        <is>
          <t>GMV_Mean_Return</t>
        </is>
      </c>
      <c r="B38" s="0">
        <f>SUMPRODUCT(B36:X36,B29:X29)</f>
        <v/>
      </c>
    </row>
    <row r="39">
      <c r="A39" s="0" t="inlineStr">
        <is>
          <t>GMV_Variance</t>
        </is>
      </c>
      <c r="B39" s="0">
        <f>SUMPRODUCT(B36:X36,MMULT(B36:X36,B4:X26))</f>
        <v/>
      </c>
    </row>
    <row r="42">
      <c r="A42" s="15" t="inlineStr">
        <is>
          <t>Frontier sweep: for each target return, closed-form min-variance weights (solved values)</t>
        </is>
      </c>
    </row>
    <row r="44">
      <c r="A44" s="0" t="inlineStr">
        <is>
          <t>target_return</t>
        </is>
      </c>
      <c r="B44" s="0" t="inlineStr">
        <is>
          <t>variance</t>
        </is>
      </c>
      <c r="C44" s="0" t="inlineStr">
        <is>
          <t>IBM</t>
        </is>
      </c>
      <c r="D44" s="0" t="inlineStr">
        <is>
          <t>GE</t>
        </is>
      </c>
      <c r="E44" s="0" t="inlineStr">
        <is>
          <t>LLY</t>
        </is>
      </c>
      <c r="F44" s="0" t="inlineStr">
        <is>
          <t>F</t>
        </is>
      </c>
      <c r="G44" s="0" t="inlineStr">
        <is>
          <t>BAC</t>
        </is>
      </c>
      <c r="H44" s="0" t="inlineStr">
        <is>
          <t>KR</t>
        </is>
      </c>
      <c r="I44" s="0" t="inlineStr">
        <is>
          <t>ITUB</t>
        </is>
      </c>
      <c r="J44" s="0" t="inlineStr">
        <is>
          <t>GG</t>
        </is>
      </c>
      <c r="K44" s="0" t="inlineStr">
        <is>
          <t>SIRI</t>
        </is>
      </c>
      <c r="L44" s="0" t="inlineStr">
        <is>
          <t>ACB</t>
        </is>
      </c>
      <c r="M44" s="0" t="inlineStr">
        <is>
          <t>VALE</t>
        </is>
      </c>
      <c r="N44" s="0" t="inlineStr">
        <is>
          <t>PFE</t>
        </is>
      </c>
      <c r="O44" s="0" t="inlineStr">
        <is>
          <t>CTL</t>
        </is>
      </c>
      <c r="P44" s="0" t="inlineStr">
        <is>
          <t>T</t>
        </is>
      </c>
      <c r="Q44" s="0" t="inlineStr">
        <is>
          <t>ECA</t>
        </is>
      </c>
      <c r="R44" s="0" t="inlineStr">
        <is>
          <t>ABEV</t>
        </is>
      </c>
      <c r="S44" s="0" t="inlineStr">
        <is>
          <t>CVS</t>
        </is>
      </c>
      <c r="T44" s="0" t="inlineStr">
        <is>
          <t>MRVL</t>
        </is>
      </c>
      <c r="U44" s="0" t="inlineStr">
        <is>
          <t>CSCO</t>
        </is>
      </c>
      <c r="V44" s="0" t="inlineStr">
        <is>
          <t>MO</t>
        </is>
      </c>
      <c r="W44" s="0" t="inlineStr">
        <is>
          <t>BMY</t>
        </is>
      </c>
      <c r="X44" s="0" t="inlineStr">
        <is>
          <t>WFC</t>
        </is>
      </c>
      <c r="Y44" s="0" t="inlineStr">
        <is>
          <t>HBAN</t>
        </is>
      </c>
    </row>
    <row r="45">
      <c r="A45" s="0" t="n">
        <v>-0.0006162057521097834</v>
      </c>
      <c r="B45" s="0">
        <f>SUMPRODUCT(C45:Y45,MMULT(C45:Y45,$B$4:$X$26))</f>
        <v/>
      </c>
      <c r="C45" s="0" t="n">
        <v>0.06117409187568275</v>
      </c>
      <c r="D45" s="0" t="n">
        <v>0.02180796021908504</v>
      </c>
      <c r="E45" s="0" t="n">
        <v>0.09318293434508898</v>
      </c>
      <c r="F45" s="0" t="n">
        <v>0.05383755678600832</v>
      </c>
      <c r="G45" s="0" t="n">
        <v>-0.08403994141828901</v>
      </c>
      <c r="H45" s="0" t="n">
        <v>0.06337169961868323</v>
      </c>
      <c r="I45" s="0" t="n">
        <v>-0.02999402533923006</v>
      </c>
      <c r="J45" s="0" t="n">
        <v>0.1523771057034699</v>
      </c>
      <c r="K45" s="0" t="n">
        <v>0.1433274531391228</v>
      </c>
      <c r="L45" s="0" t="n">
        <v>0.006011075562107565</v>
      </c>
      <c r="M45" s="0" t="n">
        <v>-0.02101666767556536</v>
      </c>
      <c r="N45" s="0" t="n">
        <v>0.186337220275609</v>
      </c>
      <c r="O45" s="0" t="n">
        <v>-0.05380363860027115</v>
      </c>
      <c r="P45" s="0" t="n">
        <v>0.07998450388759168</v>
      </c>
      <c r="Q45" s="0" t="n">
        <v>-0.01798999538627862</v>
      </c>
      <c r="R45" s="0" t="n">
        <v>0.04845268731667716</v>
      </c>
      <c r="S45" s="0" t="n">
        <v>-0.0151315967027422</v>
      </c>
      <c r="T45" s="0" t="n">
        <v>-0.004169785521921873</v>
      </c>
      <c r="U45" s="0" t="n">
        <v>-0.0531344364883455</v>
      </c>
      <c r="V45" s="0" t="n">
        <v>0.1428537698115792</v>
      </c>
      <c r="W45" s="0" t="n">
        <v>0.0438152302392533</v>
      </c>
      <c r="X45" s="0" t="n">
        <v>0.05649964426510921</v>
      </c>
      <c r="Y45" s="0" t="n">
        <v>0.1262471540875754</v>
      </c>
    </row>
    <row r="46">
      <c r="A46" s="0" t="n">
        <v>-0.0005782373662759219</v>
      </c>
      <c r="B46" s="0">
        <f>SUMPRODUCT(C46:Y46,MMULT(C46:Y46,$B$4:$X$26))</f>
        <v/>
      </c>
      <c r="C46" s="0" t="n">
        <v>0.05981996156896002</v>
      </c>
      <c r="D46" s="0" t="n">
        <v>0.02052087420598959</v>
      </c>
      <c r="E46" s="0" t="n">
        <v>0.09679299934628256</v>
      </c>
      <c r="F46" s="0" t="n">
        <v>0.05250669848162347</v>
      </c>
      <c r="G46" s="0" t="n">
        <v>-0.08290764765141248</v>
      </c>
      <c r="H46" s="0" t="n">
        <v>0.06379459581696637</v>
      </c>
      <c r="I46" s="0" t="n">
        <v>-0.02876601253877374</v>
      </c>
      <c r="J46" s="0" t="n">
        <v>0.1531493319662716</v>
      </c>
      <c r="K46" s="0" t="n">
        <v>0.1461976026636119</v>
      </c>
      <c r="L46" s="0" t="n">
        <v>0.00581446477875178</v>
      </c>
      <c r="M46" s="0" t="n">
        <v>-0.01969909301580711</v>
      </c>
      <c r="N46" s="0" t="n">
        <v>0.1901767045884685</v>
      </c>
      <c r="O46" s="0" t="n">
        <v>-0.05358412189331499</v>
      </c>
      <c r="P46" s="0" t="n">
        <v>0.07897137760475925</v>
      </c>
      <c r="Q46" s="0" t="n">
        <v>-0.01933713350221725</v>
      </c>
      <c r="R46" s="0" t="n">
        <v>0.04473718337381505</v>
      </c>
      <c r="S46" s="0" t="n">
        <v>-0.01576980200346775</v>
      </c>
      <c r="T46" s="0" t="n">
        <v>-0.005569268396761878</v>
      </c>
      <c r="U46" s="0" t="n">
        <v>-0.05105397633163963</v>
      </c>
      <c r="V46" s="0" t="n">
        <v>0.1417132857230251</v>
      </c>
      <c r="W46" s="0" t="n">
        <v>0.04195500683739313</v>
      </c>
      <c r="X46" s="0" t="n">
        <v>0.05396140836020533</v>
      </c>
      <c r="Y46" s="0" t="n">
        <v>0.1265755600172702</v>
      </c>
    </row>
    <row r="47">
      <c r="A47" s="0" t="n">
        <v>-0.0005402689804420604</v>
      </c>
      <c r="B47" s="0">
        <f>SUMPRODUCT(C47:Y47,MMULT(C47:Y47,$B$4:$X$26))</f>
        <v/>
      </c>
      <c r="C47" s="0" t="n">
        <v>0.05846583126223723</v>
      </c>
      <c r="D47" s="0" t="n">
        <v>0.01923378819289415</v>
      </c>
      <c r="E47" s="0" t="n">
        <v>0.100403064347476</v>
      </c>
      <c r="F47" s="0" t="n">
        <v>0.05117584017723853</v>
      </c>
      <c r="G47" s="0" t="n">
        <v>-0.0817753538845353</v>
      </c>
      <c r="H47" s="0" t="n">
        <v>0.06421749201524937</v>
      </c>
      <c r="I47" s="0" t="n">
        <v>-0.02753799973831743</v>
      </c>
      <c r="J47" s="0" t="n">
        <v>0.1539215582290735</v>
      </c>
      <c r="K47" s="0" t="n">
        <v>0.1490677521881013</v>
      </c>
      <c r="L47" s="0" t="n">
        <v>0.005617853995395981</v>
      </c>
      <c r="M47" s="0" t="n">
        <v>-0.01838151835604894</v>
      </c>
      <c r="N47" s="0" t="n">
        <v>0.1940161889013281</v>
      </c>
      <c r="O47" s="0" t="n">
        <v>-0.05336460518635883</v>
      </c>
      <c r="P47" s="0" t="n">
        <v>0.07795825132192678</v>
      </c>
      <c r="Q47" s="0" t="n">
        <v>-0.02068427161815588</v>
      </c>
      <c r="R47" s="0" t="n">
        <v>0.0410216794309529</v>
      </c>
      <c r="S47" s="0" t="n">
        <v>-0.01640800730419335</v>
      </c>
      <c r="T47" s="0" t="n">
        <v>-0.006968751271601712</v>
      </c>
      <c r="U47" s="0" t="n">
        <v>-0.04897351617493356</v>
      </c>
      <c r="V47" s="0" t="n">
        <v>0.1405728016344711</v>
      </c>
      <c r="W47" s="0" t="n">
        <v>0.04009478343553277</v>
      </c>
      <c r="X47" s="0" t="n">
        <v>0.05142317245530156</v>
      </c>
      <c r="Y47" s="0" t="n">
        <v>0.1269039659469655</v>
      </c>
    </row>
    <row r="48">
      <c r="A48" s="0" t="n">
        <v>-0.000502300594608199</v>
      </c>
      <c r="B48" s="0">
        <f>SUMPRODUCT(C48:Y48,MMULT(C48:Y48,$B$4:$X$26))</f>
        <v/>
      </c>
      <c r="C48" s="0" t="n">
        <v>0.05711170095551454</v>
      </c>
      <c r="D48" s="0" t="n">
        <v>0.01794670217979873</v>
      </c>
      <c r="E48" s="0" t="n">
        <v>0.1040131293486697</v>
      </c>
      <c r="F48" s="0" t="n">
        <v>0.04984498187285376</v>
      </c>
      <c r="G48" s="0" t="n">
        <v>-0.08064306011765833</v>
      </c>
      <c r="H48" s="0" t="n">
        <v>0.0646403882135327</v>
      </c>
      <c r="I48" s="0" t="n">
        <v>-0.02630998693786111</v>
      </c>
      <c r="J48" s="0" t="n">
        <v>0.1546937844918752</v>
      </c>
      <c r="K48" s="0" t="n">
        <v>0.1519379017125906</v>
      </c>
      <c r="L48" s="0" t="n">
        <v>0.005421243212040189</v>
      </c>
      <c r="M48" s="0" t="n">
        <v>-0.01706394369629059</v>
      </c>
      <c r="N48" s="0" t="n">
        <v>0.1978556732141876</v>
      </c>
      <c r="O48" s="0" t="n">
        <v>-0.05314508847940262</v>
      </c>
      <c r="P48" s="0" t="n">
        <v>0.07694512503909431</v>
      </c>
      <c r="Q48" s="0" t="n">
        <v>-0.02203140973409451</v>
      </c>
      <c r="R48" s="0" t="n">
        <v>0.0373061754880907</v>
      </c>
      <c r="S48" s="0" t="n">
        <v>-0.017046212604919</v>
      </c>
      <c r="T48" s="0" t="n">
        <v>-0.008368234146441588</v>
      </c>
      <c r="U48" s="0" t="n">
        <v>-0.04689305601822778</v>
      </c>
      <c r="V48" s="0" t="n">
        <v>0.139432317545917</v>
      </c>
      <c r="W48" s="0" t="n">
        <v>0.0382345600336726</v>
      </c>
      <c r="X48" s="0" t="n">
        <v>0.04888493655039773</v>
      </c>
      <c r="Y48" s="0" t="n">
        <v>0.1272323718766604</v>
      </c>
    </row>
    <row r="49">
      <c r="A49" s="0" t="n">
        <v>-0.0004643322087743375</v>
      </c>
      <c r="B49" s="0">
        <f>SUMPRODUCT(C49:Y49,MMULT(C49:Y49,$B$4:$X$26))</f>
        <v/>
      </c>
      <c r="C49" s="0" t="n">
        <v>0.05575757064879164</v>
      </c>
      <c r="D49" s="0" t="n">
        <v>0.01665961616670319</v>
      </c>
      <c r="E49" s="0" t="n">
        <v>0.1076231943498633</v>
      </c>
      <c r="F49" s="0" t="n">
        <v>0.04851412356846879</v>
      </c>
      <c r="G49" s="0" t="n">
        <v>-0.07951076635078114</v>
      </c>
      <c r="H49" s="0" t="n">
        <v>0.06506328441181583</v>
      </c>
      <c r="I49" s="0" t="n">
        <v>-0.02508197413740462</v>
      </c>
      <c r="J49" s="0" t="n">
        <v>0.155466010754677</v>
      </c>
      <c r="K49" s="0" t="n">
        <v>0.1548080512370801</v>
      </c>
      <c r="L49" s="0" t="n">
        <v>0.005224632428684382</v>
      </c>
      <c r="M49" s="0" t="n">
        <v>-0.01574636903653228</v>
      </c>
      <c r="N49" s="0" t="n">
        <v>0.2016951575270473</v>
      </c>
      <c r="O49" s="0" t="n">
        <v>-0.05292557177244645</v>
      </c>
      <c r="P49" s="0" t="n">
        <v>0.07593199875626175</v>
      </c>
      <c r="Q49" s="0" t="n">
        <v>-0.02337854785003326</v>
      </c>
      <c r="R49" s="0" t="n">
        <v>0.0335906715452282</v>
      </c>
      <c r="S49" s="0" t="n">
        <v>-0.0176844179056446</v>
      </c>
      <c r="T49" s="0" t="n">
        <v>-0.009767717021281716</v>
      </c>
      <c r="U49" s="0" t="n">
        <v>-0.04481259586152152</v>
      </c>
      <c r="V49" s="0" t="n">
        <v>0.1382918334573627</v>
      </c>
      <c r="W49" s="0" t="n">
        <v>0.03637433663181215</v>
      </c>
      <c r="X49" s="0" t="n">
        <v>0.04634670064549357</v>
      </c>
      <c r="Y49" s="0" t="n">
        <v>0.1275607778063554</v>
      </c>
    </row>
    <row r="50">
      <c r="A50" s="0" t="n">
        <v>-0.000426363822940476</v>
      </c>
      <c r="B50" s="0">
        <f>SUMPRODUCT(C50:Y50,MMULT(C50:Y50,$B$4:$X$26))</f>
        <v/>
      </c>
      <c r="C50" s="0" t="n">
        <v>0.05440344034206895</v>
      </c>
      <c r="D50" s="0" t="n">
        <v>0.01537253015360774</v>
      </c>
      <c r="E50" s="0" t="n">
        <v>0.1112332593510568</v>
      </c>
      <c r="F50" s="0" t="n">
        <v>0.04718326526408399</v>
      </c>
      <c r="G50" s="0" t="n">
        <v>-0.07837847258390494</v>
      </c>
      <c r="H50" s="0" t="n">
        <v>0.06548618061009902</v>
      </c>
      <c r="I50" s="0" t="n">
        <v>-0.02385396133694836</v>
      </c>
      <c r="J50" s="0" t="n">
        <v>0.1562382370174788</v>
      </c>
      <c r="K50" s="0" t="n">
        <v>0.1576782007615693</v>
      </c>
      <c r="L50" s="0" t="n">
        <v>0.005028021645328578</v>
      </c>
      <c r="M50" s="0" t="n">
        <v>-0.01442879437677405</v>
      </c>
      <c r="N50" s="0" t="n">
        <v>0.205534641839907</v>
      </c>
      <c r="O50" s="0" t="n">
        <v>-0.05270605506549029</v>
      </c>
      <c r="P50" s="0" t="n">
        <v>0.07491887247342915</v>
      </c>
      <c r="Q50" s="0" t="n">
        <v>-0.02472568596597187</v>
      </c>
      <c r="R50" s="0" t="n">
        <v>0.029875167602366</v>
      </c>
      <c r="S50" s="0" t="n">
        <v>-0.01832262320637021</v>
      </c>
      <c r="T50" s="0" t="n">
        <v>-0.01116719989612164</v>
      </c>
      <c r="U50" s="0" t="n">
        <v>-0.04273213570481547</v>
      </c>
      <c r="V50" s="0" t="n">
        <v>0.1371513493688087</v>
      </c>
      <c r="W50" s="0" t="n">
        <v>0.03451411322995198</v>
      </c>
      <c r="X50" s="0" t="n">
        <v>0.04380846474058987</v>
      </c>
      <c r="Y50" s="0" t="n">
        <v>0.1278891837360503</v>
      </c>
    </row>
    <row r="51">
      <c r="A51" s="0" t="n">
        <v>-0.0003883954371066145</v>
      </c>
      <c r="B51" s="0">
        <f>SUMPRODUCT(C51:Y51,MMULT(C51:Y51,$B$4:$X$26))</f>
        <v/>
      </c>
      <c r="C51" s="0" t="n">
        <v>0.05304931003534621</v>
      </c>
      <c r="D51" s="0" t="n">
        <v>0.01408544414051244</v>
      </c>
      <c r="E51" s="0" t="n">
        <v>0.11484332435225</v>
      </c>
      <c r="F51" s="0" t="n">
        <v>0.04585240695969912</v>
      </c>
      <c r="G51" s="0" t="n">
        <v>-0.07724617881702832</v>
      </c>
      <c r="H51" s="0" t="n">
        <v>0.06590907680838209</v>
      </c>
      <c r="I51" s="0" t="n">
        <v>-0.02262594853649212</v>
      </c>
      <c r="J51" s="0" t="n">
        <v>0.1570104632802806</v>
      </c>
      <c r="K51" s="0" t="n">
        <v>0.1605483502860583</v>
      </c>
      <c r="L51" s="0" t="n">
        <v>0.004831410861972803</v>
      </c>
      <c r="M51" s="0" t="n">
        <v>-0.0131112197170159</v>
      </c>
      <c r="N51" s="0" t="n">
        <v>0.2093741261527661</v>
      </c>
      <c r="O51" s="0" t="n">
        <v>-0.05248653835853415</v>
      </c>
      <c r="P51" s="0" t="n">
        <v>0.07390574619059681</v>
      </c>
      <c r="Q51" s="0" t="n">
        <v>-0.0260728240819104</v>
      </c>
      <c r="R51" s="0" t="n">
        <v>0.02615966365950418</v>
      </c>
      <c r="S51" s="0" t="n">
        <v>-0.01896082850709569</v>
      </c>
      <c r="T51" s="0" t="n">
        <v>-0.01256668277096145</v>
      </c>
      <c r="U51" s="0" t="n">
        <v>-0.04065167554810972</v>
      </c>
      <c r="V51" s="0" t="n">
        <v>0.1360108652802547</v>
      </c>
      <c r="W51" s="0" t="n">
        <v>0.03265388982809182</v>
      </c>
      <c r="X51" s="0" t="n">
        <v>0.04127022883568631</v>
      </c>
      <c r="Y51" s="0" t="n">
        <v>0.1282175896657458</v>
      </c>
    </row>
    <row r="52">
      <c r="A52" s="0" t="n">
        <v>-0.000350427051272753</v>
      </c>
      <c r="B52" s="0">
        <f>SUMPRODUCT(C52:Y52,MMULT(C52:Y52,$B$4:$X$26))</f>
        <v/>
      </c>
      <c r="C52" s="0" t="n">
        <v>0.05169517972862344</v>
      </c>
      <c r="D52" s="0" t="n">
        <v>0.01279835812741701</v>
      </c>
      <c r="E52" s="0" t="n">
        <v>0.1184533893534435</v>
      </c>
      <c r="F52" s="0" t="n">
        <v>0.04452154865531435</v>
      </c>
      <c r="G52" s="0" t="n">
        <v>-0.07611388505015124</v>
      </c>
      <c r="H52" s="0" t="n">
        <v>0.06633197300666531</v>
      </c>
      <c r="I52" s="0" t="n">
        <v>-0.02139793573603584</v>
      </c>
      <c r="J52" s="0" t="n">
        <v>0.1577826895430823</v>
      </c>
      <c r="K52" s="0" t="n">
        <v>0.1634184998105476</v>
      </c>
      <c r="L52" s="0" t="n">
        <v>0.004634800078617013</v>
      </c>
      <c r="M52" s="0" t="n">
        <v>-0.01179364505725761</v>
      </c>
      <c r="N52" s="0" t="n">
        <v>0.2132136104656259</v>
      </c>
      <c r="O52" s="0" t="n">
        <v>-0.05226702165157796</v>
      </c>
      <c r="P52" s="0" t="n">
        <v>0.07289261990776431</v>
      </c>
      <c r="Q52" s="0" t="n">
        <v>-0.02741996219784906</v>
      </c>
      <c r="R52" s="0" t="n">
        <v>0.02244415971664195</v>
      </c>
      <c r="S52" s="0" t="n">
        <v>-0.01959903380782135</v>
      </c>
      <c r="T52" s="0" t="n">
        <v>-0.01396616564580134</v>
      </c>
      <c r="U52" s="0" t="n">
        <v>-0.03857121539140369</v>
      </c>
      <c r="V52" s="0" t="n">
        <v>0.1348703811917006</v>
      </c>
      <c r="W52" s="0" t="n">
        <v>0.03079366642623165</v>
      </c>
      <c r="X52" s="0" t="n">
        <v>0.03873199293078249</v>
      </c>
      <c r="Y52" s="0" t="n">
        <v>0.1285459955954404</v>
      </c>
    </row>
    <row r="53">
      <c r="A53" s="0" t="n">
        <v>-0.0003124586654388915</v>
      </c>
      <c r="B53" s="0">
        <f>SUMPRODUCT(C53:Y53,MMULT(C53:Y53,$B$4:$X$26))</f>
        <v/>
      </c>
      <c r="C53" s="0" t="n">
        <v>0.05034104942190078</v>
      </c>
      <c r="D53" s="0" t="n">
        <v>0.01151127211432159</v>
      </c>
      <c r="E53" s="0" t="n">
        <v>0.1220634543546371</v>
      </c>
      <c r="F53" s="0" t="n">
        <v>0.04319069035092946</v>
      </c>
      <c r="G53" s="0" t="n">
        <v>-0.07498159128327449</v>
      </c>
      <c r="H53" s="0" t="n">
        <v>0.06675486920494847</v>
      </c>
      <c r="I53" s="0" t="n">
        <v>-0.0201699229355795</v>
      </c>
      <c r="J53" s="0" t="n">
        <v>0.1585549158058841</v>
      </c>
      <c r="K53" s="0" t="n">
        <v>0.1662886493350369</v>
      </c>
      <c r="L53" s="0" t="n">
        <v>0.004438189295261219</v>
      </c>
      <c r="M53" s="0" t="n">
        <v>-0.0104760703974994</v>
      </c>
      <c r="N53" s="0" t="n">
        <v>0.2170530947784853</v>
      </c>
      <c r="O53" s="0" t="n">
        <v>-0.05204750494462178</v>
      </c>
      <c r="P53" s="0" t="n">
        <v>0.07187949362493185</v>
      </c>
      <c r="Q53" s="0" t="n">
        <v>-0.02876710031378769</v>
      </c>
      <c r="R53" s="0" t="n">
        <v>0.01872865577377985</v>
      </c>
      <c r="S53" s="0" t="n">
        <v>-0.02023723910854695</v>
      </c>
      <c r="T53" s="0" t="n">
        <v>-0.01536564852064131</v>
      </c>
      <c r="U53" s="0" t="n">
        <v>-0.03649075523469777</v>
      </c>
      <c r="V53" s="0" t="n">
        <v>0.1337298971031465</v>
      </c>
      <c r="W53" s="0" t="n">
        <v>0.02893344302437137</v>
      </c>
      <c r="X53" s="0" t="n">
        <v>0.03619375702587867</v>
      </c>
      <c r="Y53" s="0" t="n">
        <v>0.1288744015251352</v>
      </c>
    </row>
    <row r="54">
      <c r="A54" s="0" t="n">
        <v>-0.00027449027960503</v>
      </c>
      <c r="B54" s="0">
        <f>SUMPRODUCT(C54:Y54,MMULT(C54:Y54,$B$4:$X$26))</f>
        <v/>
      </c>
      <c r="C54" s="0" t="n">
        <v>0.04898691911517788</v>
      </c>
      <c r="D54" s="0" t="n">
        <v>0.01022418610122604</v>
      </c>
      <c r="E54" s="0" t="n">
        <v>0.1256735193558307</v>
      </c>
      <c r="F54" s="0" t="n">
        <v>0.04185983204654447</v>
      </c>
      <c r="G54" s="0" t="n">
        <v>-0.07384929751639731</v>
      </c>
      <c r="H54" s="0" t="n">
        <v>0.06717776540323171</v>
      </c>
      <c r="I54" s="0" t="n">
        <v>-0.01894191013512311</v>
      </c>
      <c r="J54" s="0" t="n">
        <v>0.1593271420686859</v>
      </c>
      <c r="K54" s="0" t="n">
        <v>0.1691587988595264</v>
      </c>
      <c r="L54" s="0" t="n">
        <v>0.004241578511905412</v>
      </c>
      <c r="M54" s="0" t="n">
        <v>-0.009158495737741062</v>
      </c>
      <c r="N54" s="0" t="n">
        <v>0.2208925790913449</v>
      </c>
      <c r="O54" s="0" t="n">
        <v>-0.05182798823766564</v>
      </c>
      <c r="P54" s="0" t="n">
        <v>0.07086636734209933</v>
      </c>
      <c r="Q54" s="0" t="n">
        <v>-0.03011423842972643</v>
      </c>
      <c r="R54" s="0" t="n">
        <v>0.0150131518309174</v>
      </c>
      <c r="S54" s="0" t="n">
        <v>-0.02087544440927249</v>
      </c>
      <c r="T54" s="0" t="n">
        <v>-0.0167651313954813</v>
      </c>
      <c r="U54" s="0" t="n">
        <v>-0.03441029507799166</v>
      </c>
      <c r="V54" s="0" t="n">
        <v>0.1325894130145924</v>
      </c>
      <c r="W54" s="0" t="n">
        <v>0.027073219622511</v>
      </c>
      <c r="X54" s="0" t="n">
        <v>0.03365552112097468</v>
      </c>
      <c r="Y54" s="0" t="n">
        <v>0.1292028074548303</v>
      </c>
    </row>
    <row r="55">
      <c r="A55" s="0" t="n">
        <v>-0.0002365218937711685</v>
      </c>
      <c r="B55" s="0">
        <f>SUMPRODUCT(C55:Y55,MMULT(C55:Y55,$B$4:$X$26))</f>
        <v/>
      </c>
      <c r="C55" s="0" t="n">
        <v>0.04763278880845512</v>
      </c>
      <c r="D55" s="0" t="n">
        <v>0.008937100088130586</v>
      </c>
      <c r="E55" s="0" t="n">
        <v>0.1292835843570244</v>
      </c>
      <c r="F55" s="0" t="n">
        <v>0.04052897374215962</v>
      </c>
      <c r="G55" s="0" t="n">
        <v>-0.07271700374952089</v>
      </c>
      <c r="H55" s="0" t="n">
        <v>0.0676006616015148</v>
      </c>
      <c r="I55" s="0" t="n">
        <v>-0.01771389733466674</v>
      </c>
      <c r="J55" s="0" t="n">
        <v>0.1600993683314877</v>
      </c>
      <c r="K55" s="0" t="n">
        <v>0.1720289483840157</v>
      </c>
      <c r="L55" s="0" t="n">
        <v>0.004044967728549616</v>
      </c>
      <c r="M55" s="0" t="n">
        <v>-0.007840921077982815</v>
      </c>
      <c r="N55" s="0" t="n">
        <v>0.2247320634042042</v>
      </c>
      <c r="O55" s="0" t="n">
        <v>-0.05160847153070947</v>
      </c>
      <c r="P55" s="0" t="n">
        <v>0.06985324105926677</v>
      </c>
      <c r="Q55" s="0" t="n">
        <v>-0.03146137654566507</v>
      </c>
      <c r="R55" s="0" t="n">
        <v>0.0112976478880552</v>
      </c>
      <c r="S55" s="0" t="n">
        <v>-0.02151364970999815</v>
      </c>
      <c r="T55" s="0" t="n">
        <v>-0.01816461427032125</v>
      </c>
      <c r="U55" s="0" t="n">
        <v>-0.03232983492128545</v>
      </c>
      <c r="V55" s="0" t="n">
        <v>0.1314489289260383</v>
      </c>
      <c r="W55" s="0" t="n">
        <v>0.02521299622065073</v>
      </c>
      <c r="X55" s="0" t="n">
        <v>0.03111728521607074</v>
      </c>
      <c r="Y55" s="0" t="n">
        <v>0.1295312133845256</v>
      </c>
    </row>
    <row r="56">
      <c r="A56" s="0" t="n">
        <v>-0.000198553507937307</v>
      </c>
      <c r="B56" s="0">
        <f>SUMPRODUCT(C56:Y56,MMULT(C56:Y56,$B$4:$X$26))</f>
        <v/>
      </c>
      <c r="C56" s="0" t="n">
        <v>0.0462786585017326</v>
      </c>
      <c r="D56" s="0" t="n">
        <v>0.007650014075035272</v>
      </c>
      <c r="E56" s="0" t="n">
        <v>0.1328936493582176</v>
      </c>
      <c r="F56" s="0" t="n">
        <v>0.03919811543777491</v>
      </c>
      <c r="G56" s="0" t="n">
        <v>-0.0715847099826437</v>
      </c>
      <c r="H56" s="0" t="n">
        <v>0.06802355779979799</v>
      </c>
      <c r="I56" s="0" t="n">
        <v>-0.0164858845342105</v>
      </c>
      <c r="J56" s="0" t="n">
        <v>0.1608715945942894</v>
      </c>
      <c r="K56" s="0" t="n">
        <v>0.1748990979085048</v>
      </c>
      <c r="L56" s="0" t="n">
        <v>0.003848356945193842</v>
      </c>
      <c r="M56" s="0" t="n">
        <v>-0.006523346418224697</v>
      </c>
      <c r="N56" s="0" t="n">
        <v>0.2285715477170636</v>
      </c>
      <c r="O56" s="0" t="n">
        <v>-0.05138895482375332</v>
      </c>
      <c r="P56" s="0" t="n">
        <v>0.06884011477643451</v>
      </c>
      <c r="Q56" s="0" t="n">
        <v>-0.03280851466160356</v>
      </c>
      <c r="R56" s="0" t="n">
        <v>0.00758214394519339</v>
      </c>
      <c r="S56" s="0" t="n">
        <v>-0.02215185501072364</v>
      </c>
      <c r="T56" s="0" t="n">
        <v>-0.01956409714516099</v>
      </c>
      <c r="U56" s="0" t="n">
        <v>-0.03024937476457967</v>
      </c>
      <c r="V56" s="0" t="n">
        <v>0.1303084448374842</v>
      </c>
      <c r="W56" s="0" t="n">
        <v>0.02335277281879064</v>
      </c>
      <c r="X56" s="0" t="n">
        <v>0.02857904931116708</v>
      </c>
      <c r="Y56" s="0" t="n">
        <v>0.1298596193142206</v>
      </c>
    </row>
    <row r="57">
      <c r="A57" s="0" t="n">
        <v>-0.0001605851221034455</v>
      </c>
      <c r="B57" s="0">
        <f>SUMPRODUCT(C57:Y57,MMULT(C57:Y57,$B$4:$X$26))</f>
        <v/>
      </c>
      <c r="C57" s="0" t="n">
        <v>0.04492452819500979</v>
      </c>
      <c r="D57" s="0" t="n">
        <v>0.006362928061939859</v>
      </c>
      <c r="E57" s="0" t="n">
        <v>0.1365037143594112</v>
      </c>
      <c r="F57" s="0" t="n">
        <v>0.03786725713339002</v>
      </c>
      <c r="G57" s="0" t="n">
        <v>-0.07045241621576719</v>
      </c>
      <c r="H57" s="0" t="n">
        <v>0.06844645399808115</v>
      </c>
      <c r="I57" s="0" t="n">
        <v>-0.01525787173375423</v>
      </c>
      <c r="J57" s="0" t="n">
        <v>0.1616438208570912</v>
      </c>
      <c r="K57" s="0" t="n">
        <v>0.177769247432994</v>
      </c>
      <c r="L57" s="0" t="n">
        <v>0.003651746161838049</v>
      </c>
      <c r="M57" s="0" t="n">
        <v>-0.005205771758466447</v>
      </c>
      <c r="N57" s="0" t="n">
        <v>0.2324110320299232</v>
      </c>
      <c r="O57" s="0" t="n">
        <v>-0.05116943811679712</v>
      </c>
      <c r="P57" s="0" t="n">
        <v>0.06782698849360194</v>
      </c>
      <c r="Q57" s="0" t="n">
        <v>-0.03415565277754226</v>
      </c>
      <c r="R57" s="0" t="n">
        <v>0.003866640002331231</v>
      </c>
      <c r="S57" s="0" t="n">
        <v>-0.02279006031144922</v>
      </c>
      <c r="T57" s="0" t="n">
        <v>-0.02096358002000091</v>
      </c>
      <c r="U57" s="0" t="n">
        <v>-0.02816891460787381</v>
      </c>
      <c r="V57" s="0" t="n">
        <v>0.1291679607489301</v>
      </c>
      <c r="W57" s="0" t="n">
        <v>0.02149254941693044</v>
      </c>
      <c r="X57" s="0" t="n">
        <v>0.02604081340626342</v>
      </c>
      <c r="Y57" s="0" t="n">
        <v>0.1301880252439154</v>
      </c>
    </row>
    <row r="58">
      <c r="A58" s="0" t="n">
        <v>-0.000122616736269584</v>
      </c>
      <c r="B58" s="0">
        <f>SUMPRODUCT(C58:Y58,MMULT(C58:Y58,$B$4:$X$26))</f>
        <v/>
      </c>
      <c r="C58" s="0" t="n">
        <v>0.04357039788828682</v>
      </c>
      <c r="D58" s="0" t="n">
        <v>0.005075842048844315</v>
      </c>
      <c r="E58" s="0" t="n">
        <v>0.1401137793606048</v>
      </c>
      <c r="F58" s="0" t="n">
        <v>0.03653639882900508</v>
      </c>
      <c r="G58" s="0" t="n">
        <v>-0.0693201224488901</v>
      </c>
      <c r="H58" s="0" t="n">
        <v>0.06886935019636428</v>
      </c>
      <c r="I58" s="0" t="n">
        <v>-0.01402985893329772</v>
      </c>
      <c r="J58" s="0" t="n">
        <v>0.162416047119893</v>
      </c>
      <c r="K58" s="0" t="n">
        <v>0.1806393969574835</v>
      </c>
      <c r="L58" s="0" t="n">
        <v>0.003455135378482238</v>
      </c>
      <c r="M58" s="0" t="n">
        <v>-0.003888197098708114</v>
      </c>
      <c r="N58" s="0" t="n">
        <v>0.2362505163427831</v>
      </c>
      <c r="O58" s="0" t="n">
        <v>-0.05094992140984097</v>
      </c>
      <c r="P58" s="0" t="n">
        <v>0.06681386221076936</v>
      </c>
      <c r="Q58" s="0" t="n">
        <v>-0.03550279089348098</v>
      </c>
      <c r="R58" s="0" t="n">
        <v>0.0001511360594686972</v>
      </c>
      <c r="S58" s="0" t="n">
        <v>-0.02342826561217495</v>
      </c>
      <c r="T58" s="0" t="n">
        <v>-0.02236306289484101</v>
      </c>
      <c r="U58" s="0" t="n">
        <v>-0.02608845445116783</v>
      </c>
      <c r="V58" s="0" t="n">
        <v>0.128027476660376</v>
      </c>
      <c r="W58" s="0" t="n">
        <v>0.01963232601507</v>
      </c>
      <c r="X58" s="0" t="n">
        <v>0.02350257750135932</v>
      </c>
      <c r="Y58" s="0" t="n">
        <v>0.1305164311736105</v>
      </c>
    </row>
    <row r="59">
      <c r="A59" s="0" t="n">
        <v>-8.464835043572253e-05</v>
      </c>
      <c r="B59" s="0">
        <f>SUMPRODUCT(C59:Y59,MMULT(C59:Y59,$B$4:$X$26))</f>
        <v/>
      </c>
      <c r="C59" s="0" t="n">
        <v>0.04221626758156416</v>
      </c>
      <c r="D59" s="0" t="n">
        <v>0.003788756035748875</v>
      </c>
      <c r="E59" s="0" t="n">
        <v>0.1437238443617981</v>
      </c>
      <c r="F59" s="0" t="n">
        <v>0.03520554052462026</v>
      </c>
      <c r="G59" s="0" t="n">
        <v>-0.06818782868201302</v>
      </c>
      <c r="H59" s="0" t="n">
        <v>0.06929224639464754</v>
      </c>
      <c r="I59" s="0" t="n">
        <v>-0.0128018461328414</v>
      </c>
      <c r="J59" s="0" t="n">
        <v>0.1631882733826948</v>
      </c>
      <c r="K59" s="0" t="n">
        <v>0.1835095464819728</v>
      </c>
      <c r="L59" s="0" t="n">
        <v>0.003258524595126443</v>
      </c>
      <c r="M59" s="0" t="n">
        <v>-0.002570622438949888</v>
      </c>
      <c r="N59" s="0" t="n">
        <v>0.2400900006556425</v>
      </c>
      <c r="O59" s="0" t="n">
        <v>-0.05073040470288476</v>
      </c>
      <c r="P59" s="0" t="n">
        <v>0.06580073592793695</v>
      </c>
      <c r="Q59" s="0" t="n">
        <v>-0.03684992900941955</v>
      </c>
      <c r="R59" s="0" t="n">
        <v>-0.003564367883393489</v>
      </c>
      <c r="S59" s="0" t="n">
        <v>-0.02406647091290054</v>
      </c>
      <c r="T59" s="0" t="n">
        <v>-0.02376254576968093</v>
      </c>
      <c r="U59" s="0" t="n">
        <v>-0.02400799429446153</v>
      </c>
      <c r="V59" s="0" t="n">
        <v>0.1268869925718219</v>
      </c>
      <c r="W59" s="0" t="n">
        <v>0.01777210261320986</v>
      </c>
      <c r="X59" s="0" t="n">
        <v>0.02096434159645544</v>
      </c>
      <c r="Y59" s="0" t="n">
        <v>0.1308448371033058</v>
      </c>
    </row>
    <row r="60">
      <c r="A60" s="0" t="n">
        <v>-4.667996460186105e-05</v>
      </c>
      <c r="B60" s="0">
        <f>SUMPRODUCT(C60:Y60,MMULT(C60:Y60,$B$4:$X$26))</f>
        <v/>
      </c>
      <c r="C60" s="0" t="n">
        <v>0.04086213727484125</v>
      </c>
      <c r="D60" s="0" t="n">
        <v>0.002501670022653476</v>
      </c>
      <c r="E60" s="0" t="n">
        <v>0.1473339093629917</v>
      </c>
      <c r="F60" s="0" t="n">
        <v>0.03387468222023541</v>
      </c>
      <c r="G60" s="0" t="n">
        <v>-0.06705553491513661</v>
      </c>
      <c r="H60" s="0" t="n">
        <v>0.0697151425929307</v>
      </c>
      <c r="I60" s="0" t="n">
        <v>-0.01157383333238508</v>
      </c>
      <c r="J60" s="0" t="n">
        <v>0.1639604996454966</v>
      </c>
      <c r="K60" s="0" t="n">
        <v>0.1863796960064623</v>
      </c>
      <c r="L60" s="0" t="n">
        <v>0.003061913811770653</v>
      </c>
      <c r="M60" s="0" t="n">
        <v>-0.001253047779191611</v>
      </c>
      <c r="N60" s="0" t="n">
        <v>0.2439294849685019</v>
      </c>
      <c r="O60" s="0" t="n">
        <v>-0.05051088799592859</v>
      </c>
      <c r="P60" s="0" t="n">
        <v>0.06478760964510441</v>
      </c>
      <c r="Q60" s="0" t="n">
        <v>-0.03819706712535821</v>
      </c>
      <c r="R60" s="0" t="n">
        <v>-0.007279871826255666</v>
      </c>
      <c r="S60" s="0" t="n">
        <v>-0.02470467621362603</v>
      </c>
      <c r="T60" s="0" t="n">
        <v>-0.02516202864452081</v>
      </c>
      <c r="U60" s="0" t="n">
        <v>-0.02192753413775578</v>
      </c>
      <c r="V60" s="0" t="n">
        <v>0.1257465084832678</v>
      </c>
      <c r="W60" s="0" t="n">
        <v>0.01591187921134949</v>
      </c>
      <c r="X60" s="0" t="n">
        <v>0.01842610569155162</v>
      </c>
      <c r="Y60" s="0" t="n">
        <v>0.1311732430330006</v>
      </c>
    </row>
    <row r="61">
      <c r="A61" s="0" t="n">
        <v>-8.711578767999569e-06</v>
      </c>
      <c r="B61" s="0">
        <f>SUMPRODUCT(C61:Y61,MMULT(C61:Y61,$B$4:$X$26))</f>
        <v/>
      </c>
      <c r="C61" s="0" t="n">
        <v>0.03950800696811879</v>
      </c>
      <c r="D61" s="0" t="n">
        <v>0.00121458400955813</v>
      </c>
      <c r="E61" s="0" t="n">
        <v>0.150943974364185</v>
      </c>
      <c r="F61" s="0" t="n">
        <v>0.03254382391585058</v>
      </c>
      <c r="G61" s="0" t="n">
        <v>-0.06592324114825965</v>
      </c>
      <c r="H61" s="0" t="n">
        <v>0.0701380387912138</v>
      </c>
      <c r="I61" s="0" t="n">
        <v>-0.01034582053192892</v>
      </c>
      <c r="J61" s="0" t="n">
        <v>0.1647327259082983</v>
      </c>
      <c r="K61" s="0" t="n">
        <v>0.1892498455309511</v>
      </c>
      <c r="L61" s="0" t="n">
        <v>0.002865303028414868</v>
      </c>
      <c r="M61" s="0" t="n">
        <v>6.452688056653916e-05</v>
      </c>
      <c r="N61" s="0" t="n">
        <v>0.2477689692813612</v>
      </c>
      <c r="O61" s="0" t="n">
        <v>-0.05029137128897244</v>
      </c>
      <c r="P61" s="0" t="n">
        <v>0.06377448336227209</v>
      </c>
      <c r="Q61" s="0" t="n">
        <v>-0.03954420524129673</v>
      </c>
      <c r="R61" s="0" t="n">
        <v>-0.01099537576911759</v>
      </c>
      <c r="S61" s="0" t="n">
        <v>-0.02534288151435163</v>
      </c>
      <c r="T61" s="0" t="n">
        <v>-0.02656151151936063</v>
      </c>
      <c r="U61" s="0" t="n">
        <v>-0.01984707398104997</v>
      </c>
      <c r="V61" s="0" t="n">
        <v>0.1246060243947139</v>
      </c>
      <c r="W61" s="0" t="n">
        <v>0.01405165580948941</v>
      </c>
      <c r="X61" s="0" t="n">
        <v>0.0158878697866479</v>
      </c>
      <c r="Y61" s="0" t="n">
        <v>0.1315016489626957</v>
      </c>
    </row>
    <row r="62">
      <c r="A62" s="0" t="n">
        <v>2.925680706586191e-05</v>
      </c>
      <c r="B62" s="0">
        <f>SUMPRODUCT(C62:Y62,MMULT(C62:Y62,$B$4:$X$26))</f>
        <v/>
      </c>
      <c r="C62" s="0" t="n">
        <v>0.03815387666139601</v>
      </c>
      <c r="D62" s="0" t="n">
        <v>-7.250200353730386e-05</v>
      </c>
      <c r="E62" s="0" t="n">
        <v>0.1545540393653786</v>
      </c>
      <c r="F62" s="0" t="n">
        <v>0.0312129656114657</v>
      </c>
      <c r="G62" s="0" t="n">
        <v>-0.06479094738138268</v>
      </c>
      <c r="H62" s="0" t="n">
        <v>0.07056093498949691</v>
      </c>
      <c r="I62" s="0" t="n">
        <v>-0.009117807731472584</v>
      </c>
      <c r="J62" s="0" t="n">
        <v>0.1655049521711</v>
      </c>
      <c r="K62" s="0" t="n">
        <v>0.1921199950554404</v>
      </c>
      <c r="L62" s="0" t="n">
        <v>0.002668692245059081</v>
      </c>
      <c r="M62" s="0" t="n">
        <v>0.001382101540324768</v>
      </c>
      <c r="N62" s="0" t="n">
        <v>0.2516084535942203</v>
      </c>
      <c r="O62" s="0" t="n">
        <v>-0.05007185458201625</v>
      </c>
      <c r="P62" s="0" t="n">
        <v>0.06276135707943954</v>
      </c>
      <c r="Q62" s="0" t="n">
        <v>-0.04089134335723538</v>
      </c>
      <c r="R62" s="0" t="n">
        <v>-0.01471087971197966</v>
      </c>
      <c r="S62" s="0" t="n">
        <v>-0.02598108681507717</v>
      </c>
      <c r="T62" s="0" t="n">
        <v>-0.02796099439420051</v>
      </c>
      <c r="U62" s="0" t="n">
        <v>-0.01776661382434381</v>
      </c>
      <c r="V62" s="0" t="n">
        <v>0.1234655403061598</v>
      </c>
      <c r="W62" s="0" t="n">
        <v>0.01219143240762916</v>
      </c>
      <c r="X62" s="0" t="n">
        <v>0.01334963388174396</v>
      </c>
      <c r="Y62" s="0" t="n">
        <v>0.1318300548923905</v>
      </c>
    </row>
    <row r="63">
      <c r="A63" s="0" t="n">
        <v>6.72251928997234e-05</v>
      </c>
      <c r="B63" s="0">
        <f>SUMPRODUCT(C63:Y63,MMULT(C63:Y63,$B$4:$X$26))</f>
        <v/>
      </c>
      <c r="C63" s="0" t="n">
        <v>0.03679974635467318</v>
      </c>
      <c r="D63" s="0" t="n">
        <v>-0.001359588016632818</v>
      </c>
      <c r="E63" s="0" t="n">
        <v>0.1581641043665722</v>
      </c>
      <c r="F63" s="0" t="n">
        <v>0.02988210730708074</v>
      </c>
      <c r="G63" s="0" t="n">
        <v>-0.06365865361450571</v>
      </c>
      <c r="H63" s="0" t="n">
        <v>0.07098383118778009</v>
      </c>
      <c r="I63" s="0" t="n">
        <v>-0.007889794931016105</v>
      </c>
      <c r="J63" s="0" t="n">
        <v>0.1662771784339019</v>
      </c>
      <c r="K63" s="0" t="n">
        <v>0.19499014457993</v>
      </c>
      <c r="L63" s="0" t="n">
        <v>0.002472081461703266</v>
      </c>
      <c r="M63" s="0" t="n">
        <v>0.002699676200083102</v>
      </c>
      <c r="N63" s="0" t="n">
        <v>0.2554479379070804</v>
      </c>
      <c r="O63" s="0" t="n">
        <v>-0.04985233787506006</v>
      </c>
      <c r="P63" s="0" t="n">
        <v>0.06174823079660699</v>
      </c>
      <c r="Q63" s="0" t="n">
        <v>-0.04223848147317413</v>
      </c>
      <c r="R63" s="0" t="n">
        <v>-0.01842638365484226</v>
      </c>
      <c r="S63" s="0" t="n">
        <v>-0.02661929211580282</v>
      </c>
      <c r="T63" s="0" t="n">
        <v>-0.02936047726904061</v>
      </c>
      <c r="U63" s="0" t="n">
        <v>-0.01568615366763782</v>
      </c>
      <c r="V63" s="0" t="n">
        <v>0.1223250562176056</v>
      </c>
      <c r="W63" s="0" t="n">
        <v>0.01033120900576879</v>
      </c>
      <c r="X63" s="0" t="n">
        <v>0.01081139797684008</v>
      </c>
      <c r="Y63" s="0" t="n">
        <v>0.1321584608220858</v>
      </c>
    </row>
    <row r="64">
      <c r="A64" s="0" t="n">
        <v>0.0001051935787335849</v>
      </c>
      <c r="B64" s="0">
        <f>SUMPRODUCT(C64:Y64,MMULT(C64:Y64,$B$4:$X$26))</f>
        <v/>
      </c>
      <c r="C64" s="0" t="n">
        <v>0.03544561604795038</v>
      </c>
      <c r="D64" s="0" t="n">
        <v>-0.002646674029728293</v>
      </c>
      <c r="E64" s="0" t="n">
        <v>0.1617741693677659</v>
      </c>
      <c r="F64" s="0" t="n">
        <v>0.02855124900269588</v>
      </c>
      <c r="G64" s="0" t="n">
        <v>-0.06252635984762897</v>
      </c>
      <c r="H64" s="0" t="n">
        <v>0.07140672738606331</v>
      </c>
      <c r="I64" s="0" t="n">
        <v>-0.006661782130559882</v>
      </c>
      <c r="J64" s="0" t="n">
        <v>0.1670494046967037</v>
      </c>
      <c r="K64" s="0" t="n">
        <v>0.1978602941044191</v>
      </c>
      <c r="L64" s="0" t="n">
        <v>0.002275470678347476</v>
      </c>
      <c r="M64" s="0" t="n">
        <v>0.004017250859841435</v>
      </c>
      <c r="N64" s="0" t="n">
        <v>0.25928742221994</v>
      </c>
      <c r="O64" s="0" t="n">
        <v>-0.04963282116810389</v>
      </c>
      <c r="P64" s="0" t="n">
        <v>0.06073510451377444</v>
      </c>
      <c r="Q64" s="0" t="n">
        <v>-0.04358561958911277</v>
      </c>
      <c r="R64" s="0" t="n">
        <v>-0.02214188759770432</v>
      </c>
      <c r="S64" s="0" t="n">
        <v>-0.02725749741652843</v>
      </c>
      <c r="T64" s="0" t="n">
        <v>-0.03075996014388052</v>
      </c>
      <c r="U64" s="0" t="n">
        <v>-0.01360569351093188</v>
      </c>
      <c r="V64" s="0" t="n">
        <v>0.1211845721290515</v>
      </c>
      <c r="W64" s="0" t="n">
        <v>0.008470985603908597</v>
      </c>
      <c r="X64" s="0" t="n">
        <v>0.008273162071936206</v>
      </c>
      <c r="Y64" s="0" t="n">
        <v>0.1324868667517806</v>
      </c>
    </row>
    <row r="65">
      <c r="A65" s="0" t="n">
        <v>0.0001431619645674464</v>
      </c>
      <c r="B65" s="0">
        <f>SUMPRODUCT(C65:Y65,MMULT(C65:Y65,$B$4:$X$26))</f>
        <v/>
      </c>
      <c r="C65" s="0" t="n">
        <v>0.03409148574122771</v>
      </c>
      <c r="D65" s="0" t="n">
        <v>-0.003933760042823703</v>
      </c>
      <c r="E65" s="0" t="n">
        <v>0.1653842343689595</v>
      </c>
      <c r="F65" s="0" t="n">
        <v>0.027220390698311</v>
      </c>
      <c r="G65" s="0" t="n">
        <v>-0.061394066080752</v>
      </c>
      <c r="H65" s="0" t="n">
        <v>0.0718296235843465</v>
      </c>
      <c r="I65" s="0" t="n">
        <v>-0.005433769330103528</v>
      </c>
      <c r="J65" s="0" t="n">
        <v>0.1678216309595054</v>
      </c>
      <c r="K65" s="0" t="n">
        <v>0.2007304436289085</v>
      </c>
      <c r="L65" s="0" t="n">
        <v>0.00207885989499168</v>
      </c>
      <c r="M65" s="0" t="n">
        <v>0.005334825519599616</v>
      </c>
      <c r="N65" s="0" t="n">
        <v>0.2631269065327993</v>
      </c>
      <c r="O65" s="0" t="n">
        <v>-0.04941330446114773</v>
      </c>
      <c r="P65" s="0" t="n">
        <v>0.05972197823094202</v>
      </c>
      <c r="Q65" s="0" t="n">
        <v>-0.04493275770505142</v>
      </c>
      <c r="R65" s="0" t="n">
        <v>-0.02585739154056645</v>
      </c>
      <c r="S65" s="0" t="n">
        <v>-0.02789570271725397</v>
      </c>
      <c r="T65" s="0" t="n">
        <v>-0.0321594430187204</v>
      </c>
      <c r="U65" s="0" t="n">
        <v>-0.0115252333542259</v>
      </c>
      <c r="V65" s="0" t="n">
        <v>0.1200440880404975</v>
      </c>
      <c r="W65" s="0" t="n">
        <v>0.006610762202048371</v>
      </c>
      <c r="X65" s="0" t="n">
        <v>0.00573492616703227</v>
      </c>
      <c r="Y65" s="0" t="n">
        <v>0.1328152726814754</v>
      </c>
    </row>
    <row r="66">
      <c r="A66" s="0" t="n">
        <v>0.0001811303504013078</v>
      </c>
      <c r="B66" s="0">
        <f>SUMPRODUCT(C66:Y66,MMULT(C66:Y66,$B$4:$X$26))</f>
        <v/>
      </c>
      <c r="C66" s="0" t="n">
        <v>0.03273735543450504</v>
      </c>
      <c r="D66" s="0" t="n">
        <v>-0.005220846055919042</v>
      </c>
      <c r="E66" s="0" t="n">
        <v>0.1689942993701525</v>
      </c>
      <c r="F66" s="0" t="n">
        <v>0.02588953239392623</v>
      </c>
      <c r="G66" s="0" t="n">
        <v>-0.06026177231387515</v>
      </c>
      <c r="H66" s="0" t="n">
        <v>0.0722525197826297</v>
      </c>
      <c r="I66" s="0" t="n">
        <v>-0.004205756529647333</v>
      </c>
      <c r="J66" s="0" t="n">
        <v>0.1685938572223071</v>
      </c>
      <c r="K66" s="0" t="n">
        <v>0.2036005931533977</v>
      </c>
      <c r="L66" s="0" t="n">
        <v>0.001882249111635905</v>
      </c>
      <c r="M66" s="0" t="n">
        <v>0.006652400179357766</v>
      </c>
      <c r="N66" s="0" t="n">
        <v>0.2669663908456586</v>
      </c>
      <c r="O66" s="0" t="n">
        <v>-0.0491937877541916</v>
      </c>
      <c r="P66" s="0" t="n">
        <v>0.05870885194810966</v>
      </c>
      <c r="Q66" s="0" t="n">
        <v>-0.04627989582098994</v>
      </c>
      <c r="R66" s="0" t="n">
        <v>-0.02957289548342841</v>
      </c>
      <c r="S66" s="0" t="n">
        <v>-0.02853390801797958</v>
      </c>
      <c r="T66" s="0" t="n">
        <v>-0.03355892589356022</v>
      </c>
      <c r="U66" s="0" t="n">
        <v>-0.009444773197520006</v>
      </c>
      <c r="V66" s="0" t="n">
        <v>0.1189036039519434</v>
      </c>
      <c r="W66" s="0" t="n">
        <v>0.004750538800188165</v>
      </c>
      <c r="X66" s="0" t="n">
        <v>0.003196690262128721</v>
      </c>
      <c r="Y66" s="0" t="n">
        <v>0.1331436786111707</v>
      </c>
    </row>
    <row r="67">
      <c r="A67" s="0" t="n">
        <v>0.0002190987362351693</v>
      </c>
      <c r="B67" s="0">
        <f>SUMPRODUCT(C67:Y67,MMULT(C67:Y67,$B$4:$X$26))</f>
        <v/>
      </c>
      <c r="C67" s="0" t="n">
        <v>0.03138322512778217</v>
      </c>
      <c r="D67" s="0" t="n">
        <v>-0.006507932069014559</v>
      </c>
      <c r="E67" s="0" t="n">
        <v>0.1726043643713464</v>
      </c>
      <c r="F67" s="0" t="n">
        <v>0.02455867408954129</v>
      </c>
      <c r="G67" s="0" t="n">
        <v>-0.05912947854699851</v>
      </c>
      <c r="H67" s="0" t="n">
        <v>0.07267541598091275</v>
      </c>
      <c r="I67" s="0" t="n">
        <v>-0.002977743729190791</v>
      </c>
      <c r="J67" s="0" t="n">
        <v>0.169366083485109</v>
      </c>
      <c r="K67" s="0" t="n">
        <v>0.2064707426778871</v>
      </c>
      <c r="L67" s="0" t="n">
        <v>0.001685638328280093</v>
      </c>
      <c r="M67" s="0" t="n">
        <v>0.007969974839116092</v>
      </c>
      <c r="N67" s="0" t="n">
        <v>0.2708058751585186</v>
      </c>
      <c r="O67" s="0" t="n">
        <v>-0.0489742710472354</v>
      </c>
      <c r="P67" s="0" t="n">
        <v>0.05769572566527702</v>
      </c>
      <c r="Q67" s="0" t="n">
        <v>-0.04762703393692864</v>
      </c>
      <c r="R67" s="0" t="n">
        <v>-0.03328839942629086</v>
      </c>
      <c r="S67" s="0" t="n">
        <v>-0.02917211331870519</v>
      </c>
      <c r="T67" s="0" t="n">
        <v>-0.03495840876840027</v>
      </c>
      <c r="U67" s="0" t="n">
        <v>-0.00736431304081392</v>
      </c>
      <c r="V67" s="0" t="n">
        <v>0.1177631198633893</v>
      </c>
      <c r="W67" s="0" t="n">
        <v>0.002890315398327856</v>
      </c>
      <c r="X67" s="0" t="n">
        <v>0.0006584543572247305</v>
      </c>
      <c r="Y67" s="0" t="n">
        <v>0.1334720845408658</v>
      </c>
    </row>
    <row r="68">
      <c r="A68" s="0" t="n">
        <v>0.0002570671220690308</v>
      </c>
      <c r="B68" s="0">
        <f>SUMPRODUCT(C68:Y68,MMULT(C68:Y68,$B$4:$X$26))</f>
        <v/>
      </c>
      <c r="C68" s="0" t="n">
        <v>0.03002909482105943</v>
      </c>
      <c r="D68" s="0" t="n">
        <v>-0.007795018082110011</v>
      </c>
      <c r="E68" s="0" t="n">
        <v>0.17621442937254</v>
      </c>
      <c r="F68" s="0" t="n">
        <v>0.02322781578515638</v>
      </c>
      <c r="G68" s="0" t="n">
        <v>-0.05799718478012188</v>
      </c>
      <c r="H68" s="0" t="n">
        <v>0.07309831217919596</v>
      </c>
      <c r="I68" s="0" t="n">
        <v>-0.001749730928734555</v>
      </c>
      <c r="J68" s="0" t="n">
        <v>0.1701383097479107</v>
      </c>
      <c r="K68" s="0" t="n">
        <v>0.2093408922023764</v>
      </c>
      <c r="L68" s="0" t="n">
        <v>0.001489027544924301</v>
      </c>
      <c r="M68" s="0" t="n">
        <v>0.009287549498874328</v>
      </c>
      <c r="N68" s="0" t="n">
        <v>0.2746453594713781</v>
      </c>
      <c r="O68" s="0" t="n">
        <v>-0.04875475434027922</v>
      </c>
      <c r="P68" s="0" t="n">
        <v>0.05668259938244462</v>
      </c>
      <c r="Q68" s="0" t="n">
        <v>-0.04897417205286726</v>
      </c>
      <c r="R68" s="0" t="n">
        <v>-0.03700390336915307</v>
      </c>
      <c r="S68" s="0" t="n">
        <v>-0.02981031861943079</v>
      </c>
      <c r="T68" s="0" t="n">
        <v>-0.03635789164324019</v>
      </c>
      <c r="U68" s="0" t="n">
        <v>-0.005283852884107946</v>
      </c>
      <c r="V68" s="0" t="n">
        <v>0.1166226357748351</v>
      </c>
      <c r="W68" s="0" t="n">
        <v>0.001030091996467561</v>
      </c>
      <c r="X68" s="0" t="n">
        <v>-0.001879781547678982</v>
      </c>
      <c r="Y68" s="0" t="n">
        <v>0.1338004904705608</v>
      </c>
    </row>
    <row r="69">
      <c r="A69" s="0" t="n">
        <v>0.0002950355079028924</v>
      </c>
      <c r="B69" s="0">
        <f>SUMPRODUCT(C69:Y69,MMULT(C69:Y69,$B$4:$X$26))</f>
        <v/>
      </c>
      <c r="C69" s="0" t="n">
        <v>0.02867496451433672</v>
      </c>
      <c r="D69" s="0" t="n">
        <v>-0.009082104095205422</v>
      </c>
      <c r="E69" s="0" t="n">
        <v>0.1798244943737333</v>
      </c>
      <c r="F69" s="0" t="n">
        <v>0.02189695748077156</v>
      </c>
      <c r="G69" s="0" t="n">
        <v>-0.0568648910132448</v>
      </c>
      <c r="H69" s="0" t="n">
        <v>0.07352120837747918</v>
      </c>
      <c r="I69" s="0" t="n">
        <v>-0.0005217181282781937</v>
      </c>
      <c r="J69" s="0" t="n">
        <v>0.1709105360107125</v>
      </c>
      <c r="K69" s="0" t="n">
        <v>0.2122110417268656</v>
      </c>
      <c r="L69" s="0" t="n">
        <v>0.001292416761568504</v>
      </c>
      <c r="M69" s="0" t="n">
        <v>0.0106051241586326</v>
      </c>
      <c r="N69" s="0" t="n">
        <v>0.2784848437842377</v>
      </c>
      <c r="O69" s="0" t="n">
        <v>-0.04853523763332305</v>
      </c>
      <c r="P69" s="0" t="n">
        <v>0.05566947309961209</v>
      </c>
      <c r="Q69" s="0" t="n">
        <v>-0.05032131016880593</v>
      </c>
      <c r="R69" s="0" t="n">
        <v>-0.0407194073120153</v>
      </c>
      <c r="S69" s="0" t="n">
        <v>-0.03044852392015638</v>
      </c>
      <c r="T69" s="0" t="n">
        <v>-0.0377573745180801</v>
      </c>
      <c r="U69" s="0" t="n">
        <v>-0.00320339272740198</v>
      </c>
      <c r="V69" s="0" t="n">
        <v>0.1154821516862811</v>
      </c>
      <c r="W69" s="0" t="n">
        <v>-0.0008301314053926867</v>
      </c>
      <c r="X69" s="0" t="n">
        <v>-0.004418017452582976</v>
      </c>
      <c r="Y69" s="0" t="n">
        <v>0.1341288964002559</v>
      </c>
    </row>
    <row r="70">
      <c r="A70" s="0" t="n">
        <v>0.0003330038937367539</v>
      </c>
      <c r="B70" s="0">
        <f>SUMPRODUCT(C70:Y70,MMULT(C70:Y70,$B$4:$X$26))</f>
        <v/>
      </c>
      <c r="C70" s="0" t="n">
        <v>0.02732083420761391</v>
      </c>
      <c r="D70" s="0" t="n">
        <v>-0.01036919010830088</v>
      </c>
      <c r="E70" s="0" t="n">
        <v>0.1834345593749266</v>
      </c>
      <c r="F70" s="0" t="n">
        <v>0.02056609917638676</v>
      </c>
      <c r="G70" s="0" t="n">
        <v>-0.05573259724636827</v>
      </c>
      <c r="H70" s="0" t="n">
        <v>0.07394410457576234</v>
      </c>
      <c r="I70" s="0" t="n">
        <v>0.0007062946721781537</v>
      </c>
      <c r="J70" s="0" t="n">
        <v>0.1716827622735143</v>
      </c>
      <c r="K70" s="0" t="n">
        <v>0.2150811912513547</v>
      </c>
      <c r="L70" s="0" t="n">
        <v>0.001095805978212711</v>
      </c>
      <c r="M70" s="0" t="n">
        <v>0.01192269881839089</v>
      </c>
      <c r="N70" s="0" t="n">
        <v>0.2823243280970971</v>
      </c>
      <c r="O70" s="0" t="n">
        <v>-0.04831572092636689</v>
      </c>
      <c r="P70" s="0" t="n">
        <v>0.05465634681677967</v>
      </c>
      <c r="Q70" s="0" t="n">
        <v>-0.05166844828474457</v>
      </c>
      <c r="R70" s="0" t="n">
        <v>-0.0444349112548774</v>
      </c>
      <c r="S70" s="0" t="n">
        <v>-0.03108672922088197</v>
      </c>
      <c r="T70" s="0" t="n">
        <v>-0.03915685739292002</v>
      </c>
      <c r="U70" s="0" t="n">
        <v>-0.001122932570695908</v>
      </c>
      <c r="V70" s="0" t="n">
        <v>0.1143416675977271</v>
      </c>
      <c r="W70" s="0" t="n">
        <v>-0.002690354807252996</v>
      </c>
      <c r="X70" s="0" t="n">
        <v>-0.006956253357486744</v>
      </c>
      <c r="Y70" s="0" t="n">
        <v>0.134457302329951</v>
      </c>
    </row>
    <row r="71">
      <c r="A71" s="0" t="n">
        <v>0.0003709722795706154</v>
      </c>
      <c r="B71" s="0">
        <f>SUMPRODUCT(C71:Y71,MMULT(C71:Y71,$B$4:$X$26))</f>
        <v/>
      </c>
      <c r="C71" s="0" t="n">
        <v>0.02596670390089122</v>
      </c>
      <c r="D71" s="0" t="n">
        <v>-0.01165627612139621</v>
      </c>
      <c r="E71" s="0" t="n">
        <v>0.1870446243761199</v>
      </c>
      <c r="F71" s="0" t="n">
        <v>0.01923524087200194</v>
      </c>
      <c r="G71" s="0" t="n">
        <v>-0.05460030347949108</v>
      </c>
      <c r="H71" s="0" t="n">
        <v>0.07436700077404541</v>
      </c>
      <c r="I71" s="0" t="n">
        <v>0.001934307472634349</v>
      </c>
      <c r="J71" s="0" t="n">
        <v>0.172454988536316</v>
      </c>
      <c r="K71" s="0" t="n">
        <v>0.2179513407758439</v>
      </c>
      <c r="L71" s="0" t="n">
        <v>0.0008991951948569336</v>
      </c>
      <c r="M71" s="0" t="n">
        <v>0.01324027347814903</v>
      </c>
      <c r="N71" s="0" t="n">
        <v>0.2861638124099561</v>
      </c>
      <c r="O71" s="0" t="n">
        <v>-0.04809620421941071</v>
      </c>
      <c r="P71" s="0" t="n">
        <v>0.05364322053394726</v>
      </c>
      <c r="Q71" s="0" t="n">
        <v>-0.05301558640068307</v>
      </c>
      <c r="R71" s="0" t="n">
        <v>-0.04815041519773923</v>
      </c>
      <c r="S71" s="0" t="n">
        <v>-0.03172493452160745</v>
      </c>
      <c r="T71" s="0" t="n">
        <v>-0.04055634026775983</v>
      </c>
      <c r="U71" s="0" t="n">
        <v>0.0009575275860099964</v>
      </c>
      <c r="V71" s="0" t="n">
        <v>0.113201183509173</v>
      </c>
      <c r="W71" s="0" t="n">
        <v>-0.004550578209112985</v>
      </c>
      <c r="X71" s="0" t="n">
        <v>-0.009494489262390401</v>
      </c>
      <c r="Y71" s="0" t="n">
        <v>0.1347857082596458</v>
      </c>
    </row>
    <row r="72">
      <c r="A72" s="0" t="n">
        <v>0.0004089406654044767</v>
      </c>
      <c r="B72" s="0">
        <f>SUMPRODUCT(C72:Y72,MMULT(C72:Y72,$B$4:$X$26))</f>
        <v/>
      </c>
      <c r="C72" s="0" t="n">
        <v>0.02461257359416842</v>
      </c>
      <c r="D72" s="0" t="n">
        <v>-0.01294336213449174</v>
      </c>
      <c r="E72" s="0" t="n">
        <v>0.1906546893773136</v>
      </c>
      <c r="F72" s="0" t="n">
        <v>0.01790438256761695</v>
      </c>
      <c r="G72" s="0" t="n">
        <v>-0.05346800971261446</v>
      </c>
      <c r="H72" s="0" t="n">
        <v>0.07478989697232864</v>
      </c>
      <c r="I72" s="0" t="n">
        <v>0.003162320273090751</v>
      </c>
      <c r="J72" s="0" t="n">
        <v>0.1732272147991178</v>
      </c>
      <c r="K72" s="0" t="n">
        <v>0.2208214903003334</v>
      </c>
      <c r="L72" s="0" t="n">
        <v>0.0007025844115011281</v>
      </c>
      <c r="M72" s="0" t="n">
        <v>0.01455784813790736</v>
      </c>
      <c r="N72" s="0" t="n">
        <v>0.2900032967228158</v>
      </c>
      <c r="O72" s="0" t="n">
        <v>-0.04787668751245456</v>
      </c>
      <c r="P72" s="0" t="n">
        <v>0.05263009425111471</v>
      </c>
      <c r="Q72" s="0" t="n">
        <v>-0.0543627245166218</v>
      </c>
      <c r="R72" s="0" t="n">
        <v>-0.05186591914060171</v>
      </c>
      <c r="S72" s="0" t="n">
        <v>-0.03236313982233318</v>
      </c>
      <c r="T72" s="0" t="n">
        <v>-0.04195582314259979</v>
      </c>
      <c r="U72" s="0" t="n">
        <v>0.003037987742715991</v>
      </c>
      <c r="V72" s="0" t="n">
        <v>0.1120606994206189</v>
      </c>
      <c r="W72" s="0" t="n">
        <v>-0.006410801610973358</v>
      </c>
      <c r="X72" s="0" t="n">
        <v>-0.01203272516729456</v>
      </c>
      <c r="Y72" s="0" t="n">
        <v>0.1351141141893411</v>
      </c>
    </row>
    <row r="73">
      <c r="A73" s="0" t="n">
        <v>0.0004469090512383383</v>
      </c>
      <c r="B73" s="0">
        <f>SUMPRODUCT(C73:Y73,MMULT(C73:Y73,$B$4:$X$26))</f>
        <v/>
      </c>
      <c r="C73" s="0" t="n">
        <v>0.0232584432874457</v>
      </c>
      <c r="D73" s="0" t="n">
        <v>-0.01423044814758717</v>
      </c>
      <c r="E73" s="0" t="n">
        <v>0.1942647543785073</v>
      </c>
      <c r="F73" s="0" t="n">
        <v>0.01657352426323209</v>
      </c>
      <c r="G73" s="0" t="n">
        <v>-0.05233571594573771</v>
      </c>
      <c r="H73" s="0" t="n">
        <v>0.07521279317061172</v>
      </c>
      <c r="I73" s="0" t="n">
        <v>0.004390333073547099</v>
      </c>
      <c r="J73" s="0" t="n">
        <v>0.1739994410619196</v>
      </c>
      <c r="K73" s="0" t="n">
        <v>0.2236916398248225</v>
      </c>
      <c r="L73" s="0" t="n">
        <v>0.0005059736281453287</v>
      </c>
      <c r="M73" s="0" t="n">
        <v>0.01587542279766561</v>
      </c>
      <c r="N73" s="0" t="n">
        <v>0.2938427810356756</v>
      </c>
      <c r="O73" s="0" t="n">
        <v>-0.04765717080549836</v>
      </c>
      <c r="P73" s="0" t="n">
        <v>0.05161696796828223</v>
      </c>
      <c r="Q73" s="0" t="n">
        <v>-0.05570986263256043</v>
      </c>
      <c r="R73" s="0" t="n">
        <v>-0.05558142308346389</v>
      </c>
      <c r="S73" s="0" t="n">
        <v>-0.03300134512305867</v>
      </c>
      <c r="T73" s="0" t="n">
        <v>-0.04335530601743978</v>
      </c>
      <c r="U73" s="0" t="n">
        <v>0.005118447899422048</v>
      </c>
      <c r="V73" s="0" t="n">
        <v>0.1109202153320647</v>
      </c>
      <c r="W73" s="0" t="n">
        <v>-0.008271025012833584</v>
      </c>
      <c r="X73" s="0" t="n">
        <v>-0.01457096107219811</v>
      </c>
      <c r="Y73" s="0" t="n">
        <v>0.1354425201190361</v>
      </c>
    </row>
    <row r="74">
      <c r="A74" s="0" t="n">
        <v>0.0004848774370721997</v>
      </c>
      <c r="B74" s="0">
        <f>SUMPRODUCT(C74:Y74,MMULT(C74:Y74,$B$4:$X$26))</f>
        <v/>
      </c>
      <c r="C74" s="0" t="n">
        <v>0.02190431298072293</v>
      </c>
      <c r="D74" s="0" t="n">
        <v>-0.01551753416068259</v>
      </c>
      <c r="E74" s="0" t="n">
        <v>0.197874819379701</v>
      </c>
      <c r="F74" s="0" t="n">
        <v>0.01524266595884724</v>
      </c>
      <c r="G74" s="0" t="n">
        <v>-0.05120342217886096</v>
      </c>
      <c r="H74" s="0" t="n">
        <v>0.07563568936889502</v>
      </c>
      <c r="I74" s="0" t="n">
        <v>0.005618345874003464</v>
      </c>
      <c r="J74" s="0" t="n">
        <v>0.1747716673247214</v>
      </c>
      <c r="K74" s="0" t="n">
        <v>0.226561789349312</v>
      </c>
      <c r="L74" s="0" t="n">
        <v>0.0003093628447895379</v>
      </c>
      <c r="M74" s="0" t="n">
        <v>0.01719299745742383</v>
      </c>
      <c r="N74" s="0" t="n">
        <v>0.2976822653485351</v>
      </c>
      <c r="O74" s="0" t="n">
        <v>-0.04743765409854218</v>
      </c>
      <c r="P74" s="0" t="n">
        <v>0.05060384168544969</v>
      </c>
      <c r="Q74" s="0" t="n">
        <v>-0.05705700074849909</v>
      </c>
      <c r="R74" s="0" t="n">
        <v>-0.05929692702632605</v>
      </c>
      <c r="S74" s="0" t="n">
        <v>-0.03363955042378431</v>
      </c>
      <c r="T74" s="0" t="n">
        <v>-0.04475478889227971</v>
      </c>
      <c r="U74" s="0" t="n">
        <v>0.0071989080561278</v>
      </c>
      <c r="V74" s="0" t="n">
        <v>0.1097797312435106</v>
      </c>
      <c r="W74" s="0" t="n">
        <v>-0.01013124841469388</v>
      </c>
      <c r="X74" s="0" t="n">
        <v>-0.01710919697710204</v>
      </c>
      <c r="Y74" s="0" t="n">
        <v>0.1357709260487312</v>
      </c>
    </row>
    <row r="75">
      <c r="A75" s="0" t="n">
        <v>0.0005228458229060613</v>
      </c>
      <c r="B75" s="0">
        <f>SUMPRODUCT(C75:Y75,MMULT(C75:Y75,$B$4:$X$26))</f>
        <v/>
      </c>
      <c r="C75" s="0" t="n">
        <v>0.02055018267400015</v>
      </c>
      <c r="D75" s="0" t="n">
        <v>-0.01680462017377798</v>
      </c>
      <c r="E75" s="0" t="n">
        <v>0.2014848843808943</v>
      </c>
      <c r="F75" s="0" t="n">
        <v>0.01391180765446238</v>
      </c>
      <c r="G75" s="0" t="n">
        <v>-0.05007112841198399</v>
      </c>
      <c r="H75" s="0" t="n">
        <v>0.07605858556717812</v>
      </c>
      <c r="I75" s="0" t="n">
        <v>0.006846358674459752</v>
      </c>
      <c r="J75" s="0" t="n">
        <v>0.1755438935875232</v>
      </c>
      <c r="K75" s="0" t="n">
        <v>0.2294319388738012</v>
      </c>
      <c r="L75" s="0" t="n">
        <v>0.0001127520614337473</v>
      </c>
      <c r="M75" s="0" t="n">
        <v>0.01851057211718205</v>
      </c>
      <c r="N75" s="0" t="n">
        <v>0.3015217496613945</v>
      </c>
      <c r="O75" s="0" t="n">
        <v>-0.04721813739158605</v>
      </c>
      <c r="P75" s="0" t="n">
        <v>0.04959071540261727</v>
      </c>
      <c r="Q75" s="0" t="n">
        <v>-0.0584041388644377</v>
      </c>
      <c r="R75" s="0" t="n">
        <v>-0.06301243096918829</v>
      </c>
      <c r="S75" s="0" t="n">
        <v>-0.03427775572450985</v>
      </c>
      <c r="T75" s="0" t="n">
        <v>-0.04615427176711964</v>
      </c>
      <c r="U75" s="0" t="n">
        <v>0.009279368212833858</v>
      </c>
      <c r="V75" s="0" t="n">
        <v>0.1086392471549566</v>
      </c>
      <c r="W75" s="0" t="n">
        <v>-0.01199147181655417</v>
      </c>
      <c r="X75" s="0" t="n">
        <v>-0.0196474328820057</v>
      </c>
      <c r="Y75" s="0" t="n">
        <v>0.1360993319784258</v>
      </c>
    </row>
    <row r="76">
      <c r="A76" s="0" t="n">
        <v>0.0005608142087399227</v>
      </c>
      <c r="B76" s="0">
        <f>SUMPRODUCT(C76:Y76,MMULT(C76:Y76,$B$4:$X$26))</f>
        <v/>
      </c>
      <c r="C76" s="0" t="n">
        <v>0.01919605236727744</v>
      </c>
      <c r="D76" s="0" t="n">
        <v>-0.01809170618687334</v>
      </c>
      <c r="E76" s="0" t="n">
        <v>0.2050949493820874</v>
      </c>
      <c r="F76" s="0" t="n">
        <v>0.01258094935007764</v>
      </c>
      <c r="G76" s="0" t="n">
        <v>-0.04893883464510703</v>
      </c>
      <c r="H76" s="0" t="n">
        <v>0.0764814817654612</v>
      </c>
      <c r="I76" s="0" t="n">
        <v>0.008074371474916051</v>
      </c>
      <c r="J76" s="0" t="n">
        <v>0.1763161198503248</v>
      </c>
      <c r="K76" s="0" t="n">
        <v>0.2323020883982903</v>
      </c>
      <c r="L76" s="0" t="n">
        <v>-8.385872192203487e-05</v>
      </c>
      <c r="M76" s="0" t="n">
        <v>0.01982814677694021</v>
      </c>
      <c r="N76" s="0" t="n">
        <v>0.305361233974254</v>
      </c>
      <c r="O76" s="0" t="n">
        <v>-0.04699862068462986</v>
      </c>
      <c r="P76" s="0" t="n">
        <v>0.04857758911978496</v>
      </c>
      <c r="Q76" s="0" t="n">
        <v>-0.05975127698037624</v>
      </c>
      <c r="R76" s="0" t="n">
        <v>-0.06672793491205015</v>
      </c>
      <c r="S76" s="0" t="n">
        <v>-0.03491596102523546</v>
      </c>
      <c r="T76" s="0" t="n">
        <v>-0.04755375464195944</v>
      </c>
      <c r="U76" s="0" t="n">
        <v>0.01135982836953966</v>
      </c>
      <c r="V76" s="0" t="n">
        <v>0.1074987630664026</v>
      </c>
      <c r="W76" s="0" t="n">
        <v>-0.0138516952184142</v>
      </c>
      <c r="X76" s="0" t="n">
        <v>-0.02218566878690953</v>
      </c>
      <c r="Y76" s="0" t="n">
        <v>0.1364277379081208</v>
      </c>
    </row>
    <row r="77">
      <c r="A77" s="0" t="n">
        <v>0.0005987825945737843</v>
      </c>
      <c r="B77" s="0">
        <f>SUMPRODUCT(C77:Y77,MMULT(C77:Y77,$B$4:$X$26))</f>
        <v/>
      </c>
      <c r="C77" s="0" t="n">
        <v>0.01784192206055455</v>
      </c>
      <c r="D77" s="0" t="n">
        <v>-0.01937879219996888</v>
      </c>
      <c r="E77" s="0" t="n">
        <v>0.2087050143832814</v>
      </c>
      <c r="F77" s="0" t="n">
        <v>0.01125009104569268</v>
      </c>
      <c r="G77" s="0" t="n">
        <v>-0.04780654087823039</v>
      </c>
      <c r="H77" s="0" t="n">
        <v>0.07690437796374447</v>
      </c>
      <c r="I77" s="0" t="n">
        <v>0.009302384275372413</v>
      </c>
      <c r="J77" s="0" t="n">
        <v>0.1770883461131267</v>
      </c>
      <c r="K77" s="0" t="n">
        <v>0.2351722379227798</v>
      </c>
      <c r="L77" s="0" t="n">
        <v>-0.0002804695052778429</v>
      </c>
      <c r="M77" s="0" t="n">
        <v>0.02114572143669859</v>
      </c>
      <c r="N77" s="0" t="n">
        <v>0.3092007182871135</v>
      </c>
      <c r="O77" s="0" t="n">
        <v>-0.0467791039776737</v>
      </c>
      <c r="P77" s="0" t="n">
        <v>0.04756446283695237</v>
      </c>
      <c r="Q77" s="0" t="n">
        <v>-0.06109841509631497</v>
      </c>
      <c r="R77" s="0" t="n">
        <v>-0.07044343885491261</v>
      </c>
      <c r="S77" s="0" t="n">
        <v>-0.03555416632596108</v>
      </c>
      <c r="T77" s="0" t="n">
        <v>-0.04895323751679943</v>
      </c>
      <c r="U77" s="0" t="n">
        <v>0.01344028852624587</v>
      </c>
      <c r="V77" s="0" t="n">
        <v>0.1063582789778484</v>
      </c>
      <c r="W77" s="0" t="n">
        <v>-0.01571191862027462</v>
      </c>
      <c r="X77" s="0" t="n">
        <v>-0.02472390469181363</v>
      </c>
      <c r="Y77" s="0" t="n">
        <v>0.1367561438378159</v>
      </c>
    </row>
    <row r="78">
      <c r="A78" s="0" t="n">
        <v>0.0006367509804076459</v>
      </c>
      <c r="B78" s="0">
        <f>SUMPRODUCT(C78:Y78,MMULT(C78:Y78,$B$4:$X$26))</f>
        <v/>
      </c>
      <c r="C78" s="0" t="n">
        <v>0.01648779175383186</v>
      </c>
      <c r="D78" s="0" t="n">
        <v>-0.02066587821306433</v>
      </c>
      <c r="E78" s="0" t="n">
        <v>0.2123150793844747</v>
      </c>
      <c r="F78" s="0" t="n">
        <v>0.009919232741307796</v>
      </c>
      <c r="G78" s="0" t="n">
        <v>-0.04667424711135343</v>
      </c>
      <c r="H78" s="0" t="n">
        <v>0.07732727416202757</v>
      </c>
      <c r="I78" s="0" t="n">
        <v>0.01053039707582873</v>
      </c>
      <c r="J78" s="0" t="n">
        <v>0.1778605723759285</v>
      </c>
      <c r="K78" s="0" t="n">
        <v>0.238042387447269</v>
      </c>
      <c r="L78" s="0" t="n">
        <v>-0.0004770802886336363</v>
      </c>
      <c r="M78" s="0" t="n">
        <v>0.02246329609645682</v>
      </c>
      <c r="N78" s="0" t="n">
        <v>0.3130402025999728</v>
      </c>
      <c r="O78" s="0" t="n">
        <v>-0.04655958727071752</v>
      </c>
      <c r="P78" s="0" t="n">
        <v>0.04655133655411985</v>
      </c>
      <c r="Q78" s="0" t="n">
        <v>-0.06244555321225362</v>
      </c>
      <c r="R78" s="0" t="n">
        <v>-0.07415894279777475</v>
      </c>
      <c r="S78" s="0" t="n">
        <v>-0.03619237162668661</v>
      </c>
      <c r="T78" s="0" t="n">
        <v>-0.05035272039163936</v>
      </c>
      <c r="U78" s="0" t="n">
        <v>0.01552074868295193</v>
      </c>
      <c r="V78" s="0" t="n">
        <v>0.1052177948892944</v>
      </c>
      <c r="W78" s="0" t="n">
        <v>-0.01757214202213484</v>
      </c>
      <c r="X78" s="0" t="n">
        <v>-0.02726214059671728</v>
      </c>
      <c r="Y78" s="0" t="n">
        <v>0.1370845497675109</v>
      </c>
    </row>
    <row r="79">
      <c r="A79" s="0" t="n">
        <v>0.0006747193662415072</v>
      </c>
      <c r="B79" s="0">
        <f>SUMPRODUCT(C79:Y79,MMULT(C79:Y79,$B$4:$X$26))</f>
        <v/>
      </c>
      <c r="C79" s="0" t="n">
        <v>0.01513366144710922</v>
      </c>
      <c r="D79" s="0" t="n">
        <v>-0.02195296422615975</v>
      </c>
      <c r="E79" s="0" t="n">
        <v>0.2159251443856681</v>
      </c>
      <c r="F79" s="0" t="n">
        <v>0.008588374436922914</v>
      </c>
      <c r="G79" s="0" t="n">
        <v>-0.04554195334447624</v>
      </c>
      <c r="H79" s="0" t="n">
        <v>0.07775017036031082</v>
      </c>
      <c r="I79" s="0" t="n">
        <v>0.01175840987628501</v>
      </c>
      <c r="J79" s="0" t="n">
        <v>0.1786327986387302</v>
      </c>
      <c r="K79" s="0" t="n">
        <v>0.2409125369717584</v>
      </c>
      <c r="L79" s="0" t="n">
        <v>-0.0006736910719894339</v>
      </c>
      <c r="M79" s="0" t="n">
        <v>0.02378087075621505</v>
      </c>
      <c r="N79" s="0" t="n">
        <v>0.3168796869128327</v>
      </c>
      <c r="O79" s="0" t="n">
        <v>-0.04634007056376135</v>
      </c>
      <c r="P79" s="0" t="n">
        <v>0.04553821027128731</v>
      </c>
      <c r="Q79" s="0" t="n">
        <v>-0.06379269132819224</v>
      </c>
      <c r="R79" s="0" t="n">
        <v>-0.07787444674063697</v>
      </c>
      <c r="S79" s="0" t="n">
        <v>-0.03683057692741226</v>
      </c>
      <c r="T79" s="0" t="n">
        <v>-0.05175220326647932</v>
      </c>
      <c r="U79" s="0" t="n">
        <v>0.01760120883965801</v>
      </c>
      <c r="V79" s="0" t="n">
        <v>0.1040773108007403</v>
      </c>
      <c r="W79" s="0" t="n">
        <v>-0.0194323654239951</v>
      </c>
      <c r="X79" s="0" t="n">
        <v>-0.029800376501621</v>
      </c>
      <c r="Y79" s="0" t="n">
        <v>0.137412955697206</v>
      </c>
    </row>
    <row r="80">
      <c r="A80" s="0" t="n">
        <v>0.0007126877520753688</v>
      </c>
      <c r="B80" s="0">
        <f>SUMPRODUCT(C80:Y80,MMULT(C80:Y80,$B$4:$X$26))</f>
        <v/>
      </c>
      <c r="C80" s="0" t="n">
        <v>0.0137795311403864</v>
      </c>
      <c r="D80" s="0" t="n">
        <v>-0.02324005023925519</v>
      </c>
      <c r="E80" s="0" t="n">
        <v>0.2195352093868619</v>
      </c>
      <c r="F80" s="0" t="n">
        <v>0.007257516132538091</v>
      </c>
      <c r="G80" s="0" t="n">
        <v>-0.0444096595775996</v>
      </c>
      <c r="H80" s="0" t="n">
        <v>0.07817306655859388</v>
      </c>
      <c r="I80" s="0" t="n">
        <v>0.01298642267674142</v>
      </c>
      <c r="J80" s="0" t="n">
        <v>0.179405024901532</v>
      </c>
      <c r="K80" s="0" t="n">
        <v>0.2437826864962476</v>
      </c>
      <c r="L80" s="0" t="n">
        <v>-0.000870301855345223</v>
      </c>
      <c r="M80" s="0" t="n">
        <v>0.0250984454159733</v>
      </c>
      <c r="N80" s="0" t="n">
        <v>0.3207191712256921</v>
      </c>
      <c r="O80" s="0" t="n">
        <v>-0.04612055385680519</v>
      </c>
      <c r="P80" s="0" t="n">
        <v>0.04452508398845482</v>
      </c>
      <c r="Q80" s="0" t="n">
        <v>-0.0651398294441309</v>
      </c>
      <c r="R80" s="0" t="n">
        <v>-0.08158995068349909</v>
      </c>
      <c r="S80" s="0" t="n">
        <v>-0.03746878222813786</v>
      </c>
      <c r="T80" s="0" t="n">
        <v>-0.05315168614131923</v>
      </c>
      <c r="U80" s="0" t="n">
        <v>0.01968166899636387</v>
      </c>
      <c r="V80" s="0" t="n">
        <v>0.1029368267121861</v>
      </c>
      <c r="W80" s="0" t="n">
        <v>-0.02129258882585533</v>
      </c>
      <c r="X80" s="0" t="n">
        <v>-0.03233861240652477</v>
      </c>
      <c r="Y80" s="0" t="n">
        <v>0.1377413616269011</v>
      </c>
    </row>
    <row r="81">
      <c r="A81" s="0" t="n">
        <v>0.0007506561379092302</v>
      </c>
      <c r="B81" s="0">
        <f>SUMPRODUCT(C81:Y81,MMULT(C81:Y81,$B$4:$X$26))</f>
        <v/>
      </c>
      <c r="C81" s="0" t="n">
        <v>0.01242540083366353</v>
      </c>
      <c r="D81" s="0" t="n">
        <v>-0.02452713625235071</v>
      </c>
      <c r="E81" s="0" t="n">
        <v>0.2231452743880554</v>
      </c>
      <c r="F81" s="0" t="n">
        <v>0.005926657828153126</v>
      </c>
      <c r="G81" s="0" t="n">
        <v>-0.04327736581072286</v>
      </c>
      <c r="H81" s="0" t="n">
        <v>0.07859596275687721</v>
      </c>
      <c r="I81" s="0" t="n">
        <v>0.0142144354771978</v>
      </c>
      <c r="J81" s="0" t="n">
        <v>0.1801772511643338</v>
      </c>
      <c r="K81" s="0" t="n">
        <v>0.246652836020737</v>
      </c>
      <c r="L81" s="0" t="n">
        <v>-0.001066912638701032</v>
      </c>
      <c r="M81" s="0" t="n">
        <v>0.02641602007573164</v>
      </c>
      <c r="N81" s="0" t="n">
        <v>0.324558655538552</v>
      </c>
      <c r="O81" s="0" t="n">
        <v>-0.04590103714984901</v>
      </c>
      <c r="P81" s="0" t="n">
        <v>0.04351195770562233</v>
      </c>
      <c r="Q81" s="0" t="n">
        <v>-0.06648696756006958</v>
      </c>
      <c r="R81" s="0" t="n">
        <v>-0.08530545462636158</v>
      </c>
      <c r="S81" s="0" t="n">
        <v>-0.03810698752886346</v>
      </c>
      <c r="T81" s="0" t="n">
        <v>-0.05455116901615921</v>
      </c>
      <c r="U81" s="0" t="n">
        <v>0.02176212915306984</v>
      </c>
      <c r="V81" s="0" t="n">
        <v>0.1017963426236319</v>
      </c>
      <c r="W81" s="0" t="n">
        <v>-0.02315281222771575</v>
      </c>
      <c r="X81" s="0" t="n">
        <v>-0.03487684831142898</v>
      </c>
      <c r="Y81" s="0" t="n">
        <v>0.1380697675565961</v>
      </c>
    </row>
    <row r="82">
      <c r="A82" s="0" t="n">
        <v>0.0007886245237430918</v>
      </c>
      <c r="B82" s="0">
        <f>SUMPRODUCT(C82:Y82,MMULT(C82:Y82,$B$4:$X$26))</f>
        <v/>
      </c>
      <c r="C82" s="0" t="n">
        <v>0.01107127052694085</v>
      </c>
      <c r="D82" s="0" t="n">
        <v>-0.02581422226544603</v>
      </c>
      <c r="E82" s="0" t="n">
        <v>0.2267553393892485</v>
      </c>
      <c r="F82" s="0" t="n">
        <v>0.004595799523768327</v>
      </c>
      <c r="G82" s="0" t="n">
        <v>-0.04214507204384589</v>
      </c>
      <c r="H82" s="0" t="n">
        <v>0.07901885895516023</v>
      </c>
      <c r="I82" s="0" t="n">
        <v>0.01544244827765402</v>
      </c>
      <c r="J82" s="0" t="n">
        <v>0.1809494774271355</v>
      </c>
      <c r="K82" s="0" t="n">
        <v>0.2495229855452263</v>
      </c>
      <c r="L82" s="0" t="n">
        <v>-0.00126352342205681</v>
      </c>
      <c r="M82" s="0" t="n">
        <v>0.02773359473548984</v>
      </c>
      <c r="N82" s="0" t="n">
        <v>0.3283981398514111</v>
      </c>
      <c r="O82" s="0" t="n">
        <v>-0.04568152044289286</v>
      </c>
      <c r="P82" s="0" t="n">
        <v>0.04249883142278995</v>
      </c>
      <c r="Q82" s="0" t="n">
        <v>-0.06783410567600816</v>
      </c>
      <c r="R82" s="0" t="n">
        <v>-0.08902095856922346</v>
      </c>
      <c r="S82" s="0" t="n">
        <v>-0.03874519282958902</v>
      </c>
      <c r="T82" s="0" t="n">
        <v>-0.05595065189099908</v>
      </c>
      <c r="U82" s="0" t="n">
        <v>0.02384258930977574</v>
      </c>
      <c r="V82" s="0" t="n">
        <v>0.100655858535078</v>
      </c>
      <c r="W82" s="0" t="n">
        <v>-0.02501303562957581</v>
      </c>
      <c r="X82" s="0" t="n">
        <v>-0.03741508421633259</v>
      </c>
      <c r="Y82" s="0" t="n">
        <v>0.1383981734862912</v>
      </c>
    </row>
    <row r="83">
      <c r="A83" s="0" t="n">
        <v>0.0008265929095769532</v>
      </c>
      <c r="B83" s="0">
        <f>SUMPRODUCT(C83:Y83,MMULT(C83:Y83,$B$4:$X$26))</f>
        <v/>
      </c>
      <c r="C83" s="0" t="n">
        <v>0.009717140220218193</v>
      </c>
      <c r="D83" s="0" t="n">
        <v>-0.02710130827854148</v>
      </c>
      <c r="E83" s="0" t="n">
        <v>0.2303654043904421</v>
      </c>
      <c r="F83" s="0" t="n">
        <v>0.003264941219383532</v>
      </c>
      <c r="G83" s="0" t="n">
        <v>-0.0410127782769687</v>
      </c>
      <c r="H83" s="0" t="n">
        <v>0.07944175515344341</v>
      </c>
      <c r="I83" s="0" t="n">
        <v>0.01667046107811037</v>
      </c>
      <c r="J83" s="0" t="n">
        <v>0.1817217036899374</v>
      </c>
      <c r="K83" s="0" t="n">
        <v>0.2523931350697156</v>
      </c>
      <c r="L83" s="0" t="n">
        <v>-0.001460134205412605</v>
      </c>
      <c r="M83" s="0" t="n">
        <v>0.02905116939524799</v>
      </c>
      <c r="N83" s="0" t="n">
        <v>0.3322376241642707</v>
      </c>
      <c r="O83" s="0" t="n">
        <v>-0.04546200373593668</v>
      </c>
      <c r="P83" s="0" t="n">
        <v>0.04148570513995747</v>
      </c>
      <c r="Q83" s="0" t="n">
        <v>-0.06918124379194676</v>
      </c>
      <c r="R83" s="0" t="n">
        <v>-0.09273646251208567</v>
      </c>
      <c r="S83" s="0" t="n">
        <v>-0.03938339813031462</v>
      </c>
      <c r="T83" s="0" t="n">
        <v>-0.05735013476583902</v>
      </c>
      <c r="U83" s="0" t="n">
        <v>0.02592304946648161</v>
      </c>
      <c r="V83" s="0" t="n">
        <v>0.09951537444652386</v>
      </c>
      <c r="W83" s="0" t="n">
        <v>-0.02687325903143613</v>
      </c>
      <c r="X83" s="0" t="n">
        <v>-0.03995332012123647</v>
      </c>
      <c r="Y83" s="0" t="n">
        <v>0.1387265794159865</v>
      </c>
    </row>
    <row r="84">
      <c r="A84" s="0" t="n">
        <v>0.0008645612954108148</v>
      </c>
      <c r="B84" s="0">
        <f>SUMPRODUCT(C84:Y84,MMULT(C84:Y84,$B$4:$X$26))</f>
        <v/>
      </c>
      <c r="C84" s="0" t="n">
        <v>0.008363009913495444</v>
      </c>
      <c r="D84" s="0" t="n">
        <v>-0.02838839429163691</v>
      </c>
      <c r="E84" s="0" t="n">
        <v>0.233975469391636</v>
      </c>
      <c r="F84" s="0" t="n">
        <v>0.001934082914998663</v>
      </c>
      <c r="G84" s="0" t="n">
        <v>-0.03988048451009229</v>
      </c>
      <c r="H84" s="0" t="n">
        <v>0.07986465135172655</v>
      </c>
      <c r="I84" s="0" t="n">
        <v>0.01789847387856673</v>
      </c>
      <c r="J84" s="0" t="n">
        <v>0.1824939299527391</v>
      </c>
      <c r="K84" s="0" t="n">
        <v>0.2552632845942047</v>
      </c>
      <c r="L84" s="0" t="n">
        <v>-0.001656744988768399</v>
      </c>
      <c r="M84" s="0" t="n">
        <v>0.03036874405500626</v>
      </c>
      <c r="N84" s="0" t="n">
        <v>0.3360771084771304</v>
      </c>
      <c r="O84" s="0" t="n">
        <v>-0.0452424870289805</v>
      </c>
      <c r="P84" s="0" t="n">
        <v>0.04047257885712493</v>
      </c>
      <c r="Q84" s="0" t="n">
        <v>-0.07052838190788541</v>
      </c>
      <c r="R84" s="0" t="n">
        <v>-0.0964519664549479</v>
      </c>
      <c r="S84" s="0" t="n">
        <v>-0.04002160343104022</v>
      </c>
      <c r="T84" s="0" t="n">
        <v>-0.05874961764067887</v>
      </c>
      <c r="U84" s="0" t="n">
        <v>0.02800350962318778</v>
      </c>
      <c r="V84" s="0" t="n">
        <v>0.09837489035796979</v>
      </c>
      <c r="W84" s="0" t="n">
        <v>-0.02873348243329637</v>
      </c>
      <c r="X84" s="0" t="n">
        <v>-0.04249155602614035</v>
      </c>
      <c r="Y84" s="0" t="n">
        <v>0.1390549853456813</v>
      </c>
    </row>
    <row r="85">
      <c r="A85" s="0" t="n">
        <v>0.0009025296812446761</v>
      </c>
      <c r="B85" s="0">
        <f>SUMPRODUCT(C85:Y85,MMULT(C85:Y85,$B$4:$X$26))</f>
        <v/>
      </c>
      <c r="C85" s="0" t="n">
        <v>0.007008879606772551</v>
      </c>
      <c r="D85" s="0" t="n">
        <v>-0.02967548030473244</v>
      </c>
      <c r="E85" s="0" t="n">
        <v>0.2375855343928296</v>
      </c>
      <c r="F85" s="0" t="n">
        <v>0.0006032246106137117</v>
      </c>
      <c r="G85" s="0" t="n">
        <v>-0.03874819074321544</v>
      </c>
      <c r="H85" s="0" t="n">
        <v>0.08028754755000976</v>
      </c>
      <c r="I85" s="0" t="n">
        <v>0.01912648667902314</v>
      </c>
      <c r="J85" s="0" t="n">
        <v>0.1832661562155409</v>
      </c>
      <c r="K85" s="0" t="n">
        <v>0.2581334341186942</v>
      </c>
      <c r="L85" s="0" t="n">
        <v>-0.001853355772124211</v>
      </c>
      <c r="M85" s="0" t="n">
        <v>0.03168631871476461</v>
      </c>
      <c r="N85" s="0" t="n">
        <v>0.3399165927899898</v>
      </c>
      <c r="O85" s="0" t="n">
        <v>-0.04502297032202435</v>
      </c>
      <c r="P85" s="0" t="n">
        <v>0.03945945257429244</v>
      </c>
      <c r="Q85" s="0" t="n">
        <v>-0.07187552002382415</v>
      </c>
      <c r="R85" s="0" t="n">
        <v>-0.1001674703978102</v>
      </c>
      <c r="S85" s="0" t="n">
        <v>-0.04065980873176581</v>
      </c>
      <c r="T85" s="0" t="n">
        <v>-0.06014910051551893</v>
      </c>
      <c r="U85" s="0" t="n">
        <v>0.03008396977989402</v>
      </c>
      <c r="V85" s="0" t="n">
        <v>0.09723440626941564</v>
      </c>
      <c r="W85" s="0" t="n">
        <v>-0.03059370583515677</v>
      </c>
      <c r="X85" s="0" t="n">
        <v>-0.04502979193104434</v>
      </c>
      <c r="Y85" s="0" t="n">
        <v>0.1393833912753761</v>
      </c>
    </row>
    <row r="86">
      <c r="A86" s="0" t="n">
        <v>0.0009404980670785377</v>
      </c>
      <c r="B86" s="0">
        <f>SUMPRODUCT(C86:Y86,MMULT(C86:Y86,$B$4:$X$26))</f>
        <v/>
      </c>
      <c r="C86" s="0" t="n">
        <v>0.005654749300049805</v>
      </c>
      <c r="D86" s="0" t="n">
        <v>-0.03096256631782785</v>
      </c>
      <c r="E86" s="0" t="n">
        <v>0.2411955993940231</v>
      </c>
      <c r="F86" s="0" t="n">
        <v>-0.0007276336937711567</v>
      </c>
      <c r="G86" s="0" t="n">
        <v>-0.03761589697633858</v>
      </c>
      <c r="H86" s="0" t="n">
        <v>0.08071044374829292</v>
      </c>
      <c r="I86" s="0" t="n">
        <v>0.0203544994794794</v>
      </c>
      <c r="J86" s="0" t="n">
        <v>0.1840383824783427</v>
      </c>
      <c r="K86" s="0" t="n">
        <v>0.2610035836431835</v>
      </c>
      <c r="L86" s="0" t="n">
        <v>-0.002049966555480001</v>
      </c>
      <c r="M86" s="0" t="n">
        <v>0.03300389337452288</v>
      </c>
      <c r="N86" s="0" t="n">
        <v>0.3437560771028494</v>
      </c>
      <c r="O86" s="0" t="n">
        <v>-0.04480345361506816</v>
      </c>
      <c r="P86" s="0" t="n">
        <v>0.03844632629145987</v>
      </c>
      <c r="Q86" s="0" t="n">
        <v>-0.07322265813976278</v>
      </c>
      <c r="R86" s="0" t="n">
        <v>-0.1038829743406725</v>
      </c>
      <c r="S86" s="0" t="n">
        <v>-0.04129801403249141</v>
      </c>
      <c r="T86" s="0" t="n">
        <v>-0.06154858339035887</v>
      </c>
      <c r="U86" s="0" t="n">
        <v>0.03216442993659973</v>
      </c>
      <c r="V86" s="0" t="n">
        <v>0.09609392218086159</v>
      </c>
      <c r="W86" s="0" t="n">
        <v>-0.03245392923701689</v>
      </c>
      <c r="X86" s="0" t="n">
        <v>-0.04756802783594816</v>
      </c>
      <c r="Y86" s="0" t="n">
        <v>0.1397117972050712</v>
      </c>
    </row>
    <row r="87">
      <c r="A87" s="0" t="n">
        <v>0.0009784664529123991</v>
      </c>
      <c r="B87" s="0">
        <f>SUMPRODUCT(C87:Y87,MMULT(C87:Y87,$B$4:$X$26))</f>
        <v/>
      </c>
      <c r="C87" s="0" t="n">
        <v>0.004300618993327148</v>
      </c>
      <c r="D87" s="0" t="n">
        <v>-0.03224965233092322</v>
      </c>
      <c r="E87" s="0" t="n">
        <v>0.2448056643952163</v>
      </c>
      <c r="F87" s="0" t="n">
        <v>-0.002058491998155924</v>
      </c>
      <c r="G87" s="0" t="n">
        <v>-0.0364836032094615</v>
      </c>
      <c r="H87" s="0" t="n">
        <v>0.08113333994657612</v>
      </c>
      <c r="I87" s="0" t="n">
        <v>0.02158251227993572</v>
      </c>
      <c r="J87" s="0" t="n">
        <v>0.1848106087411444</v>
      </c>
      <c r="K87" s="0" t="n">
        <v>0.2638737331676726</v>
      </c>
      <c r="L87" s="0" t="n">
        <v>-0.002246577338835783</v>
      </c>
      <c r="M87" s="0" t="n">
        <v>0.03432146803428102</v>
      </c>
      <c r="N87" s="0" t="n">
        <v>0.3475955614157086</v>
      </c>
      <c r="O87" s="0" t="n">
        <v>-0.04458393690811202</v>
      </c>
      <c r="P87" s="0" t="n">
        <v>0.03743320000862759</v>
      </c>
      <c r="Q87" s="0" t="n">
        <v>-0.0745697962557013</v>
      </c>
      <c r="R87" s="0" t="n">
        <v>-0.1075984782835344</v>
      </c>
      <c r="S87" s="0" t="n">
        <v>-0.04193621933321701</v>
      </c>
      <c r="T87" s="0" t="n">
        <v>-0.06294806626519868</v>
      </c>
      <c r="U87" s="0" t="n">
        <v>0.03424489009330567</v>
      </c>
      <c r="V87" s="0" t="n">
        <v>0.09495343809230757</v>
      </c>
      <c r="W87" s="0" t="n">
        <v>-0.03431415263887703</v>
      </c>
      <c r="X87" s="0" t="n">
        <v>-0.05010626374085177</v>
      </c>
      <c r="Y87" s="0" t="n">
        <v>0.1400402031347662</v>
      </c>
    </row>
    <row r="88">
      <c r="A88" s="0" t="n">
        <v>0.001016434838746261</v>
      </c>
      <c r="B88" s="0">
        <f>SUMPRODUCT(C88:Y88,MMULT(C88:Y88,$B$4:$X$26))</f>
        <v/>
      </c>
      <c r="C88" s="0" t="n">
        <v>0.002946488686604322</v>
      </c>
      <c r="D88" s="0" t="n">
        <v>-0.03353673834401864</v>
      </c>
      <c r="E88" s="0" t="n">
        <v>0.2484157293964096</v>
      </c>
      <c r="F88" s="0" t="n">
        <v>-0.003389350302540779</v>
      </c>
      <c r="G88" s="0" t="n">
        <v>-0.03535130944258487</v>
      </c>
      <c r="H88" s="0" t="n">
        <v>0.0815562361448592</v>
      </c>
      <c r="I88" s="0" t="n">
        <v>0.02281052508039192</v>
      </c>
      <c r="J88" s="0" t="n">
        <v>0.1855828350039462</v>
      </c>
      <c r="K88" s="0" t="n">
        <v>0.2667438826921619</v>
      </c>
      <c r="L88" s="0" t="n">
        <v>-0.002443188122191576</v>
      </c>
      <c r="M88" s="0" t="n">
        <v>0.0356390426940393</v>
      </c>
      <c r="N88" s="0" t="n">
        <v>0.3514350457285679</v>
      </c>
      <c r="O88" s="0" t="n">
        <v>-0.04436442020115586</v>
      </c>
      <c r="P88" s="0" t="n">
        <v>0.036420073725795</v>
      </c>
      <c r="Q88" s="0" t="n">
        <v>-0.07591693437163996</v>
      </c>
      <c r="R88" s="0" t="n">
        <v>-0.1113139822263964</v>
      </c>
      <c r="S88" s="0" t="n">
        <v>-0.04257442463394256</v>
      </c>
      <c r="T88" s="0" t="n">
        <v>-0.06434754914003861</v>
      </c>
      <c r="U88" s="0" t="n">
        <v>0.03632535025001171</v>
      </c>
      <c r="V88" s="0" t="n">
        <v>0.09381295400375347</v>
      </c>
      <c r="W88" s="0" t="n">
        <v>-0.03617437604073728</v>
      </c>
      <c r="X88" s="0" t="n">
        <v>-0.05264449964575581</v>
      </c>
      <c r="Y88" s="0" t="n">
        <v>0.1403686090644611</v>
      </c>
    </row>
    <row r="89">
      <c r="A89" s="0" t="n">
        <v>0.001054403224580122</v>
      </c>
      <c r="B89" s="0">
        <f>SUMPRODUCT(C89:Y89,MMULT(C89:Y89,$B$4:$X$26))</f>
        <v/>
      </c>
      <c r="C89" s="0" t="n">
        <v>0.001592358379881777</v>
      </c>
      <c r="D89" s="0" t="n">
        <v>-0.03482382435711408</v>
      </c>
      <c r="E89" s="0" t="n">
        <v>0.2520257943976035</v>
      </c>
      <c r="F89" s="0" t="n">
        <v>-0.004720208606925633</v>
      </c>
      <c r="G89" s="0" t="n">
        <v>-0.03421901567570834</v>
      </c>
      <c r="H89" s="0" t="n">
        <v>0.08197913234314244</v>
      </c>
      <c r="I89" s="0" t="n">
        <v>0.02403853788084825</v>
      </c>
      <c r="J89" s="0" t="n">
        <v>0.186355061266748</v>
      </c>
      <c r="K89" s="0" t="n">
        <v>0.2696140322166511</v>
      </c>
      <c r="L89" s="0" t="n">
        <v>-0.002639798905547371</v>
      </c>
      <c r="M89" s="0" t="n">
        <v>0.03695661735379754</v>
      </c>
      <c r="N89" s="0" t="n">
        <v>0.3552745300414274</v>
      </c>
      <c r="O89" s="0" t="n">
        <v>-0.04414490349419965</v>
      </c>
      <c r="P89" s="0" t="n">
        <v>0.03540694744296252</v>
      </c>
      <c r="Q89" s="0" t="n">
        <v>-0.07726407248757858</v>
      </c>
      <c r="R89" s="0" t="n">
        <v>-0.1150294861692587</v>
      </c>
      <c r="S89" s="0" t="n">
        <v>-0.0432126299346681</v>
      </c>
      <c r="T89" s="0" t="n">
        <v>-0.06574703201487853</v>
      </c>
      <c r="U89" s="0" t="n">
        <v>0.03840581040671745</v>
      </c>
      <c r="V89" s="0" t="n">
        <v>0.09267246991519941</v>
      </c>
      <c r="W89" s="0" t="n">
        <v>-0.03803459944259757</v>
      </c>
      <c r="X89" s="0" t="n">
        <v>-0.05518273555065952</v>
      </c>
      <c r="Y89" s="0" t="n">
        <v>0.1406970149941561</v>
      </c>
    </row>
    <row r="90">
      <c r="A90" s="0" t="n">
        <v>0.001092371610413984</v>
      </c>
      <c r="B90" s="0">
        <f>SUMPRODUCT(C90:Y90,MMULT(C90:Y90,$B$4:$X$26))</f>
        <v/>
      </c>
      <c r="C90" s="0" t="n">
        <v>0.0002382280731587073</v>
      </c>
      <c r="D90" s="0" t="n">
        <v>-0.0361109103702096</v>
      </c>
      <c r="E90" s="0" t="n">
        <v>0.2556358593987971</v>
      </c>
      <c r="F90" s="0" t="n">
        <v>-0.006051066911310612</v>
      </c>
      <c r="G90" s="0" t="n">
        <v>-0.03308672190883126</v>
      </c>
      <c r="H90" s="0" t="n">
        <v>0.08240202854142568</v>
      </c>
      <c r="I90" s="0" t="n">
        <v>0.02526655068130472</v>
      </c>
      <c r="J90" s="0" t="n">
        <v>0.1871272875295499</v>
      </c>
      <c r="K90" s="0" t="n">
        <v>0.2724841817411406</v>
      </c>
      <c r="L90" s="0" t="n">
        <v>-0.002836409688903177</v>
      </c>
      <c r="M90" s="0" t="n">
        <v>0.03827419201355588</v>
      </c>
      <c r="N90" s="0" t="n">
        <v>0.3591140143542875</v>
      </c>
      <c r="O90" s="0" t="n">
        <v>-0.04392538678724349</v>
      </c>
      <c r="P90" s="0" t="n">
        <v>0.03439382116012999</v>
      </c>
      <c r="Q90" s="0" t="n">
        <v>-0.07861121060351733</v>
      </c>
      <c r="R90" s="0" t="n">
        <v>-0.1187449901121212</v>
      </c>
      <c r="S90" s="0" t="n">
        <v>-0.04385083523539381</v>
      </c>
      <c r="T90" s="0" t="n">
        <v>-0.06714651488971859</v>
      </c>
      <c r="U90" s="0" t="n">
        <v>0.0404862705634239</v>
      </c>
      <c r="V90" s="0" t="n">
        <v>0.09153198582664521</v>
      </c>
      <c r="W90" s="0" t="n">
        <v>-0.03989482284445785</v>
      </c>
      <c r="X90" s="0" t="n">
        <v>-0.0577209714555636</v>
      </c>
      <c r="Y90" s="0" t="n">
        <v>0.1410254209238512</v>
      </c>
    </row>
    <row r="91">
      <c r="A91" s="0" t="n">
        <v>0.001130339996247845</v>
      </c>
      <c r="B91" s="0">
        <f>SUMPRODUCT(C91:Y91,MMULT(C91:Y91,$B$4:$X$26))</f>
        <v/>
      </c>
      <c r="C91" s="0" t="n">
        <v>-0.001115902233564036</v>
      </c>
      <c r="D91" s="0" t="n">
        <v>-0.03739799638330504</v>
      </c>
      <c r="E91" s="0" t="n">
        <v>0.2592459243999907</v>
      </c>
      <c r="F91" s="0" t="n">
        <v>-0.007381925215695504</v>
      </c>
      <c r="G91" s="0" t="n">
        <v>-0.03195442814195452</v>
      </c>
      <c r="H91" s="0" t="n">
        <v>0.08282492473970875</v>
      </c>
      <c r="I91" s="0" t="n">
        <v>0.02649456348176108</v>
      </c>
      <c r="J91" s="0" t="n">
        <v>0.1878995137923516</v>
      </c>
      <c r="K91" s="0" t="n">
        <v>0.2753543312656299</v>
      </c>
      <c r="L91" s="0" t="n">
        <v>-0.00303302047225897</v>
      </c>
      <c r="M91" s="0" t="n">
        <v>0.03959176667331412</v>
      </c>
      <c r="N91" s="0" t="n">
        <v>0.3629534986671469</v>
      </c>
      <c r="O91" s="0" t="n">
        <v>-0.04370587008028732</v>
      </c>
      <c r="P91" s="0" t="n">
        <v>0.03338069487729751</v>
      </c>
      <c r="Q91" s="0" t="n">
        <v>-0.07995834871945597</v>
      </c>
      <c r="R91" s="0" t="n">
        <v>-0.1224604940549834</v>
      </c>
      <c r="S91" s="0" t="n">
        <v>-0.04448904053611936</v>
      </c>
      <c r="T91" s="0" t="n">
        <v>-0.06854599776455851</v>
      </c>
      <c r="U91" s="0" t="n">
        <v>0.04256673072012988</v>
      </c>
      <c r="V91" s="0" t="n">
        <v>0.09039150173809107</v>
      </c>
      <c r="W91" s="0" t="n">
        <v>-0.0417550462463182</v>
      </c>
      <c r="X91" s="0" t="n">
        <v>-0.06025920736046748</v>
      </c>
      <c r="Y91" s="0" t="n">
        <v>0.1413538268535465</v>
      </c>
    </row>
    <row r="92">
      <c r="A92" s="0" t="n">
        <v>0.001168308382081707</v>
      </c>
      <c r="B92" s="0">
        <f>SUMPRODUCT(C92:Y92,MMULT(C92:Y92,$B$4:$X$26))</f>
        <v/>
      </c>
      <c r="C92" s="0" t="n">
        <v>-0.002470032540286606</v>
      </c>
      <c r="D92" s="0" t="n">
        <v>-0.03868508239640038</v>
      </c>
      <c r="E92" s="0" t="n">
        <v>0.2628559894011835</v>
      </c>
      <c r="F92" s="0" t="n">
        <v>-0.008712783520080262</v>
      </c>
      <c r="G92" s="0" t="n">
        <v>-0.03082213437507778</v>
      </c>
      <c r="H92" s="0" t="n">
        <v>0.08324782093799202</v>
      </c>
      <c r="I92" s="0" t="n">
        <v>0.02772257628221727</v>
      </c>
      <c r="J92" s="0" t="n">
        <v>0.1886717400551533</v>
      </c>
      <c r="K92" s="0" t="n">
        <v>0.278224480790119</v>
      </c>
      <c r="L92" s="0" t="n">
        <v>-0.003229631255614751</v>
      </c>
      <c r="M92" s="0" t="n">
        <v>0.04090934133307225</v>
      </c>
      <c r="N92" s="0" t="n">
        <v>0.3667929829800061</v>
      </c>
      <c r="O92" s="0" t="n">
        <v>-0.04348635337333117</v>
      </c>
      <c r="P92" s="0" t="n">
        <v>0.03236756859446514</v>
      </c>
      <c r="Q92" s="0" t="n">
        <v>-0.08130548683539449</v>
      </c>
      <c r="R92" s="0" t="n">
        <v>-0.1261759979978452</v>
      </c>
      <c r="S92" s="0" t="n">
        <v>-0.04512724583684496</v>
      </c>
      <c r="T92" s="0" t="n">
        <v>-0.06994548063939832</v>
      </c>
      <c r="U92" s="0" t="n">
        <v>0.04464719087683556</v>
      </c>
      <c r="V92" s="0" t="n">
        <v>0.08925101764953709</v>
      </c>
      <c r="W92" s="0" t="n">
        <v>-0.04361526964817834</v>
      </c>
      <c r="X92" s="0" t="n">
        <v>-0.06279744326537097</v>
      </c>
      <c r="Y92" s="0" t="n">
        <v>0.1416822327832411</v>
      </c>
    </row>
    <row r="93">
      <c r="A93" s="0" t="n">
        <v>0.001206276767915568</v>
      </c>
      <c r="B93" s="0">
        <f>SUMPRODUCT(C93:Y93,MMULT(C93:Y93,$B$4:$X$26))</f>
        <v/>
      </c>
      <c r="C93" s="0" t="n">
        <v>-0.003824162847009411</v>
      </c>
      <c r="D93" s="0" t="n">
        <v>-0.03997216840949579</v>
      </c>
      <c r="E93" s="0" t="n">
        <v>0.2664660544023773</v>
      </c>
      <c r="F93" s="0" t="n">
        <v>-0.0100436418244651</v>
      </c>
      <c r="G93" s="0" t="n">
        <v>-0.02968984060820092</v>
      </c>
      <c r="H93" s="0" t="n">
        <v>0.08367071713627509</v>
      </c>
      <c r="I93" s="0" t="n">
        <v>0.02895058908267357</v>
      </c>
      <c r="J93" s="0" t="n">
        <v>0.1894439663179551</v>
      </c>
      <c r="K93" s="0" t="n">
        <v>0.2810946303146082</v>
      </c>
      <c r="L93" s="0" t="n">
        <v>-0.003426242038970539</v>
      </c>
      <c r="M93" s="0" t="n">
        <v>0.04222691599283048</v>
      </c>
      <c r="N93" s="0" t="n">
        <v>0.3706324672928656</v>
      </c>
      <c r="O93" s="0" t="n">
        <v>-0.04326683666637499</v>
      </c>
      <c r="P93" s="0" t="n">
        <v>0.03135444231163265</v>
      </c>
      <c r="Q93" s="0" t="n">
        <v>-0.08265262495133312</v>
      </c>
      <c r="R93" s="0" t="n">
        <v>-0.1298915019407074</v>
      </c>
      <c r="S93" s="0" t="n">
        <v>-0.04576545113757056</v>
      </c>
      <c r="T93" s="0" t="n">
        <v>-0.07134496351423816</v>
      </c>
      <c r="U93" s="0" t="n">
        <v>0.0467276510335416</v>
      </c>
      <c r="V93" s="0" t="n">
        <v>0.0881105335609831</v>
      </c>
      <c r="W93" s="0" t="n">
        <v>-0.04547549305003853</v>
      </c>
      <c r="X93" s="0" t="n">
        <v>-0.06533567917027468</v>
      </c>
      <c r="Y93" s="0" t="n">
        <v>0.1420106387129361</v>
      </c>
    </row>
    <row r="94">
      <c r="A94" s="0" t="n">
        <v>0.00124424515374943</v>
      </c>
      <c r="B94" s="0">
        <f>SUMPRODUCT(C94:Y94,MMULT(C94:Y94,$B$4:$X$26))</f>
        <v/>
      </c>
      <c r="C94" s="0" t="n">
        <v>-0.005178293153732148</v>
      </c>
      <c r="D94" s="0" t="n">
        <v>-0.04125925442259119</v>
      </c>
      <c r="E94" s="0" t="n">
        <v>0.2700761194035704</v>
      </c>
      <c r="F94" s="0" t="n">
        <v>-0.01137450012885001</v>
      </c>
      <c r="G94" s="0" t="n">
        <v>-0.02855754684132407</v>
      </c>
      <c r="H94" s="0" t="n">
        <v>0.08409361333455817</v>
      </c>
      <c r="I94" s="0" t="n">
        <v>0.03017860188312993</v>
      </c>
      <c r="J94" s="0" t="n">
        <v>0.1902161925807568</v>
      </c>
      <c r="K94" s="0" t="n">
        <v>0.2839647798390975</v>
      </c>
      <c r="L94" s="0" t="n">
        <v>-0.003622852822326334</v>
      </c>
      <c r="M94" s="0" t="n">
        <v>0.04354449065258869</v>
      </c>
      <c r="N94" s="0" t="n">
        <v>0.3744719516057251</v>
      </c>
      <c r="O94" s="0" t="n">
        <v>-0.0430473199594188</v>
      </c>
      <c r="P94" s="0" t="n">
        <v>0.03034131602880013</v>
      </c>
      <c r="Q94" s="0" t="n">
        <v>-0.08399976306727175</v>
      </c>
      <c r="R94" s="0" t="n">
        <v>-0.1336070058835695</v>
      </c>
      <c r="S94" s="0" t="n">
        <v>-0.04640365643829616</v>
      </c>
      <c r="T94" s="0" t="n">
        <v>-0.07274444638907811</v>
      </c>
      <c r="U94" s="0" t="n">
        <v>0.04880811119024746</v>
      </c>
      <c r="V94" s="0" t="n">
        <v>0.08697004947242905</v>
      </c>
      <c r="W94" s="0" t="n">
        <v>-0.04733571645189873</v>
      </c>
      <c r="X94" s="0" t="n">
        <v>-0.06787391507517865</v>
      </c>
      <c r="Y94" s="0" t="n">
        <v>0.1423390446426312</v>
      </c>
    </row>
    <row r="95">
      <c r="A95" s="0" t="n">
        <v>0.001282213539583291</v>
      </c>
      <c r="B95" s="0">
        <f>SUMPRODUCT(C95:Y95,MMULT(C95:Y95,$B$4:$X$26))</f>
        <v/>
      </c>
      <c r="C95" s="0" t="n">
        <v>-0.006532423460455044</v>
      </c>
      <c r="D95" s="0" t="n">
        <v>-0.04254634043568675</v>
      </c>
      <c r="E95" s="0" t="n">
        <v>0.2736861844047648</v>
      </c>
      <c r="F95" s="0" t="n">
        <v>-0.01270535843323497</v>
      </c>
      <c r="G95" s="0" t="n">
        <v>-0.02742525307444732</v>
      </c>
      <c r="H95" s="0" t="n">
        <v>0.08451650953284147</v>
      </c>
      <c r="I95" s="0" t="n">
        <v>0.03140661468358633</v>
      </c>
      <c r="J95" s="0" t="n">
        <v>0.1909884188435587</v>
      </c>
      <c r="K95" s="0" t="n">
        <v>0.286834929363587</v>
      </c>
      <c r="L95" s="0" t="n">
        <v>-0.003819463605682145</v>
      </c>
      <c r="M95" s="0" t="n">
        <v>0.04486206531234706</v>
      </c>
      <c r="N95" s="0" t="n">
        <v>0.3783114359185849</v>
      </c>
      <c r="O95" s="0" t="n">
        <v>-0.04282780325246265</v>
      </c>
      <c r="P95" s="0" t="n">
        <v>0.02932818974596756</v>
      </c>
      <c r="Q95" s="0" t="n">
        <v>-0.08534690118321048</v>
      </c>
      <c r="R95" s="0" t="n">
        <v>-0.137322509826432</v>
      </c>
      <c r="S95" s="0" t="n">
        <v>-0.04704186173902177</v>
      </c>
      <c r="T95" s="0" t="n">
        <v>-0.07414392926391815</v>
      </c>
      <c r="U95" s="0" t="n">
        <v>0.05088857134695369</v>
      </c>
      <c r="V95" s="0" t="n">
        <v>0.08582956538387489</v>
      </c>
      <c r="W95" s="0" t="n">
        <v>-0.04919593985375913</v>
      </c>
      <c r="X95" s="0" t="n">
        <v>-0.07041215098008285</v>
      </c>
      <c r="Y95" s="0" t="n">
        <v>0.1426674505723265</v>
      </c>
    </row>
    <row r="96">
      <c r="A96" s="0" t="n">
        <v>0.001320181925417153</v>
      </c>
      <c r="B96" s="0">
        <f>SUMPRODUCT(C96:Y96,MMULT(C96:Y96,$B$4:$X$26))</f>
        <v/>
      </c>
      <c r="C96" s="0" t="n">
        <v>-0.007886553767177619</v>
      </c>
      <c r="D96" s="0" t="n">
        <v>-0.04383342644878208</v>
      </c>
      <c r="E96" s="0" t="n">
        <v>0.2772962494059579</v>
      </c>
      <c r="F96" s="0" t="n">
        <v>-0.01403621673761968</v>
      </c>
      <c r="G96" s="0" t="n">
        <v>-0.02629295930757035</v>
      </c>
      <c r="H96" s="0" t="n">
        <v>0.0849394057311246</v>
      </c>
      <c r="I96" s="0" t="n">
        <v>0.03263462748404258</v>
      </c>
      <c r="J96" s="0" t="n">
        <v>0.1917606451063605</v>
      </c>
      <c r="K96" s="0" t="n">
        <v>0.289705078888076</v>
      </c>
      <c r="L96" s="0" t="n">
        <v>-0.004016074389037927</v>
      </c>
      <c r="M96" s="0" t="n">
        <v>0.04617963997210523</v>
      </c>
      <c r="N96" s="0" t="n">
        <v>0.3821509202314442</v>
      </c>
      <c r="O96" s="0" t="n">
        <v>-0.04260828654550648</v>
      </c>
      <c r="P96" s="0" t="n">
        <v>0.02831506346313511</v>
      </c>
      <c r="Q96" s="0" t="n">
        <v>-0.086694039299149</v>
      </c>
      <c r="R96" s="0" t="n">
        <v>-0.1410380137692939</v>
      </c>
      <c r="S96" s="0" t="n">
        <v>-0.04768006703974724</v>
      </c>
      <c r="T96" s="0" t="n">
        <v>-0.07554341213875801</v>
      </c>
      <c r="U96" s="0" t="n">
        <v>0.05296903150365948</v>
      </c>
      <c r="V96" s="0" t="n">
        <v>0.08468908129532084</v>
      </c>
      <c r="W96" s="0" t="n">
        <v>-0.05105616325561931</v>
      </c>
      <c r="X96" s="0" t="n">
        <v>-0.07295038688498616</v>
      </c>
      <c r="Y96" s="0" t="n">
        <v>0.1429958565020213</v>
      </c>
    </row>
    <row r="97">
      <c r="A97" s="0" t="n">
        <v>0.001358150311251014</v>
      </c>
      <c r="B97" s="0">
        <f>SUMPRODUCT(C97:Y97,MMULT(C97:Y97,$B$4:$X$26))</f>
        <v/>
      </c>
      <c r="C97" s="0" t="n">
        <v>-0.00924068407390044</v>
      </c>
      <c r="D97" s="0" t="n">
        <v>-0.0451205124618775</v>
      </c>
      <c r="E97" s="0" t="n">
        <v>0.2809063144071515</v>
      </c>
      <c r="F97" s="0" t="n">
        <v>-0.01536707504200458</v>
      </c>
      <c r="G97" s="0" t="n">
        <v>-0.02516066554069394</v>
      </c>
      <c r="H97" s="0" t="n">
        <v>0.08536230192940769</v>
      </c>
      <c r="I97" s="0" t="n">
        <v>0.03386264028449885</v>
      </c>
      <c r="J97" s="0" t="n">
        <v>0.1925328713691622</v>
      </c>
      <c r="K97" s="0" t="n">
        <v>0.2925752284125652</v>
      </c>
      <c r="L97" s="0" t="n">
        <v>-0.004212685172393715</v>
      </c>
      <c r="M97" s="0" t="n">
        <v>0.04749721463186339</v>
      </c>
      <c r="N97" s="0" t="n">
        <v>0.3859904045443035</v>
      </c>
      <c r="O97" s="0" t="n">
        <v>-0.04238876983855035</v>
      </c>
      <c r="P97" s="0" t="n">
        <v>0.02730193718030269</v>
      </c>
      <c r="Q97" s="0" t="n">
        <v>-0.08804117741508766</v>
      </c>
      <c r="R97" s="0" t="n">
        <v>-0.144753517712156</v>
      </c>
      <c r="S97" s="0" t="n">
        <v>-0.04831827234047291</v>
      </c>
      <c r="T97" s="0" t="n">
        <v>-0.0769428950135979</v>
      </c>
      <c r="U97" s="0" t="n">
        <v>0.05504949166036557</v>
      </c>
      <c r="V97" s="0" t="n">
        <v>0.08354859720676677</v>
      </c>
      <c r="W97" s="0" t="n">
        <v>-0.05291638665747957</v>
      </c>
      <c r="X97" s="0" t="n">
        <v>-0.07548862278989002</v>
      </c>
      <c r="Y97" s="0" t="n">
        <v>0.1433242624317164</v>
      </c>
    </row>
    <row r="98">
      <c r="A98" s="0" t="n">
        <v>0.001396118697084876</v>
      </c>
      <c r="B98" s="0">
        <f>SUMPRODUCT(C98:Y98,MMULT(C98:Y98,$B$4:$X$26))</f>
        <v/>
      </c>
      <c r="C98" s="0" t="n">
        <v>-0.0105948143806231</v>
      </c>
      <c r="D98" s="0" t="n">
        <v>-0.04640759847497295</v>
      </c>
      <c r="E98" s="0" t="n">
        <v>0.2845163794083447</v>
      </c>
      <c r="F98" s="0" t="n">
        <v>-0.01669793334638941</v>
      </c>
      <c r="G98" s="0" t="n">
        <v>-0.02402837177381675</v>
      </c>
      <c r="H98" s="0" t="n">
        <v>0.08578519812769085</v>
      </c>
      <c r="I98" s="0" t="n">
        <v>0.03509065308495517</v>
      </c>
      <c r="J98" s="0" t="n">
        <v>0.1933050976319639</v>
      </c>
      <c r="K98" s="0" t="n">
        <v>0.2954453779370547</v>
      </c>
      <c r="L98" s="0" t="n">
        <v>-0.004409295955749509</v>
      </c>
      <c r="M98" s="0" t="n">
        <v>0.04881478929162177</v>
      </c>
      <c r="N98" s="0" t="n">
        <v>0.389829888857163</v>
      </c>
      <c r="O98" s="0" t="n">
        <v>-0.04216925313159414</v>
      </c>
      <c r="P98" s="0" t="n">
        <v>0.0262888108974702</v>
      </c>
      <c r="Q98" s="0" t="n">
        <v>-0.08938831553102629</v>
      </c>
      <c r="R98" s="0" t="n">
        <v>-0.1484690216550182</v>
      </c>
      <c r="S98" s="0" t="n">
        <v>-0.04895647764119845</v>
      </c>
      <c r="T98" s="0" t="n">
        <v>-0.07834237788843779</v>
      </c>
      <c r="U98" s="0" t="n">
        <v>0.05712995181707149</v>
      </c>
      <c r="V98" s="0" t="n">
        <v>0.08240811311821254</v>
      </c>
      <c r="W98" s="0" t="n">
        <v>-0.05477661005933981</v>
      </c>
      <c r="X98" s="0" t="n">
        <v>-0.07802685869479392</v>
      </c>
      <c r="Y98" s="0" t="n">
        <v>0.1436526683614114</v>
      </c>
    </row>
    <row r="99">
      <c r="A99" s="0" t="n">
        <v>0.001434087082918737</v>
      </c>
      <c r="B99" s="0">
        <f>SUMPRODUCT(C99:Y99,MMULT(C99:Y99,$B$4:$X$26))</f>
        <v/>
      </c>
      <c r="C99" s="0" t="n">
        <v>-0.011948944687346</v>
      </c>
      <c r="D99" s="0" t="n">
        <v>-0.04769468448806845</v>
      </c>
      <c r="E99" s="0" t="n">
        <v>0.2881264444095386</v>
      </c>
      <c r="F99" s="0" t="n">
        <v>-0.01802879165077436</v>
      </c>
      <c r="G99" s="0" t="n">
        <v>-0.02289607800693956</v>
      </c>
      <c r="H99" s="0" t="n">
        <v>0.08620809432597415</v>
      </c>
      <c r="I99" s="0" t="n">
        <v>0.03631866588541161</v>
      </c>
      <c r="J99" s="0" t="n">
        <v>0.1940773238947658</v>
      </c>
      <c r="K99" s="0" t="n">
        <v>0.298315527461544</v>
      </c>
      <c r="L99" s="0" t="n">
        <v>-0.004605906739105319</v>
      </c>
      <c r="M99" s="0" t="n">
        <v>0.05013236395138001</v>
      </c>
      <c r="N99" s="0" t="n">
        <v>0.3936693731700233</v>
      </c>
      <c r="O99" s="0" t="n">
        <v>-0.04194973642463798</v>
      </c>
      <c r="P99" s="0" t="n">
        <v>0.02527568461463776</v>
      </c>
      <c r="Q99" s="0" t="n">
        <v>-0.09073545364696503</v>
      </c>
      <c r="R99" s="0" t="n">
        <v>-0.1521845255978807</v>
      </c>
      <c r="S99" s="0" t="n">
        <v>-0.04959468294192416</v>
      </c>
      <c r="T99" s="0" t="n">
        <v>-0.07974186076327783</v>
      </c>
      <c r="U99" s="0" t="n">
        <v>0.0592104119737776</v>
      </c>
      <c r="V99" s="0" t="n">
        <v>0.08126762902965844</v>
      </c>
      <c r="W99" s="0" t="n">
        <v>-0.05663683346120015</v>
      </c>
      <c r="X99" s="0" t="n">
        <v>-0.08056509459969813</v>
      </c>
      <c r="Y99" s="0" t="n">
        <v>0.1439810742911067</v>
      </c>
    </row>
    <row r="100">
      <c r="A100" s="0" t="n">
        <v>0.001472055468752598</v>
      </c>
      <c r="B100" s="0">
        <f>SUMPRODUCT(C100:Y100,MMULT(C100:Y100,$B$4:$X$26))</f>
        <v/>
      </c>
      <c r="C100" s="0" t="n">
        <v>-0.01330307499406866</v>
      </c>
      <c r="D100" s="0" t="n">
        <v>-0.04898177050116392</v>
      </c>
      <c r="E100" s="0" t="n">
        <v>0.2917365094107315</v>
      </c>
      <c r="F100" s="0" t="n">
        <v>-0.01935964995515927</v>
      </c>
      <c r="G100" s="0" t="n">
        <v>-0.02176378424006293</v>
      </c>
      <c r="H100" s="0" t="n">
        <v>0.08663099052425728</v>
      </c>
      <c r="I100" s="0" t="n">
        <v>0.03754667868586794</v>
      </c>
      <c r="J100" s="0" t="n">
        <v>0.1948495501575676</v>
      </c>
      <c r="K100" s="0" t="n">
        <v>0.3011856769860334</v>
      </c>
      <c r="L100" s="0" t="n">
        <v>-0.004802517522461115</v>
      </c>
      <c r="M100" s="0" t="n">
        <v>0.05144993861113825</v>
      </c>
      <c r="N100" s="0" t="n">
        <v>0.3975088574828827</v>
      </c>
      <c r="O100" s="0" t="n">
        <v>-0.04173021971768182</v>
      </c>
      <c r="P100" s="0" t="n">
        <v>0.02426255833180519</v>
      </c>
      <c r="Q100" s="0" t="n">
        <v>-0.09208259176290363</v>
      </c>
      <c r="R100" s="0" t="n">
        <v>-0.1559000295407429</v>
      </c>
      <c r="S100" s="0" t="n">
        <v>-0.05023288824264964</v>
      </c>
      <c r="T100" s="0" t="n">
        <v>-0.08114134363811783</v>
      </c>
      <c r="U100" s="0" t="n">
        <v>0.06129087213048369</v>
      </c>
      <c r="V100" s="0" t="n">
        <v>0.08012714494110441</v>
      </c>
      <c r="W100" s="0" t="n">
        <v>-0.05849705686306034</v>
      </c>
      <c r="X100" s="0" t="n">
        <v>-0.08310333050460182</v>
      </c>
      <c r="Y100" s="0" t="n">
        <v>0.1443094802208015</v>
      </c>
    </row>
    <row r="101">
      <c r="A101" s="0" t="n">
        <v>0.00151002385458646</v>
      </c>
      <c r="B101" s="0">
        <f>SUMPRODUCT(C101:Y101,MMULT(C101:Y101,$B$4:$X$26))</f>
        <v/>
      </c>
      <c r="C101" s="0" t="n">
        <v>-0.01465720530079145</v>
      </c>
      <c r="D101" s="0" t="n">
        <v>-0.05026885651425921</v>
      </c>
      <c r="E101" s="0" t="n">
        <v>0.2953465744119253</v>
      </c>
      <c r="F101" s="0" t="n">
        <v>-0.02069050825954402</v>
      </c>
      <c r="G101" s="0" t="n">
        <v>-0.02063149047318585</v>
      </c>
      <c r="H101" s="0" t="n">
        <v>0.08705388672254039</v>
      </c>
      <c r="I101" s="0" t="n">
        <v>0.03877469148632422</v>
      </c>
      <c r="J101" s="0" t="n">
        <v>0.1956217764203693</v>
      </c>
      <c r="K101" s="0" t="n">
        <v>0.3040558265105224</v>
      </c>
      <c r="L101" s="0" t="n">
        <v>-0.004999128305816889</v>
      </c>
      <c r="M101" s="0" t="n">
        <v>0.0527675132708964</v>
      </c>
      <c r="N101" s="0" t="n">
        <v>0.4013483417957417</v>
      </c>
      <c r="O101" s="0" t="n">
        <v>-0.04151070301072565</v>
      </c>
      <c r="P101" s="0" t="n">
        <v>0.02324943204897285</v>
      </c>
      <c r="Q101" s="0" t="n">
        <v>-0.09342972987884217</v>
      </c>
      <c r="R101" s="0" t="n">
        <v>-0.1596155334836047</v>
      </c>
      <c r="S101" s="0" t="n">
        <v>-0.05087109354337518</v>
      </c>
      <c r="T101" s="0" t="n">
        <v>-0.0825408265129576</v>
      </c>
      <c r="U101" s="0" t="n">
        <v>0.06337133228718939</v>
      </c>
      <c r="V101" s="0" t="n">
        <v>0.07898666085255042</v>
      </c>
      <c r="W101" s="0" t="n">
        <v>-0.06035728026492047</v>
      </c>
      <c r="X101" s="0" t="n">
        <v>-0.08564156640950539</v>
      </c>
      <c r="Y101" s="0" t="n">
        <v>0.1446378861504966</v>
      </c>
    </row>
    <row r="102">
      <c r="A102" s="0" t="n">
        <v>0.001547992240420322</v>
      </c>
      <c r="B102" s="0">
        <f>SUMPRODUCT(C102:Y102,MMULT(C102:Y102,$B$4:$X$26))</f>
        <v/>
      </c>
      <c r="C102" s="0" t="n">
        <v>-0.01601133560751415</v>
      </c>
      <c r="D102" s="0" t="n">
        <v>-0.05155594252735467</v>
      </c>
      <c r="E102" s="0" t="n">
        <v>0.2989566394131187</v>
      </c>
      <c r="F102" s="0" t="n">
        <v>-0.02202136656392888</v>
      </c>
      <c r="G102" s="0" t="n">
        <v>-0.01949919670630933</v>
      </c>
      <c r="H102" s="0" t="n">
        <v>0.08747678292082346</v>
      </c>
      <c r="I102" s="0" t="n">
        <v>0.04000270428678047</v>
      </c>
      <c r="J102" s="0" t="n">
        <v>0.196394002683171</v>
      </c>
      <c r="K102" s="0" t="n">
        <v>0.3069259760350116</v>
      </c>
      <c r="L102" s="0" t="n">
        <v>-0.005195739089172686</v>
      </c>
      <c r="M102" s="0" t="n">
        <v>0.05408508793065465</v>
      </c>
      <c r="N102" s="0" t="n">
        <v>0.4051878261086013</v>
      </c>
      <c r="O102" s="0" t="n">
        <v>-0.04129118630376949</v>
      </c>
      <c r="P102" s="0" t="n">
        <v>0.02223630576614031</v>
      </c>
      <c r="Q102" s="0" t="n">
        <v>-0.09477686799478081</v>
      </c>
      <c r="R102" s="0" t="n">
        <v>-0.163331037426467</v>
      </c>
      <c r="S102" s="0" t="n">
        <v>-0.05150929884410079</v>
      </c>
      <c r="T102" s="0" t="n">
        <v>-0.08394030938779748</v>
      </c>
      <c r="U102" s="0" t="n">
        <v>0.06545179244389544</v>
      </c>
      <c r="V102" s="0" t="n">
        <v>0.07784617676399634</v>
      </c>
      <c r="W102" s="0" t="n">
        <v>-0.06221750366678065</v>
      </c>
      <c r="X102" s="0" t="n">
        <v>-0.08817980231440942</v>
      </c>
      <c r="Y102" s="0" t="n">
        <v>0.1449662920801914</v>
      </c>
    </row>
    <row r="103">
      <c r="A103" s="0" t="n">
        <v>0.001585960626254183</v>
      </c>
      <c r="B103" s="0">
        <f>SUMPRODUCT(C103:Y103,MMULT(C103:Y103,$B$4:$X$26))</f>
        <v/>
      </c>
      <c r="C103" s="0" t="n">
        <v>-0.01736546591423686</v>
      </c>
      <c r="D103" s="0" t="n">
        <v>-0.05284302854045014</v>
      </c>
      <c r="E103" s="0" t="n">
        <v>0.3025667044143123</v>
      </c>
      <c r="F103" s="0" t="n">
        <v>-0.02335222486831377</v>
      </c>
      <c r="G103" s="0" t="n">
        <v>-0.01836690293943225</v>
      </c>
      <c r="H103" s="0" t="n">
        <v>0.08789967911910665</v>
      </c>
      <c r="I103" s="0" t="n">
        <v>0.04123071708723686</v>
      </c>
      <c r="J103" s="0" t="n">
        <v>0.1971662289459728</v>
      </c>
      <c r="K103" s="0" t="n">
        <v>0.309796125559501</v>
      </c>
      <c r="L103" s="0" t="n">
        <v>-0.005392349872528485</v>
      </c>
      <c r="M103" s="0" t="n">
        <v>0.055402662590413</v>
      </c>
      <c r="N103" s="0" t="n">
        <v>0.4090273104214608</v>
      </c>
      <c r="O103" s="0" t="n">
        <v>-0.04107166959681332</v>
      </c>
      <c r="P103" s="0" t="n">
        <v>0.02122317948330777</v>
      </c>
      <c r="Q103" s="0" t="n">
        <v>-0.09612400611071946</v>
      </c>
      <c r="R103" s="0" t="n">
        <v>-0.1670465413693291</v>
      </c>
      <c r="S103" s="0" t="n">
        <v>-0.0521475041448264</v>
      </c>
      <c r="T103" s="0" t="n">
        <v>-0.08533979226263744</v>
      </c>
      <c r="U103" s="0" t="n">
        <v>0.06753225260060129</v>
      </c>
      <c r="V103" s="0" t="n">
        <v>0.07670569267544226</v>
      </c>
      <c r="W103" s="0" t="n">
        <v>-0.06407772706864096</v>
      </c>
      <c r="X103" s="0" t="n">
        <v>-0.09071803821931301</v>
      </c>
      <c r="Y103" s="0" t="n">
        <v>0.1452946980098865</v>
      </c>
    </row>
    <row r="104">
      <c r="A104" s="0" t="n">
        <v>0.001623929012088044</v>
      </c>
      <c r="B104" s="0">
        <f>SUMPRODUCT(C104:Y104,MMULT(C104:Y104,$B$4:$X$26))</f>
        <v/>
      </c>
      <c r="C104" s="0" t="n">
        <v>-0.01871959622095975</v>
      </c>
      <c r="D104" s="0" t="n">
        <v>-0.05413011455354564</v>
      </c>
      <c r="E104" s="0" t="n">
        <v>0.3061767694155061</v>
      </c>
      <c r="F104" s="0" t="n">
        <v>-0.0246830831726987</v>
      </c>
      <c r="G104" s="0" t="n">
        <v>-0.01723460917255528</v>
      </c>
      <c r="H104" s="0" t="n">
        <v>0.08832257531739</v>
      </c>
      <c r="I104" s="0" t="n">
        <v>0.04245872988769325</v>
      </c>
      <c r="J104" s="0" t="n">
        <v>0.1979384552087746</v>
      </c>
      <c r="K104" s="0" t="n">
        <v>0.3126662750839905</v>
      </c>
      <c r="L104" s="0" t="n">
        <v>-0.005588960655884288</v>
      </c>
      <c r="M104" s="0" t="n">
        <v>0.0567202372501713</v>
      </c>
      <c r="N104" s="0" t="n">
        <v>0.4128667947343203</v>
      </c>
      <c r="O104" s="0" t="n">
        <v>-0.0408521528898571</v>
      </c>
      <c r="P104" s="0" t="n">
        <v>0.02021005320047531</v>
      </c>
      <c r="Q104" s="0" t="n">
        <v>-0.09747114422665819</v>
      </c>
      <c r="R104" s="0" t="n">
        <v>-0.1707620453121916</v>
      </c>
      <c r="S104" s="0" t="n">
        <v>-0.05278570944555198</v>
      </c>
      <c r="T104" s="0" t="n">
        <v>-0.08673927513747742</v>
      </c>
      <c r="U104" s="0" t="n">
        <v>0.06961271275730749</v>
      </c>
      <c r="V104" s="0" t="n">
        <v>0.07556520858688807</v>
      </c>
      <c r="W104" s="0" t="n">
        <v>-0.0659379504705013</v>
      </c>
      <c r="X104" s="0" t="n">
        <v>-0.09325627412421708</v>
      </c>
      <c r="Y104" s="0" t="n">
        <v>0.1456231039395815</v>
      </c>
    </row>
    <row r="107">
      <c r="A107" s="15" t="inlineStr">
        <is>
          <t>Q3: Sharpe-optimal (tangency) portfolio and the Capital Market Line</t>
        </is>
      </c>
    </row>
    <row r="108">
      <c r="A108" s="0" t="inlineStr">
        <is>
          <t>Sharpe_Optimal_Solution (raw, satisfies (mu-rf)'x=1) -- solved values</t>
        </is>
      </c>
      <c r="B108" s="0" t="n">
        <v>-38.19934419278598</v>
      </c>
      <c r="C108" s="0" t="n">
        <v>-33.7231349254843</v>
      </c>
      <c r="D108" s="0" t="n">
        <v>83.60784157074119</v>
      </c>
      <c r="E108" s="0" t="n">
        <v>-37.09574336384669</v>
      </c>
      <c r="F108" s="0" t="n">
        <v>34.28095904804045</v>
      </c>
      <c r="G108" s="0" t="n">
        <v>6.062581335939171</v>
      </c>
      <c r="H108" s="0" t="n">
        <v>32.82888144096807</v>
      </c>
      <c r="I108" s="0" t="n">
        <v>8.46281561782502</v>
      </c>
      <c r="J108" s="0" t="n">
        <v>61.54591694558817</v>
      </c>
      <c r="K108" s="0" t="n">
        <v>-5.342058941178258</v>
      </c>
      <c r="L108" s="0" t="n">
        <v>34.42893398791198</v>
      </c>
      <c r="M108" s="0" t="n">
        <v>82.71566868262292</v>
      </c>
      <c r="N108" s="0" t="n">
        <v>9.314422435029845</v>
      </c>
      <c r="O108" s="0" t="n">
        <v>-31.01377768943621</v>
      </c>
      <c r="P108" s="0" t="n">
        <v>-32.39308727705622</v>
      </c>
      <c r="Q108" s="0" t="n">
        <v>-96.3188831420678</v>
      </c>
      <c r="R108" s="0" t="n">
        <v>-14.87605896769073</v>
      </c>
      <c r="S108" s="0" t="n">
        <v>-34.68461384501835</v>
      </c>
      <c r="T108" s="0" t="n">
        <v>55.78264774772739</v>
      </c>
      <c r="U108" s="0" t="n">
        <v>-38.66951157589698</v>
      </c>
      <c r="V108" s="0" t="n">
        <v>-49.61470809594145</v>
      </c>
      <c r="W108" s="0" t="n">
        <v>-67.4645237133728</v>
      </c>
      <c r="X108" s="0" t="n">
        <v>-0.7720413405812635</v>
      </c>
    </row>
    <row r="109">
      <c r="A109" s="0" t="inlineStr">
        <is>
          <t>Portfolio_Allocation (rescaled to sum to 1) -- solved values</t>
        </is>
      </c>
      <c r="B109" s="0" t="n">
        <v>0.536984154313228</v>
      </c>
      <c r="C109" s="0" t="n">
        <v>0.4740602089229571</v>
      </c>
      <c r="D109" s="0" t="n">
        <v>-1.175310389446359</v>
      </c>
      <c r="E109" s="0" t="n">
        <v>0.5214703759918907</v>
      </c>
      <c r="F109" s="0" t="n">
        <v>-0.4819017758670017</v>
      </c>
      <c r="G109" s="0" t="n">
        <v>-0.08522424089807451</v>
      </c>
      <c r="H109" s="0" t="n">
        <v>-0.4614893137604351</v>
      </c>
      <c r="I109" s="0" t="n">
        <v>-0.1189653378527049</v>
      </c>
      <c r="J109" s="0" t="n">
        <v>-0.865176689831765</v>
      </c>
      <c r="K109" s="0" t="n">
        <v>0.07509555630962286</v>
      </c>
      <c r="L109" s="0" t="n">
        <v>-0.4839819214722623</v>
      </c>
      <c r="M109" s="0" t="n">
        <v>-1.162768742097401</v>
      </c>
      <c r="N109" s="0" t="n">
        <v>-0.1309367309801941</v>
      </c>
      <c r="O109" s="0" t="n">
        <v>0.4359736413423947</v>
      </c>
      <c r="P109" s="0" t="n">
        <v>0.4553631729716873</v>
      </c>
      <c r="Q109" s="0" t="n">
        <v>1.353994815916386</v>
      </c>
      <c r="R109" s="0" t="n">
        <v>0.2091189813093101</v>
      </c>
      <c r="S109" s="0" t="n">
        <v>0.4875761201357337</v>
      </c>
      <c r="T109" s="0" t="n">
        <v>-0.7841600048155546</v>
      </c>
      <c r="U109" s="0" t="n">
        <v>0.5435934938173654</v>
      </c>
      <c r="V109" s="0" t="n">
        <v>0.6974546980162093</v>
      </c>
      <c r="W109" s="0" t="n">
        <v>0.9483770200225536</v>
      </c>
      <c r="X109" s="0" t="n">
        <v>0.01085290795241384</v>
      </c>
    </row>
    <row r="111">
      <c r="A111" s="0" t="inlineStr">
        <is>
          <t>Sum of raw (pre-budget) weights, 1'x_raw</t>
        </is>
      </c>
      <c r="B111" s="0">
        <f>SUM(B108:X108)</f>
        <v/>
      </c>
    </row>
    <row r="112">
      <c r="A112" s="0" t="inlineStr">
        <is>
          <t>Portfolio_Expected_Return</t>
        </is>
      </c>
      <c r="B112" s="0">
        <f>SUMPRODUCT(B109:X109,B29:X29)</f>
        <v/>
      </c>
    </row>
    <row r="113">
      <c r="A113" s="0" t="inlineStr">
        <is>
          <t>Total_Wealth (should be 1)</t>
        </is>
      </c>
      <c r="B113" s="0">
        <f>SUM(B109:X109)</f>
        <v/>
      </c>
    </row>
    <row r="114">
      <c r="A114" s="0" t="inlineStr">
        <is>
          <t>Portfolio_Variance</t>
        </is>
      </c>
      <c r="B114" s="0">
        <f>SUMPRODUCT(B109:X109,MMULT(B109:X109,B4:X26))</f>
        <v/>
      </c>
    </row>
    <row r="115">
      <c r="A115" s="0" t="inlineStr">
        <is>
          <t>Sharpe_Ratio  [Q3/Q9-style answer]</t>
        </is>
      </c>
      <c r="B115" s="0">
        <f>(B112-B31)/SQRT(B114)</f>
        <v/>
      </c>
    </row>
    <row r="117">
      <c r="A117" s="15" t="inlineStr">
        <is>
          <t>Q4: Compare risk-free rate and Sharpe-optimal portfolio return</t>
        </is>
      </c>
    </row>
    <row r="118">
      <c r="A118" s="0" t="inlineStr">
        <is>
          <t>Risk_Free_Rate</t>
        </is>
      </c>
      <c r="B118" s="0">
        <f>B31</f>
        <v/>
      </c>
    </row>
    <row r="119">
      <c r="A119" s="0" t="inlineStr">
        <is>
          <t>Sharpe_Optimal_Return</t>
        </is>
      </c>
      <c r="B119" s="0">
        <f>B112</f>
        <v/>
      </c>
    </row>
    <row r="120">
      <c r="A120" s="0" t="inlineStr">
        <is>
          <t>Sharpe_Optimal_Volatility (vs. 0 for risk-free)</t>
        </is>
      </c>
      <c r="B120" s="0">
        <f>SQRT(B114)</f>
        <v/>
      </c>
    </row>
    <row r="121">
      <c r="A121" s="0" t="inlineStr">
        <is>
          <t>Return lower than rf?</t>
        </is>
      </c>
      <c r="B121" s="0">
        <f>IF(B119&lt;B118,"Yes -- lower return, and risk is always higher than 0","No")</f>
        <v/>
      </c>
    </row>
    <row r="123">
      <c r="A123" s="16" t="inlineStr">
        <is>
          <t>Q5 (see notebook for full discussion): lower return + higher risk than cash is NOT arbitrage -- arbitrage requires ZERO risk. This portfolio has variance B114 &gt; 0.</t>
        </is>
      </c>
    </row>
    <row r="124">
      <c r="A124" s="16" t="inlineStr">
        <is>
          <t>Q6 (see notebook for full discussion): sample covariance is a fairly reliable input; sample mean is extremely noisy at daily frequency (see t-stat table in the notebook) -- the main source of estimation error in this optimization.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date</t>
        </is>
      </c>
      <c r="B1" s="0" t="inlineStr">
        <is>
          <t>Mkt-RF</t>
        </is>
      </c>
      <c r="C1" s="0" t="inlineStr">
        <is>
          <t>SMB</t>
        </is>
      </c>
      <c r="D1" s="0" t="inlineStr">
        <is>
          <t>HML</t>
        </is>
      </c>
      <c r="E1" s="0" t="inlineStr">
        <is>
          <t>RMW</t>
        </is>
      </c>
      <c r="F1" s="0" t="inlineStr">
        <is>
          <t>CMA</t>
        </is>
      </c>
      <c r="G1" s="0" t="inlineStr">
        <is>
          <t>RF</t>
        </is>
      </c>
    </row>
    <row r="2">
      <c r="A2" s="0" t="inlineStr">
        <is>
          <t>2018-01-02</t>
        </is>
      </c>
      <c r="B2" s="0" t="n">
        <v>0.008500000000000001</v>
      </c>
      <c r="C2" s="0" t="n">
        <v>0.003</v>
      </c>
      <c r="D2" s="0" t="n">
        <v>-0.0023</v>
      </c>
      <c r="E2" s="0" t="n">
        <v>-0.0049</v>
      </c>
      <c r="F2" s="0" t="n">
        <v>0.0021</v>
      </c>
      <c r="G2" s="0" t="n">
        <v>5e-05</v>
      </c>
    </row>
    <row r="3">
      <c r="A3" s="0" t="inlineStr">
        <is>
          <t>2018-01-03</t>
        </is>
      </c>
      <c r="B3" s="0" t="n">
        <v>0.0059</v>
      </c>
      <c r="C3" s="0" t="n">
        <v>-0.0048</v>
      </c>
      <c r="D3" s="0" t="n">
        <v>-0.002</v>
      </c>
      <c r="E3" s="0" t="n">
        <v>-0.0074</v>
      </c>
      <c r="F3" s="0" t="n">
        <v>-0.0007000000000000001</v>
      </c>
      <c r="G3" s="0" t="n">
        <v>5e-05</v>
      </c>
    </row>
    <row r="4">
      <c r="A4" s="0" t="inlineStr">
        <is>
          <t>2018-01-04</t>
        </is>
      </c>
      <c r="B4" s="0" t="n">
        <v>0.0042</v>
      </c>
      <c r="C4" s="0" t="n">
        <v>-0.0023</v>
      </c>
      <c r="D4" s="0" t="n">
        <v>0.0025</v>
      </c>
      <c r="E4" s="0" t="n">
        <v>-0.0002</v>
      </c>
      <c r="F4" s="0" t="n">
        <v>0.003</v>
      </c>
      <c r="G4" s="0" t="n">
        <v>5e-05</v>
      </c>
    </row>
    <row r="5">
      <c r="A5" s="0" t="inlineStr">
        <is>
          <t>2018-01-05</t>
        </is>
      </c>
      <c r="B5" s="0" t="n">
        <v>0.0066</v>
      </c>
      <c r="C5" s="0" t="n">
        <v>-0.0036</v>
      </c>
      <c r="D5" s="0" t="n">
        <v>-0.0026</v>
      </c>
      <c r="E5" s="0" t="n">
        <v>0.0039</v>
      </c>
      <c r="F5" s="0" t="n">
        <v>-0.0037</v>
      </c>
      <c r="G5" s="0" t="n">
        <v>5e-05</v>
      </c>
    </row>
    <row r="6">
      <c r="A6" s="0" t="inlineStr">
        <is>
          <t>2018-01-08</t>
        </is>
      </c>
      <c r="B6" s="0" t="n">
        <v>0.0019</v>
      </c>
      <c r="C6" s="0" t="n">
        <v>-0.0021</v>
      </c>
      <c r="D6" s="0" t="n">
        <v>0.0005</v>
      </c>
      <c r="E6" s="0" t="n">
        <v>-0.0009</v>
      </c>
      <c r="F6" s="0" t="n">
        <v>0.0003</v>
      </c>
      <c r="G6" s="0" t="n">
        <v>5e-05</v>
      </c>
    </row>
    <row r="7">
      <c r="A7" s="0" t="inlineStr">
        <is>
          <t>2018-01-09</t>
        </is>
      </c>
      <c r="B7" s="0" t="n">
        <v>0.0015</v>
      </c>
      <c r="C7" s="0" t="n">
        <v>-0.0036</v>
      </c>
      <c r="D7" s="0" t="n">
        <v>-0.0005</v>
      </c>
      <c r="E7" s="0" t="n">
        <v>-0.0011</v>
      </c>
      <c r="F7" s="0" t="n">
        <v>-0.0005999999999999999</v>
      </c>
      <c r="G7" s="0" t="n">
        <v>5e-05</v>
      </c>
    </row>
    <row r="8">
      <c r="A8" s="0" t="inlineStr">
        <is>
          <t>2018-01-10</t>
        </is>
      </c>
      <c r="B8" s="0" t="n">
        <v>-0.0007000000000000001</v>
      </c>
      <c r="C8" s="0" t="n">
        <v>0.0014</v>
      </c>
      <c r="D8" s="0" t="n">
        <v>0.0059</v>
      </c>
      <c r="E8" s="0" t="n">
        <v>-0.0035</v>
      </c>
      <c r="F8" s="0" t="n">
        <v>0.0001</v>
      </c>
      <c r="G8" s="0" t="n">
        <v>5e-05</v>
      </c>
    </row>
    <row r="9">
      <c r="A9" s="0" t="inlineStr">
        <is>
          <t>2018-01-11</t>
        </is>
      </c>
      <c r="B9" s="0" t="n">
        <v>0.008699999999999999</v>
      </c>
      <c r="C9" s="0" t="n">
        <v>0.0111</v>
      </c>
      <c r="D9" s="0" t="n">
        <v>0.0031</v>
      </c>
      <c r="E9" s="0" t="n">
        <v>-0.0022</v>
      </c>
      <c r="F9" s="0" t="n">
        <v>0.004699999999999999</v>
      </c>
      <c r="G9" s="0" t="n">
        <v>5e-05</v>
      </c>
    </row>
    <row r="10">
      <c r="A10" s="0" t="inlineStr">
        <is>
          <t>2018-01-12</t>
        </is>
      </c>
      <c r="B10" s="0" t="n">
        <v>0.0066</v>
      </c>
      <c r="C10" s="0" t="n">
        <v>-0.0031</v>
      </c>
      <c r="D10" s="0" t="n">
        <v>0.0016</v>
      </c>
      <c r="E10" s="0" t="n">
        <v>-0.001</v>
      </c>
      <c r="F10" s="0" t="n">
        <v>0.0015</v>
      </c>
      <c r="G10" s="0" t="n">
        <v>5e-05</v>
      </c>
    </row>
    <row r="11">
      <c r="A11" s="0" t="inlineStr">
        <is>
          <t>2018-01-16</t>
        </is>
      </c>
      <c r="B11" s="0" t="n">
        <v>-0.0049</v>
      </c>
      <c r="C11" s="0" t="n">
        <v>-0.01</v>
      </c>
      <c r="D11" s="0" t="n">
        <v>-0.0001</v>
      </c>
      <c r="E11" s="0" t="n">
        <v>0.0043</v>
      </c>
      <c r="F11" s="0" t="n">
        <v>-0.0033</v>
      </c>
      <c r="G11" s="0" t="n">
        <v>5e-05</v>
      </c>
    </row>
    <row r="12">
      <c r="A12" s="0" t="inlineStr">
        <is>
          <t>2018-01-17</t>
        </is>
      </c>
      <c r="B12" s="0" t="n">
        <v>0.0095</v>
      </c>
      <c r="C12" s="0" t="n">
        <v>-0.0007000000000000001</v>
      </c>
      <c r="D12" s="0" t="n">
        <v>-0.0012</v>
      </c>
      <c r="E12" s="0" t="n">
        <v>-0.001</v>
      </c>
      <c r="F12" s="0" t="n">
        <v>-0.0003</v>
      </c>
      <c r="G12" s="0" t="n">
        <v>5e-05</v>
      </c>
    </row>
    <row r="13">
      <c r="A13" s="0" t="inlineStr">
        <is>
          <t>2018-01-18</t>
        </is>
      </c>
      <c r="B13" s="0" t="n">
        <v>-0.0018</v>
      </c>
      <c r="C13" s="0" t="n">
        <v>-0.0044</v>
      </c>
      <c r="D13" s="0" t="n">
        <v>-0.0025</v>
      </c>
      <c r="E13" s="0" t="n">
        <v>0.003</v>
      </c>
      <c r="F13" s="0" t="n">
        <v>-0.0029</v>
      </c>
      <c r="G13" s="0" t="n">
        <v>5e-05</v>
      </c>
    </row>
    <row r="14">
      <c r="A14" s="0" t="inlineStr">
        <is>
          <t>2018-01-19</t>
        </is>
      </c>
      <c r="B14" s="0" t="n">
        <v>0.005699999999999999</v>
      </c>
      <c r="C14" s="0" t="n">
        <v>0.009399999999999999</v>
      </c>
      <c r="D14" s="0" t="n">
        <v>-0.0005</v>
      </c>
      <c r="E14" s="0" t="n">
        <v>0.001</v>
      </c>
      <c r="F14" s="0" t="n">
        <v>0.0014</v>
      </c>
      <c r="G14" s="0" t="n">
        <v>5e-05</v>
      </c>
    </row>
    <row r="15">
      <c r="A15" s="0" t="inlineStr">
        <is>
          <t>2018-01-22</t>
        </is>
      </c>
      <c r="B15" s="0" t="n">
        <v>0.0077</v>
      </c>
      <c r="C15" s="0" t="n">
        <v>-0.0034</v>
      </c>
      <c r="D15" s="0" t="n">
        <v>-0.0016</v>
      </c>
      <c r="E15" s="0" t="n">
        <v>-0.0054</v>
      </c>
      <c r="F15" s="0" t="n">
        <v>0.0019</v>
      </c>
      <c r="G15" s="0" t="n">
        <v>5e-05</v>
      </c>
    </row>
    <row r="16">
      <c r="A16" s="0" t="inlineStr">
        <is>
          <t>2018-01-23</t>
        </is>
      </c>
      <c r="B16" s="0" t="n">
        <v>0.0022</v>
      </c>
      <c r="C16" s="0" t="n">
        <v>0.0007000000000000001</v>
      </c>
      <c r="D16" s="0" t="n">
        <v>-0.0036</v>
      </c>
      <c r="E16" s="0" t="n">
        <v>-0.0039</v>
      </c>
      <c r="F16" s="0" t="n">
        <v>-0.0025</v>
      </c>
      <c r="G16" s="0" t="n">
        <v>5e-05</v>
      </c>
    </row>
    <row r="17">
      <c r="A17" s="0" t="inlineStr">
        <is>
          <t>2018-01-24</t>
        </is>
      </c>
      <c r="B17" s="0" t="n">
        <v>-0.0013</v>
      </c>
      <c r="C17" s="0" t="n">
        <v>-0.0071</v>
      </c>
      <c r="D17" s="0" t="n">
        <v>0.0042</v>
      </c>
      <c r="E17" s="0" t="n">
        <v>-0.0001</v>
      </c>
      <c r="F17" s="0" t="n">
        <v>0.0014</v>
      </c>
      <c r="G17" s="0" t="n">
        <v>5e-05</v>
      </c>
    </row>
    <row r="18">
      <c r="A18" s="0" t="inlineStr">
        <is>
          <t>2018-01-25</t>
        </is>
      </c>
      <c r="B18" s="0" t="n">
        <v>0.0007000000000000001</v>
      </c>
      <c r="C18" s="0" t="n">
        <v>0.0013</v>
      </c>
      <c r="D18" s="0" t="n">
        <v>-0.0048</v>
      </c>
      <c r="E18" s="0" t="n">
        <v>0.0019</v>
      </c>
      <c r="F18" s="0" t="n">
        <v>-0.0017</v>
      </c>
      <c r="G18" s="0" t="n">
        <v>5e-05</v>
      </c>
    </row>
    <row r="19">
      <c r="A19" s="0" t="inlineStr">
        <is>
          <t>2018-01-26</t>
        </is>
      </c>
      <c r="B19" s="0" t="n">
        <v>0.0111</v>
      </c>
      <c r="C19" s="0" t="n">
        <v>-0.0064</v>
      </c>
      <c r="D19" s="0" t="n">
        <v>-0.005500000000000001</v>
      </c>
      <c r="E19" s="0" t="n">
        <v>0.0028</v>
      </c>
      <c r="F19" s="0" t="n">
        <v>-0.0019</v>
      </c>
      <c r="G19" s="0" t="n">
        <v>5e-05</v>
      </c>
    </row>
    <row r="20">
      <c r="A20" s="0" t="inlineStr">
        <is>
          <t>2018-01-29</t>
        </is>
      </c>
      <c r="B20" s="0" t="n">
        <v>-0.0062</v>
      </c>
      <c r="C20" s="0" t="n">
        <v>0</v>
      </c>
      <c r="D20" s="0" t="n">
        <v>-0.0022</v>
      </c>
      <c r="E20" s="0" t="n">
        <v>0.0015</v>
      </c>
      <c r="F20" s="0" t="n">
        <v>-0.0027</v>
      </c>
      <c r="G20" s="0" t="n">
        <v>5e-05</v>
      </c>
    </row>
    <row r="21">
      <c r="A21" s="0" t="inlineStr">
        <is>
          <t>2018-01-30</t>
        </is>
      </c>
      <c r="B21" s="0" t="n">
        <v>-0.0106</v>
      </c>
      <c r="C21" s="0" t="n">
        <v>0.0012</v>
      </c>
      <c r="D21" s="0" t="n">
        <v>-0.0021</v>
      </c>
      <c r="E21" s="0" t="n">
        <v>0.004</v>
      </c>
      <c r="F21" s="0" t="n">
        <v>-0.0034</v>
      </c>
      <c r="G21" s="0" t="n">
        <v>5e-05</v>
      </c>
    </row>
    <row r="22">
      <c r="A22" s="0" t="inlineStr">
        <is>
          <t>2018-01-31</t>
        </is>
      </c>
      <c r="B22" s="0" t="n">
        <v>-0.0007000000000000001</v>
      </c>
      <c r="C22" s="0" t="n">
        <v>-0.0069</v>
      </c>
      <c r="D22" s="0" t="n">
        <v>0.001</v>
      </c>
      <c r="E22" s="0" t="n">
        <v>0.0009</v>
      </c>
      <c r="F22" s="0" t="n">
        <v>-0.0009</v>
      </c>
      <c r="G22" s="0" t="n">
        <v>5e-05</v>
      </c>
    </row>
    <row r="23">
      <c r="A23" s="0" t="inlineStr">
        <is>
          <t>2018-02-01</t>
        </is>
      </c>
      <c r="B23" s="0" t="n">
        <v>0.0003</v>
      </c>
      <c r="C23" s="0" t="n">
        <v>0.0014</v>
      </c>
      <c r="D23" s="0" t="n">
        <v>0.005500000000000001</v>
      </c>
      <c r="E23" s="0" t="n">
        <v>-0.0051</v>
      </c>
      <c r="F23" s="0" t="n">
        <v>0.0003</v>
      </c>
      <c r="G23" s="0" t="n">
        <v>6e-05</v>
      </c>
    </row>
    <row r="24">
      <c r="A24" s="0" t="inlineStr">
        <is>
          <t>2018-02-02</t>
        </is>
      </c>
      <c r="B24" s="0" t="n">
        <v>-0.0213</v>
      </c>
      <c r="C24" s="0" t="n">
        <v>0.0001</v>
      </c>
      <c r="D24" s="0" t="n">
        <v>-0.0029</v>
      </c>
      <c r="E24" s="0" t="n">
        <v>0.0063</v>
      </c>
      <c r="F24" s="0" t="n">
        <v>-0.0044</v>
      </c>
      <c r="G24" s="0" t="n">
        <v>6e-05</v>
      </c>
    </row>
    <row r="25">
      <c r="A25" s="0" t="inlineStr">
        <is>
          <t>2018-02-05</t>
        </is>
      </c>
      <c r="B25" s="0" t="n">
        <v>-0.0403</v>
      </c>
      <c r="C25" s="0" t="n">
        <v>0.006500000000000001</v>
      </c>
      <c r="D25" s="0" t="n">
        <v>-0.005600000000000001</v>
      </c>
      <c r="E25" s="0" t="n">
        <v>0.0017</v>
      </c>
      <c r="F25" s="0" t="n">
        <v>-0.0016</v>
      </c>
      <c r="G25" s="0" t="n">
        <v>6e-05</v>
      </c>
    </row>
    <row r="26">
      <c r="A26" s="0" t="inlineStr">
        <is>
          <t>2018-02-06</t>
        </is>
      </c>
      <c r="B26" s="0" t="n">
        <v>0.0167</v>
      </c>
      <c r="C26" s="0" t="n">
        <v>-0.004699999999999999</v>
      </c>
      <c r="D26" s="0" t="n">
        <v>-0.002</v>
      </c>
      <c r="E26" s="0" t="n">
        <v>0.0005999999999999999</v>
      </c>
      <c r="F26" s="0" t="n">
        <v>-0.0019</v>
      </c>
      <c r="G26" s="0" t="n">
        <v>6e-05</v>
      </c>
    </row>
    <row r="27">
      <c r="A27" s="0" t="inlineStr">
        <is>
          <t>2018-02-07</t>
        </is>
      </c>
      <c r="B27" s="0" t="n">
        <v>-0.0037</v>
      </c>
      <c r="C27" s="0" t="n">
        <v>0.0058</v>
      </c>
      <c r="D27" s="0" t="n">
        <v>0.0022</v>
      </c>
      <c r="E27" s="0" t="n">
        <v>0.0034</v>
      </c>
      <c r="F27" s="0" t="n">
        <v>0.0033</v>
      </c>
      <c r="G27" s="0" t="n">
        <v>6e-05</v>
      </c>
    </row>
    <row r="28">
      <c r="A28" s="0" t="inlineStr">
        <is>
          <t>2018-02-08</t>
        </is>
      </c>
      <c r="B28" s="0" t="n">
        <v>-0.0368</v>
      </c>
      <c r="C28" s="0" t="n">
        <v>0.0083</v>
      </c>
      <c r="D28" s="0" t="n">
        <v>0.005</v>
      </c>
      <c r="E28" s="0" t="n">
        <v>0.0042</v>
      </c>
      <c r="F28" s="0" t="n">
        <v>0.0009</v>
      </c>
      <c r="G28" s="0" t="n">
        <v>6e-05</v>
      </c>
    </row>
    <row r="29">
      <c r="A29" s="0" t="inlineStr">
        <is>
          <t>2018-02-09</t>
        </is>
      </c>
      <c r="B29" s="0" t="n">
        <v>0.0136</v>
      </c>
      <c r="C29" s="0" t="n">
        <v>-0.005699999999999999</v>
      </c>
      <c r="D29" s="0" t="n">
        <v>0.0014</v>
      </c>
      <c r="E29" s="0" t="n">
        <v>0.0016</v>
      </c>
      <c r="F29" s="0" t="n">
        <v>-0.004699999999999999</v>
      </c>
      <c r="G29" s="0" t="n">
        <v>6e-05</v>
      </c>
    </row>
    <row r="30">
      <c r="A30" s="0" t="inlineStr">
        <is>
          <t>2018-02-12</t>
        </is>
      </c>
      <c r="B30" s="0" t="n">
        <v>0.0136</v>
      </c>
      <c r="C30" s="0" t="n">
        <v>-0.004500000000000001</v>
      </c>
      <c r="D30" s="0" t="n">
        <v>-0.0028</v>
      </c>
      <c r="E30" s="0" t="n">
        <v>-0.0026</v>
      </c>
      <c r="F30" s="0" t="n">
        <v>-0.0019</v>
      </c>
      <c r="G30" s="0" t="n">
        <v>6e-05</v>
      </c>
    </row>
    <row r="31">
      <c r="A31" s="0" t="inlineStr">
        <is>
          <t>2018-02-13</t>
        </is>
      </c>
      <c r="B31" s="0" t="n">
        <v>0.0031</v>
      </c>
      <c r="C31" s="0" t="n">
        <v>0.001</v>
      </c>
      <c r="D31" s="0" t="n">
        <v>-0.0025</v>
      </c>
      <c r="E31" s="0" t="n">
        <v>0.0021</v>
      </c>
      <c r="F31" s="0" t="n">
        <v>-0.0003</v>
      </c>
      <c r="G31" s="0" t="n">
        <v>6e-05</v>
      </c>
    </row>
    <row r="32">
      <c r="A32" s="0" t="inlineStr">
        <is>
          <t>2018-02-14</t>
        </is>
      </c>
      <c r="B32" s="0" t="n">
        <v>0.0152</v>
      </c>
      <c r="C32" s="0" t="n">
        <v>0.0029</v>
      </c>
      <c r="D32" s="0" t="n">
        <v>0.0048</v>
      </c>
      <c r="E32" s="0" t="n">
        <v>-0.0069</v>
      </c>
      <c r="F32" s="0" t="n">
        <v>-0.0007000000000000001</v>
      </c>
      <c r="G32" s="0" t="n">
        <v>6e-05</v>
      </c>
    </row>
    <row r="33">
      <c r="A33" s="0" t="inlineStr">
        <is>
          <t>2018-02-15</t>
        </is>
      </c>
      <c r="B33" s="0" t="n">
        <v>0.0121</v>
      </c>
      <c r="C33" s="0" t="n">
        <v>-0.0016</v>
      </c>
      <c r="D33" s="0" t="n">
        <v>-0.006500000000000001</v>
      </c>
      <c r="E33" s="0" t="n">
        <v>0.0021</v>
      </c>
      <c r="F33" s="0" t="n">
        <v>-0.003</v>
      </c>
      <c r="G33" s="0" t="n">
        <v>6e-05</v>
      </c>
    </row>
    <row r="34">
      <c r="A34" s="0" t="inlineStr">
        <is>
          <t>2018-02-16</t>
        </is>
      </c>
      <c r="B34" s="0" t="n">
        <v>0.0003</v>
      </c>
      <c r="C34" s="0" t="n">
        <v>0.0035</v>
      </c>
      <c r="D34" s="0" t="n">
        <v>0.0016</v>
      </c>
      <c r="E34" s="0" t="n">
        <v>0.0002</v>
      </c>
      <c r="F34" s="0" t="n">
        <v>0.0009</v>
      </c>
      <c r="G34" s="0" t="n">
        <v>6e-05</v>
      </c>
    </row>
    <row r="35">
      <c r="A35" s="0" t="inlineStr">
        <is>
          <t>2018-02-20</t>
        </is>
      </c>
      <c r="B35" s="0" t="n">
        <v>-0.0062</v>
      </c>
      <c r="C35" s="0" t="n">
        <v>-0.0029</v>
      </c>
      <c r="D35" s="0" t="n">
        <v>-0.0023</v>
      </c>
      <c r="E35" s="0" t="n">
        <v>-0.0025</v>
      </c>
      <c r="F35" s="0" t="n">
        <v>-0.0052</v>
      </c>
      <c r="G35" s="0" t="n">
        <v>6e-05</v>
      </c>
    </row>
    <row r="36">
      <c r="A36" s="0" t="inlineStr">
        <is>
          <t>2018-02-21</t>
        </is>
      </c>
      <c r="B36" s="0" t="n">
        <v>-0.0043</v>
      </c>
      <c r="C36" s="0" t="n">
        <v>0.008</v>
      </c>
      <c r="D36" s="0" t="n">
        <v>0.0021</v>
      </c>
      <c r="E36" s="0" t="n">
        <v>0.0009</v>
      </c>
      <c r="F36" s="0" t="n">
        <v>-0.0028</v>
      </c>
      <c r="G36" s="0" t="n">
        <v>6e-05</v>
      </c>
    </row>
    <row r="37">
      <c r="A37" s="0" t="inlineStr">
        <is>
          <t>2018-02-22</t>
        </is>
      </c>
      <c r="B37" s="0" t="n">
        <v>0.0001</v>
      </c>
      <c r="C37" s="0" t="n">
        <v>-0.0004</v>
      </c>
      <c r="D37" s="0" t="n">
        <v>-0.004099999999999999</v>
      </c>
      <c r="E37" s="0" t="n">
        <v>0.0012</v>
      </c>
      <c r="F37" s="0" t="n">
        <v>0.004500000000000001</v>
      </c>
      <c r="G37" s="0" t="n">
        <v>6e-05</v>
      </c>
    </row>
    <row r="38">
      <c r="A38" s="0" t="inlineStr">
        <is>
          <t>2018-02-23</t>
        </is>
      </c>
      <c r="B38" s="0" t="n">
        <v>0.0154</v>
      </c>
      <c r="C38" s="0" t="n">
        <v>-0.0037</v>
      </c>
      <c r="D38" s="0" t="n">
        <v>-0.0012</v>
      </c>
      <c r="E38" s="0" t="n">
        <v>-0.002</v>
      </c>
      <c r="F38" s="0" t="n">
        <v>-0.001</v>
      </c>
      <c r="G38" s="0" t="n">
        <v>6e-05</v>
      </c>
    </row>
    <row r="39">
      <c r="A39" s="0" t="inlineStr">
        <is>
          <t>2018-02-26</t>
        </is>
      </c>
      <c r="B39" s="0" t="n">
        <v>0.0112</v>
      </c>
      <c r="C39" s="0" t="n">
        <v>-0.004500000000000001</v>
      </c>
      <c r="D39" s="0" t="n">
        <v>-0.0005999999999999999</v>
      </c>
      <c r="E39" s="0" t="n">
        <v>-0.0014</v>
      </c>
      <c r="F39" s="0" t="n">
        <v>-0.0023</v>
      </c>
      <c r="G39" s="0" t="n">
        <v>6e-05</v>
      </c>
    </row>
    <row r="40">
      <c r="A40" s="0" t="inlineStr">
        <is>
          <t>2018-02-27</t>
        </is>
      </c>
      <c r="B40" s="0" t="n">
        <v>-0.0125</v>
      </c>
      <c r="C40" s="0" t="n">
        <v>-0.002</v>
      </c>
      <c r="D40" s="0" t="n">
        <v>0.0003</v>
      </c>
      <c r="E40" s="0" t="n">
        <v>-0.0007000000000000001</v>
      </c>
      <c r="F40" s="0" t="n">
        <v>-0.0005</v>
      </c>
      <c r="G40" s="0" t="n">
        <v>6e-05</v>
      </c>
    </row>
    <row r="41">
      <c r="A41" s="0" t="inlineStr">
        <is>
          <t>2018-02-28</t>
        </is>
      </c>
      <c r="B41" s="0" t="n">
        <v>-0.011</v>
      </c>
      <c r="C41" s="0" t="n">
        <v>-0.0042</v>
      </c>
      <c r="D41" s="0" t="n">
        <v>-0.0029</v>
      </c>
      <c r="E41" s="0" t="n">
        <v>0.0023</v>
      </c>
      <c r="F41" s="0" t="n">
        <v>-0.0027</v>
      </c>
      <c r="G41" s="0" t="n">
        <v>6e-05</v>
      </c>
    </row>
    <row r="42">
      <c r="A42" s="0" t="inlineStr">
        <is>
          <t>2018-03-01</t>
        </is>
      </c>
      <c r="B42" s="0" t="n">
        <v>-0.0118</v>
      </c>
      <c r="C42" s="0" t="n">
        <v>0.009599999999999999</v>
      </c>
      <c r="D42" s="0" t="n">
        <v>-0.0001</v>
      </c>
      <c r="E42" s="0" t="n">
        <v>-0.0026</v>
      </c>
      <c r="F42" s="0" t="n">
        <v>0.0005</v>
      </c>
      <c r="G42" s="0" t="n">
        <v>6e-05</v>
      </c>
    </row>
    <row r="43">
      <c r="A43" s="0" t="inlineStr">
        <is>
          <t>2018-03-02</t>
        </is>
      </c>
      <c r="B43" s="0" t="n">
        <v>0.006999999999999999</v>
      </c>
      <c r="C43" s="0" t="n">
        <v>0.011</v>
      </c>
      <c r="D43" s="0" t="n">
        <v>-0.0048</v>
      </c>
      <c r="E43" s="0" t="n">
        <v>-0.0039</v>
      </c>
      <c r="F43" s="0" t="n">
        <v>-0.0039</v>
      </c>
      <c r="G43" s="0" t="n">
        <v>6e-05</v>
      </c>
    </row>
    <row r="44">
      <c r="A44" s="0" t="inlineStr">
        <is>
          <t>2018-03-05</t>
        </is>
      </c>
      <c r="B44" s="0" t="n">
        <v>0.0106</v>
      </c>
      <c r="C44" s="0" t="n">
        <v>-0.004099999999999999</v>
      </c>
      <c r="D44" s="0" t="n">
        <v>0.0026</v>
      </c>
      <c r="E44" s="0" t="n">
        <v>-0.0059</v>
      </c>
      <c r="F44" s="0" t="n">
        <v>0.0009</v>
      </c>
      <c r="G44" s="0" t="n">
        <v>6e-05</v>
      </c>
    </row>
    <row r="45">
      <c r="A45" s="0" t="inlineStr">
        <is>
          <t>2018-03-06</t>
        </is>
      </c>
      <c r="B45" s="0" t="n">
        <v>0.0036</v>
      </c>
      <c r="C45" s="0" t="n">
        <v>0.0068</v>
      </c>
      <c r="D45" s="0" t="n">
        <v>0.0009</v>
      </c>
      <c r="E45" s="0" t="n">
        <v>0.0026</v>
      </c>
      <c r="F45" s="0" t="n">
        <v>-0.0003</v>
      </c>
      <c r="G45" s="0" t="n">
        <v>6e-05</v>
      </c>
    </row>
    <row r="46">
      <c r="A46" s="0" t="inlineStr">
        <is>
          <t>2018-03-07</t>
        </is>
      </c>
      <c r="B46" s="0" t="n">
        <v>0.0005</v>
      </c>
      <c r="C46" s="0" t="n">
        <v>0.0077</v>
      </c>
      <c r="D46" s="0" t="n">
        <v>-0.0042</v>
      </c>
      <c r="E46" s="0" t="n">
        <v>-0.001</v>
      </c>
      <c r="F46" s="0" t="n">
        <v>-0.0043</v>
      </c>
      <c r="G46" s="0" t="n">
        <v>6e-05</v>
      </c>
    </row>
    <row r="47">
      <c r="A47" s="0" t="inlineStr">
        <is>
          <t>2018-03-08</t>
        </is>
      </c>
      <c r="B47" s="0" t="n">
        <v>0.0037</v>
      </c>
      <c r="C47" s="0" t="n">
        <v>-0.005699999999999999</v>
      </c>
      <c r="D47" s="0" t="n">
        <v>-0.0035</v>
      </c>
      <c r="E47" s="0" t="n">
        <v>0.0002</v>
      </c>
      <c r="F47" s="0" t="n">
        <v>-0.0018</v>
      </c>
      <c r="G47" s="0" t="n">
        <v>6e-05</v>
      </c>
    </row>
    <row r="48">
      <c r="A48" s="0" t="inlineStr">
        <is>
          <t>2018-03-09</t>
        </is>
      </c>
      <c r="B48" s="0" t="n">
        <v>0.017</v>
      </c>
      <c r="C48" s="0" t="n">
        <v>-0.002</v>
      </c>
      <c r="D48" s="0" t="n">
        <v>0.0028</v>
      </c>
      <c r="E48" s="0" t="n">
        <v>-0.0028</v>
      </c>
      <c r="F48" s="0" t="n">
        <v>-0.0004</v>
      </c>
      <c r="G48" s="0" t="n">
        <v>6e-05</v>
      </c>
    </row>
    <row r="49">
      <c r="A49" s="0" t="inlineStr">
        <is>
          <t>2018-03-12</t>
        </is>
      </c>
      <c r="B49" s="0" t="n">
        <v>-0.0009</v>
      </c>
      <c r="C49" s="0" t="n">
        <v>0.0043</v>
      </c>
      <c r="D49" s="0" t="n">
        <v>-0.0007000000000000001</v>
      </c>
      <c r="E49" s="0" t="n">
        <v>-0.0035</v>
      </c>
      <c r="F49" s="0" t="n">
        <v>-0.0022</v>
      </c>
      <c r="G49" s="0" t="n">
        <v>6e-05</v>
      </c>
    </row>
    <row r="50">
      <c r="A50" s="0" t="inlineStr">
        <is>
          <t>2018-03-13</t>
        </is>
      </c>
      <c r="B50" s="0" t="n">
        <v>-0.0067</v>
      </c>
      <c r="C50" s="0" t="n">
        <v>0.0009</v>
      </c>
      <c r="D50" s="0" t="n">
        <v>0.0001</v>
      </c>
      <c r="E50" s="0" t="n">
        <v>0.004699999999999999</v>
      </c>
      <c r="F50" s="0" t="n">
        <v>0.0005</v>
      </c>
      <c r="G50" s="0" t="n">
        <v>6e-05</v>
      </c>
    </row>
    <row r="51">
      <c r="A51" s="0" t="inlineStr">
        <is>
          <t>2018-03-14</t>
        </is>
      </c>
      <c r="B51" s="0" t="n">
        <v>-0.0053</v>
      </c>
      <c r="C51" s="0" t="n">
        <v>0.0016</v>
      </c>
      <c r="D51" s="0" t="n">
        <v>-0.005600000000000001</v>
      </c>
      <c r="E51" s="0" t="n">
        <v>-0.001</v>
      </c>
      <c r="F51" s="0" t="n">
        <v>-0.0042</v>
      </c>
      <c r="G51" s="0" t="n">
        <v>6e-05</v>
      </c>
    </row>
    <row r="52">
      <c r="A52" s="0" t="inlineStr">
        <is>
          <t>2018-03-15</t>
        </is>
      </c>
      <c r="B52" s="0" t="n">
        <v>-0.0018</v>
      </c>
      <c r="C52" s="0" t="n">
        <v>-0.004099999999999999</v>
      </c>
      <c r="D52" s="0" t="n">
        <v>0.0031</v>
      </c>
      <c r="E52" s="0" t="n">
        <v>0.0009</v>
      </c>
      <c r="F52" s="0" t="n">
        <v>-0.0015</v>
      </c>
      <c r="G52" s="0" t="n">
        <v>6e-05</v>
      </c>
    </row>
    <row r="53">
      <c r="A53" s="0" t="inlineStr">
        <is>
          <t>2018-03-16</t>
        </is>
      </c>
      <c r="B53" s="0" t="n">
        <v>0.0025</v>
      </c>
      <c r="C53" s="0" t="n">
        <v>0.004699999999999999</v>
      </c>
      <c r="D53" s="0" t="n">
        <v>0.0019</v>
      </c>
      <c r="E53" s="0" t="n">
        <v>0.0005</v>
      </c>
      <c r="F53" s="0" t="n">
        <v>0.0032</v>
      </c>
      <c r="G53" s="0" t="n">
        <v>6e-05</v>
      </c>
    </row>
    <row r="54">
      <c r="A54" s="0" t="inlineStr">
        <is>
          <t>2018-03-19</t>
        </is>
      </c>
      <c r="B54" s="0" t="n">
        <v>-0.0138</v>
      </c>
      <c r="C54" s="0" t="n">
        <v>0.004099999999999999</v>
      </c>
      <c r="D54" s="0" t="n">
        <v>0.0042</v>
      </c>
      <c r="E54" s="0" t="n">
        <v>0.0033</v>
      </c>
      <c r="F54" s="0" t="n">
        <v>0.0012</v>
      </c>
      <c r="G54" s="0" t="n">
        <v>6e-05</v>
      </c>
    </row>
    <row r="55">
      <c r="A55" s="0" t="inlineStr">
        <is>
          <t>2018-03-20</t>
        </is>
      </c>
      <c r="B55" s="0" t="n">
        <v>0.0015</v>
      </c>
      <c r="C55" s="0" t="n">
        <v>-0.0011</v>
      </c>
      <c r="D55" s="0" t="n">
        <v>-0.0036</v>
      </c>
      <c r="E55" s="0" t="n">
        <v>-0.0005</v>
      </c>
      <c r="F55" s="0" t="n">
        <v>-0.0011</v>
      </c>
      <c r="G55" s="0" t="n">
        <v>6e-05</v>
      </c>
    </row>
    <row r="56">
      <c r="A56" s="0" t="inlineStr">
        <is>
          <t>2018-03-21</t>
        </is>
      </c>
      <c r="B56" s="0" t="n">
        <v>-0.0005999999999999999</v>
      </c>
      <c r="C56" s="0" t="n">
        <v>0.006999999999999999</v>
      </c>
      <c r="D56" s="0" t="n">
        <v>0.0044</v>
      </c>
      <c r="E56" s="0" t="n">
        <v>-0.0112</v>
      </c>
      <c r="F56" s="0" t="n">
        <v>0.008</v>
      </c>
      <c r="G56" s="0" t="n">
        <v>6e-05</v>
      </c>
    </row>
    <row r="57">
      <c r="A57" s="0" t="inlineStr">
        <is>
          <t>2018-03-22</t>
        </is>
      </c>
      <c r="B57" s="0" t="n">
        <v>-0.0254</v>
      </c>
      <c r="C57" s="0" t="n">
        <v>0.004</v>
      </c>
      <c r="D57" s="0" t="n">
        <v>-0.0049</v>
      </c>
      <c r="E57" s="0" t="n">
        <v>0.0021</v>
      </c>
      <c r="F57" s="0" t="n">
        <v>0.0004</v>
      </c>
      <c r="G57" s="0" t="n">
        <v>6e-05</v>
      </c>
    </row>
    <row r="58">
      <c r="A58" s="0" t="inlineStr">
        <is>
          <t>2018-03-23</t>
        </is>
      </c>
      <c r="B58" s="0" t="n">
        <v>-0.0209</v>
      </c>
      <c r="C58" s="0" t="n">
        <v>0.0011</v>
      </c>
      <c r="D58" s="0" t="n">
        <v>-0.0022</v>
      </c>
      <c r="E58" s="0" t="n">
        <v>0.0012</v>
      </c>
      <c r="F58" s="0" t="n">
        <v>0.0073</v>
      </c>
      <c r="G58" s="0" t="n">
        <v>6e-05</v>
      </c>
    </row>
    <row r="59">
      <c r="A59" s="0" t="inlineStr">
        <is>
          <t>2018-03-26</t>
        </is>
      </c>
      <c r="B59" s="0" t="n">
        <v>0.0267</v>
      </c>
      <c r="C59" s="0" t="n">
        <v>-0.0064</v>
      </c>
      <c r="D59" s="0" t="n">
        <v>0.0001</v>
      </c>
      <c r="E59" s="0" t="n">
        <v>-0.0001</v>
      </c>
      <c r="F59" s="0" t="n">
        <v>-0.006</v>
      </c>
      <c r="G59" s="0" t="n">
        <v>6e-05</v>
      </c>
    </row>
    <row r="60">
      <c r="A60" s="0" t="inlineStr">
        <is>
          <t>2018-03-27</t>
        </is>
      </c>
      <c r="B60" s="0" t="n">
        <v>-0.0187</v>
      </c>
      <c r="C60" s="0" t="n">
        <v>-0.0023</v>
      </c>
      <c r="D60" s="0" t="n">
        <v>0.0036</v>
      </c>
      <c r="E60" s="0" t="n">
        <v>0.007900000000000001</v>
      </c>
      <c r="F60" s="0" t="n">
        <v>0.005500000000000001</v>
      </c>
      <c r="G60" s="0" t="n">
        <v>6e-05</v>
      </c>
    </row>
    <row r="61">
      <c r="A61" s="0" t="inlineStr">
        <is>
          <t>2018-03-28</t>
        </is>
      </c>
      <c r="B61" s="0" t="n">
        <v>-0.0035</v>
      </c>
      <c r="C61" s="0" t="n">
        <v>0.0019</v>
      </c>
      <c r="D61" s="0" t="n">
        <v>0.0066</v>
      </c>
      <c r="E61" s="0" t="n">
        <v>0.0075</v>
      </c>
      <c r="F61" s="0" t="n">
        <v>0.0008</v>
      </c>
      <c r="G61" s="0" t="n">
        <v>6e-05</v>
      </c>
    </row>
    <row r="62">
      <c r="A62" s="0" t="inlineStr">
        <is>
          <t>2018-03-29</t>
        </is>
      </c>
      <c r="B62" s="0" t="n">
        <v>0.0141</v>
      </c>
      <c r="C62" s="0" t="n">
        <v>-0.0029</v>
      </c>
      <c r="D62" s="0" t="n">
        <v>-0.002</v>
      </c>
      <c r="E62" s="0" t="n">
        <v>-0.0037</v>
      </c>
      <c r="F62" s="0" t="n">
        <v>-0.0018</v>
      </c>
      <c r="G62" s="0" t="n">
        <v>6e-05</v>
      </c>
    </row>
    <row r="63">
      <c r="A63" s="0" t="inlineStr">
        <is>
          <t>2018-04-02</t>
        </is>
      </c>
      <c r="B63" s="0" t="n">
        <v>-0.0229</v>
      </c>
      <c r="C63" s="0" t="n">
        <v>-0.0008</v>
      </c>
      <c r="D63" s="0" t="n">
        <v>0.0038</v>
      </c>
      <c r="E63" s="0" t="n">
        <v>0.0015</v>
      </c>
      <c r="F63" s="0" t="n">
        <v>-0.001</v>
      </c>
      <c r="G63" s="0" t="n">
        <v>7.000000000000001e-05</v>
      </c>
    </row>
    <row r="64">
      <c r="A64" s="0" t="inlineStr">
        <is>
          <t>2018-04-03</t>
        </is>
      </c>
      <c r="B64" s="0" t="n">
        <v>0.0124</v>
      </c>
      <c r="C64" s="0" t="n">
        <v>-0.0004</v>
      </c>
      <c r="D64" s="0" t="n">
        <v>0.0017</v>
      </c>
      <c r="E64" s="0" t="n">
        <v>0.0026</v>
      </c>
      <c r="F64" s="0" t="n">
        <v>0.0013</v>
      </c>
      <c r="G64" s="0" t="n">
        <v>7.000000000000001e-05</v>
      </c>
    </row>
    <row r="65">
      <c r="A65" s="0" t="inlineStr">
        <is>
          <t>2018-04-04</t>
        </is>
      </c>
      <c r="B65" s="0" t="n">
        <v>0.0117</v>
      </c>
      <c r="C65" s="0" t="n">
        <v>0.0033</v>
      </c>
      <c r="D65" s="0" t="n">
        <v>-0.0031</v>
      </c>
      <c r="E65" s="0" t="n">
        <v>0.0008</v>
      </c>
      <c r="F65" s="0" t="n">
        <v>-0.0014</v>
      </c>
      <c r="G65" s="0" t="n">
        <v>7.000000000000001e-05</v>
      </c>
    </row>
    <row r="66">
      <c r="A66" s="0" t="inlineStr">
        <is>
          <t>2018-04-05</t>
        </is>
      </c>
      <c r="B66" s="0" t="n">
        <v>0.0075</v>
      </c>
      <c r="C66" s="0" t="n">
        <v>0.0005999999999999999</v>
      </c>
      <c r="D66" s="0" t="n">
        <v>0.004699999999999999</v>
      </c>
      <c r="E66" s="0" t="n">
        <v>0.0011</v>
      </c>
      <c r="F66" s="0" t="n">
        <v>0.0025</v>
      </c>
      <c r="G66" s="0" t="n">
        <v>7.000000000000001e-05</v>
      </c>
    </row>
    <row r="67">
      <c r="A67" s="0" t="inlineStr">
        <is>
          <t>2018-04-06</t>
        </is>
      </c>
      <c r="B67" s="0" t="n">
        <v>-0.0219</v>
      </c>
      <c r="C67" s="0" t="n">
        <v>0.0039</v>
      </c>
      <c r="D67" s="0" t="n">
        <v>-0.0005</v>
      </c>
      <c r="E67" s="0" t="n">
        <v>0.0014</v>
      </c>
      <c r="F67" s="0" t="n">
        <v>0.0004</v>
      </c>
      <c r="G67" s="0" t="n">
        <v>7.000000000000001e-05</v>
      </c>
    </row>
    <row r="68">
      <c r="A68" s="0" t="inlineStr">
        <is>
          <t>2018-04-09</t>
        </is>
      </c>
      <c r="B68" s="0" t="n">
        <v>0.003</v>
      </c>
      <c r="C68" s="0" t="n">
        <v>-0.0025</v>
      </c>
      <c r="D68" s="0" t="n">
        <v>-0.005</v>
      </c>
      <c r="E68" s="0" t="n">
        <v>-0.0075</v>
      </c>
      <c r="F68" s="0" t="n">
        <v>-0.0031</v>
      </c>
      <c r="G68" s="0" t="n">
        <v>7.000000000000001e-05</v>
      </c>
    </row>
    <row r="69">
      <c r="A69" s="0" t="inlineStr">
        <is>
          <t>2018-04-10</t>
        </is>
      </c>
      <c r="B69" s="0" t="n">
        <v>0.0177</v>
      </c>
      <c r="C69" s="0" t="n">
        <v>0.0033</v>
      </c>
      <c r="D69" s="0" t="n">
        <v>-0.0013</v>
      </c>
      <c r="E69" s="0" t="n">
        <v>-0.008699999999999999</v>
      </c>
      <c r="F69" s="0" t="n">
        <v>0.0037</v>
      </c>
      <c r="G69" s="0" t="n">
        <v>7.000000000000001e-05</v>
      </c>
    </row>
    <row r="70">
      <c r="A70" s="0" t="inlineStr">
        <is>
          <t>2018-04-11</t>
        </is>
      </c>
      <c r="B70" s="0" t="n">
        <v>-0.0049</v>
      </c>
      <c r="C70" s="0" t="n">
        <v>0.008</v>
      </c>
      <c r="D70" s="0" t="n">
        <v>-0.0031</v>
      </c>
      <c r="E70" s="0" t="n">
        <v>-0.0063</v>
      </c>
      <c r="F70" s="0" t="n">
        <v>0.0027</v>
      </c>
      <c r="G70" s="0" t="n">
        <v>7.000000000000001e-05</v>
      </c>
    </row>
    <row r="71">
      <c r="A71" s="0" t="inlineStr">
        <is>
          <t>2018-04-12</t>
        </is>
      </c>
      <c r="B71" s="0" t="n">
        <v>0.008399999999999999</v>
      </c>
      <c r="C71" s="0" t="n">
        <v>-0.0016</v>
      </c>
      <c r="D71" s="0" t="n">
        <v>0.0019</v>
      </c>
      <c r="E71" s="0" t="n">
        <v>-0.0024</v>
      </c>
      <c r="F71" s="0" t="n">
        <v>0</v>
      </c>
      <c r="G71" s="0" t="n">
        <v>7.000000000000001e-05</v>
      </c>
    </row>
    <row r="72">
      <c r="A72" s="0" t="inlineStr">
        <is>
          <t>2018-04-13</t>
        </is>
      </c>
      <c r="B72" s="0" t="n">
        <v>-0.0037</v>
      </c>
      <c r="C72" s="0" t="n">
        <v>-0.001</v>
      </c>
      <c r="D72" s="0" t="n">
        <v>-0.0026</v>
      </c>
      <c r="E72" s="0" t="n">
        <v>-0.0009</v>
      </c>
      <c r="F72" s="0" t="n">
        <v>0.0015</v>
      </c>
      <c r="G72" s="0" t="n">
        <v>7.000000000000001e-05</v>
      </c>
    </row>
    <row r="73">
      <c r="A73" s="0" t="inlineStr">
        <is>
          <t>2018-04-16</t>
        </is>
      </c>
      <c r="B73" s="0" t="n">
        <v>0.008199999999999999</v>
      </c>
      <c r="C73" s="0" t="n">
        <v>0.0014</v>
      </c>
      <c r="D73" s="0" t="n">
        <v>-0.0003</v>
      </c>
      <c r="E73" s="0" t="n">
        <v>0.008</v>
      </c>
      <c r="F73" s="0" t="n">
        <v>0.0003</v>
      </c>
      <c r="G73" s="0" t="n">
        <v>7.000000000000001e-05</v>
      </c>
    </row>
    <row r="74">
      <c r="A74" s="0" t="inlineStr">
        <is>
          <t>2018-04-17</t>
        </is>
      </c>
      <c r="B74" s="0" t="n">
        <v>0.0109</v>
      </c>
      <c r="C74" s="0" t="n">
        <v>0.0001</v>
      </c>
      <c r="D74" s="0" t="n">
        <v>-0.0118</v>
      </c>
      <c r="E74" s="0" t="n">
        <v>-0.0029</v>
      </c>
      <c r="F74" s="0" t="n">
        <v>-0.0046</v>
      </c>
      <c r="G74" s="0" t="n">
        <v>7.000000000000001e-05</v>
      </c>
    </row>
    <row r="75">
      <c r="A75" s="0" t="inlineStr">
        <is>
          <t>2018-04-18</t>
        </is>
      </c>
      <c r="B75" s="0" t="n">
        <v>0.0013</v>
      </c>
      <c r="C75" s="0" t="n">
        <v>0.0024</v>
      </c>
      <c r="D75" s="0" t="n">
        <v>0.0004</v>
      </c>
      <c r="E75" s="0" t="n">
        <v>-0.0029</v>
      </c>
      <c r="F75" s="0" t="n">
        <v>0.0042</v>
      </c>
      <c r="G75" s="0" t="n">
        <v>7.000000000000001e-05</v>
      </c>
    </row>
    <row r="76">
      <c r="A76" s="0" t="inlineStr">
        <is>
          <t>2018-04-19</t>
        </is>
      </c>
      <c r="B76" s="0" t="n">
        <v>-0.0049</v>
      </c>
      <c r="C76" s="0" t="n">
        <v>-0.0031</v>
      </c>
      <c r="D76" s="0" t="n">
        <v>0.0107</v>
      </c>
      <c r="E76" s="0" t="n">
        <v>-0.0048</v>
      </c>
      <c r="F76" s="0" t="n">
        <v>0.001</v>
      </c>
      <c r="G76" s="0" t="n">
        <v>7.000000000000001e-05</v>
      </c>
    </row>
    <row r="77">
      <c r="A77" s="0" t="inlineStr">
        <is>
          <t>2018-04-20</t>
        </is>
      </c>
      <c r="B77" s="0" t="n">
        <v>-0.008100000000000001</v>
      </c>
      <c r="C77" s="0" t="n">
        <v>0.0011</v>
      </c>
      <c r="D77" s="0" t="n">
        <v>0.0059</v>
      </c>
      <c r="E77" s="0" t="n">
        <v>-0.0058</v>
      </c>
      <c r="F77" s="0" t="n">
        <v>0.0028</v>
      </c>
      <c r="G77" s="0" t="n">
        <v>7.000000000000001e-05</v>
      </c>
    </row>
    <row r="78">
      <c r="A78" s="0" t="inlineStr">
        <is>
          <t>2018-04-23</t>
        </is>
      </c>
      <c r="B78" s="0" t="n">
        <v>-0.0005</v>
      </c>
      <c r="C78" s="0" t="n">
        <v>-0.0005999999999999999</v>
      </c>
      <c r="D78" s="0" t="n">
        <v>0.0021</v>
      </c>
      <c r="E78" s="0" t="n">
        <v>0.0032</v>
      </c>
      <c r="F78" s="0" t="n">
        <v>0.0008</v>
      </c>
      <c r="G78" s="0" t="n">
        <v>7.000000000000001e-05</v>
      </c>
    </row>
    <row r="79">
      <c r="A79" s="0" t="inlineStr">
        <is>
          <t>2018-04-24</t>
        </is>
      </c>
      <c r="B79" s="0" t="n">
        <v>-0.013</v>
      </c>
      <c r="C79" s="0" t="n">
        <v>0.0063</v>
      </c>
      <c r="D79" s="0" t="n">
        <v>0.01</v>
      </c>
      <c r="E79" s="0" t="n">
        <v>0.0007000000000000001</v>
      </c>
      <c r="F79" s="0" t="n">
        <v>0.0023</v>
      </c>
      <c r="G79" s="0" t="n">
        <v>7.000000000000001e-05</v>
      </c>
    </row>
    <row r="80">
      <c r="A80" s="0" t="inlineStr">
        <is>
          <t>2018-04-25</t>
        </is>
      </c>
      <c r="B80" s="0" t="n">
        <v>0.001</v>
      </c>
      <c r="C80" s="0" t="n">
        <v>-0.0027</v>
      </c>
      <c r="D80" s="0" t="n">
        <v>0.0004</v>
      </c>
      <c r="E80" s="0" t="n">
        <v>0.004</v>
      </c>
      <c r="F80" s="0" t="n">
        <v>0.0018</v>
      </c>
      <c r="G80" s="0" t="n">
        <v>7.000000000000001e-05</v>
      </c>
    </row>
    <row r="81">
      <c r="A81" s="0" t="inlineStr">
        <is>
          <t>2018-04-26</t>
        </is>
      </c>
      <c r="B81" s="0" t="n">
        <v>0.009599999999999999</v>
      </c>
      <c r="C81" s="0" t="n">
        <v>-0.0054</v>
      </c>
      <c r="D81" s="0" t="n">
        <v>-0.008699999999999999</v>
      </c>
      <c r="E81" s="0" t="n">
        <v>-0.0058</v>
      </c>
      <c r="F81" s="0" t="n">
        <v>-0.0048</v>
      </c>
      <c r="G81" s="0" t="n">
        <v>7.000000000000001e-05</v>
      </c>
    </row>
    <row r="82">
      <c r="A82" s="0" t="inlineStr">
        <is>
          <t>2018-04-27</t>
        </is>
      </c>
      <c r="B82" s="0" t="n">
        <v>0.0001</v>
      </c>
      <c r="C82" s="0" t="n">
        <v>-0.0027</v>
      </c>
      <c r="D82" s="0" t="n">
        <v>0.0004</v>
      </c>
      <c r="E82" s="0" t="n">
        <v>0.0064</v>
      </c>
      <c r="F82" s="0" t="n">
        <v>0.0008</v>
      </c>
      <c r="G82" s="0" t="n">
        <v>7.000000000000001e-05</v>
      </c>
    </row>
    <row r="83">
      <c r="A83" s="0" t="inlineStr">
        <is>
          <t>2018-04-30</t>
        </is>
      </c>
      <c r="B83" s="0" t="n">
        <v>-0.008</v>
      </c>
      <c r="C83" s="0" t="n">
        <v>-0.0005</v>
      </c>
      <c r="D83" s="0" t="n">
        <v>-0.0009</v>
      </c>
      <c r="E83" s="0" t="n">
        <v>-0.0046</v>
      </c>
      <c r="F83" s="0" t="n">
        <v>-0.0003</v>
      </c>
      <c r="G83" s="0" t="n">
        <v>7.000000000000001e-05</v>
      </c>
    </row>
    <row r="84">
      <c r="A84" s="0" t="inlineStr">
        <is>
          <t>2018-05-01</t>
        </is>
      </c>
      <c r="B84" s="0" t="n">
        <v>0.0024</v>
      </c>
      <c r="C84" s="0" t="n">
        <v>0.0025</v>
      </c>
      <c r="D84" s="0" t="n">
        <v>-0.005600000000000001</v>
      </c>
      <c r="E84" s="0" t="n">
        <v>-0.0003</v>
      </c>
      <c r="F84" s="0" t="n">
        <v>-0.0098</v>
      </c>
      <c r="G84" s="0" t="n">
        <v>6e-05</v>
      </c>
    </row>
    <row r="85">
      <c r="A85" s="0" t="inlineStr">
        <is>
          <t>2018-05-02</t>
        </is>
      </c>
      <c r="B85" s="0" t="n">
        <v>-0.0063</v>
      </c>
      <c r="C85" s="0" t="n">
        <v>0.0126</v>
      </c>
      <c r="D85" s="0" t="n">
        <v>-0.0034</v>
      </c>
      <c r="E85" s="0" t="n">
        <v>0.0003</v>
      </c>
      <c r="F85" s="0" t="n">
        <v>-0.0003</v>
      </c>
      <c r="G85" s="0" t="n">
        <v>6e-05</v>
      </c>
    </row>
    <row r="86">
      <c r="A86" s="0" t="inlineStr">
        <is>
          <t>2018-05-03</t>
        </is>
      </c>
      <c r="B86" s="0" t="n">
        <v>-0.0025</v>
      </c>
      <c r="C86" s="0" t="n">
        <v>-0.0058</v>
      </c>
      <c r="D86" s="0" t="n">
        <v>-0.0017</v>
      </c>
      <c r="E86" s="0" t="n">
        <v>0.0002</v>
      </c>
      <c r="F86" s="0" t="n">
        <v>-0.001</v>
      </c>
      <c r="G86" s="0" t="n">
        <v>6e-05</v>
      </c>
    </row>
    <row r="87">
      <c r="A87" s="0" t="inlineStr">
        <is>
          <t>2018-05-04</t>
        </is>
      </c>
      <c r="B87" s="0" t="n">
        <v>0.013</v>
      </c>
      <c r="C87" s="0" t="n">
        <v>-0.0004</v>
      </c>
      <c r="D87" s="0" t="n">
        <v>-0.0018</v>
      </c>
      <c r="E87" s="0" t="n">
        <v>-0.004</v>
      </c>
      <c r="F87" s="0" t="n">
        <v>0.0005999999999999999</v>
      </c>
      <c r="G87" s="0" t="n">
        <v>6e-05</v>
      </c>
    </row>
    <row r="88">
      <c r="A88" s="0" t="inlineStr">
        <is>
          <t>2018-05-07</t>
        </is>
      </c>
      <c r="B88" s="0" t="n">
        <v>0.0042</v>
      </c>
      <c r="C88" s="0" t="n">
        <v>0.0038</v>
      </c>
      <c r="D88" s="0" t="n">
        <v>-0.0035</v>
      </c>
      <c r="E88" s="0" t="n">
        <v>-0.0054</v>
      </c>
      <c r="F88" s="0" t="n">
        <v>-0.0032</v>
      </c>
      <c r="G88" s="0" t="n">
        <v>6e-05</v>
      </c>
    </row>
    <row r="89">
      <c r="A89" s="0" t="inlineStr">
        <is>
          <t>2018-05-08</t>
        </is>
      </c>
      <c r="B89" s="0" t="n">
        <v>0.0007000000000000001</v>
      </c>
      <c r="C89" s="0" t="n">
        <v>0.005</v>
      </c>
      <c r="D89" s="0" t="n">
        <v>0.0026</v>
      </c>
      <c r="E89" s="0" t="n">
        <v>-0.0028</v>
      </c>
      <c r="F89" s="0" t="n">
        <v>0.0014</v>
      </c>
      <c r="G89" s="0" t="n">
        <v>6e-05</v>
      </c>
    </row>
    <row r="90">
      <c r="A90" s="0" t="inlineStr">
        <is>
          <t>2018-05-09</t>
        </is>
      </c>
      <c r="B90" s="0" t="n">
        <v>0.0089</v>
      </c>
      <c r="C90" s="0" t="n">
        <v>-0.0024</v>
      </c>
      <c r="D90" s="0" t="n">
        <v>0.0026</v>
      </c>
      <c r="E90" s="0" t="n">
        <v>-0.0091</v>
      </c>
      <c r="F90" s="0" t="n">
        <v>0</v>
      </c>
      <c r="G90" s="0" t="n">
        <v>6e-05</v>
      </c>
    </row>
    <row r="91">
      <c r="A91" s="0" t="inlineStr">
        <is>
          <t>2018-05-10</t>
        </is>
      </c>
      <c r="B91" s="0" t="n">
        <v>0.008399999999999999</v>
      </c>
      <c r="C91" s="0" t="n">
        <v>-0.0038</v>
      </c>
      <c r="D91" s="0" t="n">
        <v>-0.0005999999999999999</v>
      </c>
      <c r="E91" s="0" t="n">
        <v>0.0027</v>
      </c>
      <c r="F91" s="0" t="n">
        <v>-0.0034</v>
      </c>
      <c r="G91" s="0" t="n">
        <v>6e-05</v>
      </c>
    </row>
    <row r="92">
      <c r="A92" s="0" t="inlineStr">
        <is>
          <t>2018-05-11</t>
        </is>
      </c>
      <c r="B92" s="0" t="n">
        <v>0.0019</v>
      </c>
      <c r="C92" s="0" t="n">
        <v>0.0011</v>
      </c>
      <c r="D92" s="0" t="n">
        <v>-0.0037</v>
      </c>
      <c r="E92" s="0" t="n">
        <v>0.0025</v>
      </c>
      <c r="F92" s="0" t="n">
        <v>0.0013</v>
      </c>
      <c r="G92" s="0" t="n">
        <v>6e-05</v>
      </c>
    </row>
    <row r="93">
      <c r="A93" s="0" t="inlineStr">
        <is>
          <t>2018-05-14</t>
        </is>
      </c>
      <c r="B93" s="0" t="n">
        <v>0.0005</v>
      </c>
      <c r="C93" s="0" t="n">
        <v>-0.0029</v>
      </c>
      <c r="D93" s="0" t="n">
        <v>0.0011</v>
      </c>
      <c r="E93" s="0" t="n">
        <v>-0.0022</v>
      </c>
      <c r="F93" s="0" t="n">
        <v>0.005</v>
      </c>
      <c r="G93" s="0" t="n">
        <v>6e-05</v>
      </c>
    </row>
    <row r="94">
      <c r="A94" s="0" t="inlineStr">
        <is>
          <t>2018-05-15</t>
        </is>
      </c>
      <c r="B94" s="0" t="n">
        <v>-0.005500000000000001</v>
      </c>
      <c r="C94" s="0" t="n">
        <v>0.0071</v>
      </c>
      <c r="D94" s="0" t="n">
        <v>0.004099999999999999</v>
      </c>
      <c r="E94" s="0" t="n">
        <v>-0.0008</v>
      </c>
      <c r="F94" s="0" t="n">
        <v>0.0043</v>
      </c>
      <c r="G94" s="0" t="n">
        <v>6e-05</v>
      </c>
    </row>
    <row r="95">
      <c r="A95" s="0" t="inlineStr">
        <is>
          <t>2018-05-16</t>
        </is>
      </c>
      <c r="B95" s="0" t="n">
        <v>0.005</v>
      </c>
      <c r="C95" s="0" t="n">
        <v>0.0069</v>
      </c>
      <c r="D95" s="0" t="n">
        <v>-0.0025</v>
      </c>
      <c r="E95" s="0" t="n">
        <v>0.0036</v>
      </c>
      <c r="F95" s="0" t="n">
        <v>0.001</v>
      </c>
      <c r="G95" s="0" t="n">
        <v>6e-05</v>
      </c>
    </row>
    <row r="96">
      <c r="A96" s="0" t="inlineStr">
        <is>
          <t>2018-05-17</t>
        </is>
      </c>
      <c r="B96" s="0" t="n">
        <v>0.0002</v>
      </c>
      <c r="C96" s="0" t="n">
        <v>0.008699999999999999</v>
      </c>
      <c r="D96" s="0" t="n">
        <v>0.0029</v>
      </c>
      <c r="E96" s="0" t="n">
        <v>-0.0036</v>
      </c>
      <c r="F96" s="0" t="n">
        <v>0.003</v>
      </c>
      <c r="G96" s="0" t="n">
        <v>6e-05</v>
      </c>
    </row>
    <row r="97">
      <c r="A97" s="0" t="inlineStr">
        <is>
          <t>2018-05-18</t>
        </is>
      </c>
      <c r="B97" s="0" t="n">
        <v>-0.0023</v>
      </c>
      <c r="C97" s="0" t="n">
        <v>0.004699999999999999</v>
      </c>
      <c r="D97" s="0" t="n">
        <v>-0.0061</v>
      </c>
      <c r="E97" s="0" t="n">
        <v>0.0011</v>
      </c>
      <c r="F97" s="0" t="n">
        <v>-0.002</v>
      </c>
      <c r="G97" s="0" t="n">
        <v>6e-05</v>
      </c>
    </row>
    <row r="98">
      <c r="A98" s="0" t="inlineStr">
        <is>
          <t>2018-05-21</t>
        </is>
      </c>
      <c r="B98" s="0" t="n">
        <v>0.0072</v>
      </c>
      <c r="C98" s="0" t="n">
        <v>-0.002</v>
      </c>
      <c r="D98" s="0" t="n">
        <v>0.0042</v>
      </c>
      <c r="E98" s="0" t="n">
        <v>0.0017</v>
      </c>
      <c r="F98" s="0" t="n">
        <v>0.0007000000000000001</v>
      </c>
      <c r="G98" s="0" t="n">
        <v>6e-05</v>
      </c>
    </row>
    <row r="99">
      <c r="A99" s="0" t="inlineStr">
        <is>
          <t>2018-05-22</t>
        </is>
      </c>
      <c r="B99" s="0" t="n">
        <v>-0.0042</v>
      </c>
      <c r="C99" s="0" t="n">
        <v>-0.0066</v>
      </c>
      <c r="D99" s="0" t="n">
        <v>0.0062</v>
      </c>
      <c r="E99" s="0" t="n">
        <v>-0.0031</v>
      </c>
      <c r="F99" s="0" t="n">
        <v>-0.0039</v>
      </c>
      <c r="G99" s="0" t="n">
        <v>6e-05</v>
      </c>
    </row>
    <row r="100">
      <c r="A100" s="0" t="inlineStr">
        <is>
          <t>2018-05-23</t>
        </is>
      </c>
      <c r="B100" s="0" t="n">
        <v>0.0029</v>
      </c>
      <c r="C100" s="0" t="n">
        <v>-0.0007000000000000001</v>
      </c>
      <c r="D100" s="0" t="n">
        <v>-0.006999999999999999</v>
      </c>
      <c r="E100" s="0" t="n">
        <v>-0.0001</v>
      </c>
      <c r="F100" s="0" t="n">
        <v>-0.0038</v>
      </c>
      <c r="G100" s="0" t="n">
        <v>6e-05</v>
      </c>
    </row>
    <row r="101">
      <c r="A101" s="0" t="inlineStr">
        <is>
          <t>2018-05-24</t>
        </is>
      </c>
      <c r="B101" s="0" t="n">
        <v>-0.0016</v>
      </c>
      <c r="C101" s="0" t="n">
        <v>0.0033</v>
      </c>
      <c r="D101" s="0" t="n">
        <v>-0.0034</v>
      </c>
      <c r="E101" s="0" t="n">
        <v>0.0052</v>
      </c>
      <c r="F101" s="0" t="n">
        <v>0.0009</v>
      </c>
      <c r="G101" s="0" t="n">
        <v>6e-05</v>
      </c>
    </row>
    <row r="102">
      <c r="A102" s="0" t="inlineStr">
        <is>
          <t>2018-05-25</t>
        </is>
      </c>
      <c r="B102" s="0" t="n">
        <v>-0.0021</v>
      </c>
      <c r="C102" s="0" t="n">
        <v>0.0022</v>
      </c>
      <c r="D102" s="0" t="n">
        <v>-0.0042</v>
      </c>
      <c r="E102" s="0" t="n">
        <v>0.0059</v>
      </c>
      <c r="F102" s="0" t="n">
        <v>-0.0053</v>
      </c>
      <c r="G102" s="0" t="n">
        <v>6e-05</v>
      </c>
    </row>
    <row r="103">
      <c r="A103" s="0" t="inlineStr">
        <is>
          <t>2018-05-29</t>
        </is>
      </c>
      <c r="B103" s="0" t="n">
        <v>-0.0103</v>
      </c>
      <c r="C103" s="0" t="n">
        <v>0.0112</v>
      </c>
      <c r="D103" s="0" t="n">
        <v>-0.009899999999999999</v>
      </c>
      <c r="E103" s="0" t="n">
        <v>0.0017</v>
      </c>
      <c r="F103" s="0" t="n">
        <v>-0.0002</v>
      </c>
      <c r="G103" s="0" t="n">
        <v>6e-05</v>
      </c>
    </row>
    <row r="104">
      <c r="A104" s="0" t="inlineStr">
        <is>
          <t>2018-05-30</t>
        </is>
      </c>
      <c r="B104" s="0" t="n">
        <v>0.0131</v>
      </c>
      <c r="C104" s="0" t="n">
        <v>0.0004</v>
      </c>
      <c r="D104" s="0" t="n">
        <v>0.0038</v>
      </c>
      <c r="E104" s="0" t="n">
        <v>-0.0074</v>
      </c>
      <c r="F104" s="0" t="n">
        <v>0.0021</v>
      </c>
      <c r="G104" s="0" t="n">
        <v>6e-05</v>
      </c>
    </row>
    <row r="105">
      <c r="A105" s="0" t="inlineStr">
        <is>
          <t>2018-05-31</t>
        </is>
      </c>
      <c r="B105" s="0" t="n">
        <v>-0.006999999999999999</v>
      </c>
      <c r="C105" s="0" t="n">
        <v>0.0004</v>
      </c>
      <c r="D105" s="0" t="n">
        <v>-0.004099999999999999</v>
      </c>
      <c r="E105" s="0" t="n">
        <v>-0.0051</v>
      </c>
      <c r="F105" s="0" t="n">
        <v>-0.0016</v>
      </c>
      <c r="G105" s="0" t="n">
        <v>6e-05</v>
      </c>
    </row>
    <row r="106">
      <c r="A106" s="0" t="inlineStr">
        <is>
          <t>2018-06-01</t>
        </is>
      </c>
      <c r="B106" s="0" t="n">
        <v>0.0106</v>
      </c>
      <c r="C106" s="0" t="n">
        <v>-0.0022</v>
      </c>
      <c r="D106" s="0" t="n">
        <v>-0.0011</v>
      </c>
      <c r="E106" s="0" t="n">
        <v>-0.0005999999999999999</v>
      </c>
      <c r="F106" s="0" t="n">
        <v>-0.0017</v>
      </c>
      <c r="G106" s="0" t="n">
        <v>6e-05</v>
      </c>
    </row>
    <row r="107">
      <c r="A107" s="0" t="inlineStr">
        <is>
          <t>2018-06-04</t>
        </is>
      </c>
      <c r="B107" s="0" t="n">
        <v>0.0048</v>
      </c>
      <c r="C107" s="0" t="n">
        <v>0.0014</v>
      </c>
      <c r="D107" s="0" t="n">
        <v>-0.0046</v>
      </c>
      <c r="E107" s="0" t="n">
        <v>0.0106</v>
      </c>
      <c r="F107" s="0" t="n">
        <v>-0.003</v>
      </c>
      <c r="G107" s="0" t="n">
        <v>6e-05</v>
      </c>
    </row>
    <row r="108">
      <c r="A108" s="0" t="inlineStr">
        <is>
          <t>2018-06-05</t>
        </is>
      </c>
      <c r="B108" s="0" t="n">
        <v>0.0016</v>
      </c>
      <c r="C108" s="0" t="n">
        <v>0.007900000000000001</v>
      </c>
      <c r="D108" s="0" t="n">
        <v>-0.0043</v>
      </c>
      <c r="E108" s="0" t="n">
        <v>0.0023</v>
      </c>
      <c r="F108" s="0" t="n">
        <v>0.0012</v>
      </c>
      <c r="G108" s="0" t="n">
        <v>6e-05</v>
      </c>
    </row>
    <row r="109">
      <c r="A109" s="0" t="inlineStr">
        <is>
          <t>2018-06-06</t>
        </is>
      </c>
      <c r="B109" s="0" t="n">
        <v>0.0086</v>
      </c>
      <c r="C109" s="0" t="n">
        <v>-0.0028</v>
      </c>
      <c r="D109" s="0" t="n">
        <v>0.0019</v>
      </c>
      <c r="E109" s="0" t="n">
        <v>-0.0002</v>
      </c>
      <c r="F109" s="0" t="n">
        <v>0.0015</v>
      </c>
      <c r="G109" s="0" t="n">
        <v>6e-05</v>
      </c>
    </row>
    <row r="110">
      <c r="A110" s="0" t="inlineStr">
        <is>
          <t>2018-06-07</t>
        </is>
      </c>
      <c r="B110" s="0" t="n">
        <v>-0.0014</v>
      </c>
      <c r="C110" s="0" t="n">
        <v>-0.0024</v>
      </c>
      <c r="D110" s="0" t="n">
        <v>0.0091</v>
      </c>
      <c r="E110" s="0" t="n">
        <v>0.0017</v>
      </c>
      <c r="F110" s="0" t="n">
        <v>0.0059</v>
      </c>
      <c r="G110" s="0" t="n">
        <v>6e-05</v>
      </c>
    </row>
    <row r="111">
      <c r="A111" s="0" t="inlineStr">
        <is>
          <t>2018-06-08</t>
        </is>
      </c>
      <c r="B111" s="0" t="n">
        <v>0.0031</v>
      </c>
      <c r="C111" s="0" t="n">
        <v>0.0005</v>
      </c>
      <c r="D111" s="0" t="n">
        <v>-0.004099999999999999</v>
      </c>
      <c r="E111" s="0" t="n">
        <v>0.0027</v>
      </c>
      <c r="F111" s="0" t="n">
        <v>-0.0019</v>
      </c>
      <c r="G111" s="0" t="n">
        <v>6e-05</v>
      </c>
    </row>
    <row r="112">
      <c r="A112" s="0" t="inlineStr">
        <is>
          <t>2018-06-11</t>
        </is>
      </c>
      <c r="B112" s="0" t="n">
        <v>0.0012</v>
      </c>
      <c r="C112" s="0" t="n">
        <v>0.0015</v>
      </c>
      <c r="D112" s="0" t="n">
        <v>-0.0017</v>
      </c>
      <c r="E112" s="0" t="n">
        <v>0.0022</v>
      </c>
      <c r="F112" s="0" t="n">
        <v>0.0024</v>
      </c>
      <c r="G112" s="0" t="n">
        <v>6e-05</v>
      </c>
    </row>
    <row r="113">
      <c r="A113" s="0" t="inlineStr">
        <is>
          <t>2018-06-12</t>
        </is>
      </c>
      <c r="B113" s="0" t="n">
        <v>0.0023</v>
      </c>
      <c r="C113" s="0" t="n">
        <v>0.002</v>
      </c>
      <c r="D113" s="0" t="n">
        <v>-0.0063</v>
      </c>
      <c r="E113" s="0" t="n">
        <v>0.0009</v>
      </c>
      <c r="F113" s="0" t="n">
        <v>-0.0017</v>
      </c>
      <c r="G113" s="0" t="n">
        <v>6e-05</v>
      </c>
    </row>
    <row r="114">
      <c r="A114" s="0" t="inlineStr">
        <is>
          <t>2018-06-13</t>
        </is>
      </c>
      <c r="B114" s="0" t="n">
        <v>-0.0033</v>
      </c>
      <c r="C114" s="0" t="n">
        <v>0.0005</v>
      </c>
      <c r="D114" s="0" t="n">
        <v>-0.0018</v>
      </c>
      <c r="E114" s="0" t="n">
        <v>-0.0053</v>
      </c>
      <c r="F114" s="0" t="n">
        <v>-0.0016</v>
      </c>
      <c r="G114" s="0" t="n">
        <v>6e-05</v>
      </c>
    </row>
    <row r="115">
      <c r="A115" s="0" t="inlineStr">
        <is>
          <t>2018-06-14</t>
        </is>
      </c>
      <c r="B115" s="0" t="n">
        <v>0.0027</v>
      </c>
      <c r="C115" s="0" t="n">
        <v>0.002</v>
      </c>
      <c r="D115" s="0" t="n">
        <v>-0.009899999999999999</v>
      </c>
      <c r="E115" s="0" t="n">
        <v>0</v>
      </c>
      <c r="F115" s="0" t="n">
        <v>-0.006</v>
      </c>
      <c r="G115" s="0" t="n">
        <v>6e-05</v>
      </c>
    </row>
    <row r="116">
      <c r="A116" s="0" t="inlineStr">
        <is>
          <t>2018-06-15</t>
        </is>
      </c>
      <c r="B116" s="0" t="n">
        <v>-0.0008</v>
      </c>
      <c r="C116" s="0" t="n">
        <v>0.0011</v>
      </c>
      <c r="D116" s="0" t="n">
        <v>-0.0024</v>
      </c>
      <c r="E116" s="0" t="n">
        <v>0.0068</v>
      </c>
      <c r="F116" s="0" t="n">
        <v>-0.0015</v>
      </c>
      <c r="G116" s="0" t="n">
        <v>6e-05</v>
      </c>
    </row>
    <row r="117">
      <c r="A117" s="0" t="inlineStr">
        <is>
          <t>2018-06-18</t>
        </is>
      </c>
      <c r="B117" s="0" t="n">
        <v>-0.0009</v>
      </c>
      <c r="C117" s="0" t="n">
        <v>0.0075</v>
      </c>
      <c r="D117" s="0" t="n">
        <v>0.0008</v>
      </c>
      <c r="E117" s="0" t="n">
        <v>-0.004500000000000001</v>
      </c>
      <c r="F117" s="0" t="n">
        <v>0.0004</v>
      </c>
      <c r="G117" s="0" t="n">
        <v>6e-05</v>
      </c>
    </row>
    <row r="118">
      <c r="A118" s="0" t="inlineStr">
        <is>
          <t>2018-06-19</t>
        </is>
      </c>
      <c r="B118" s="0" t="n">
        <v>-0.0038</v>
      </c>
      <c r="C118" s="0" t="n">
        <v>0.0052</v>
      </c>
      <c r="D118" s="0" t="n">
        <v>-0.0015</v>
      </c>
      <c r="E118" s="0" t="n">
        <v>-0.0024</v>
      </c>
      <c r="F118" s="0" t="n">
        <v>-0.0036</v>
      </c>
      <c r="G118" s="0" t="n">
        <v>6e-05</v>
      </c>
    </row>
    <row r="119">
      <c r="A119" s="0" t="inlineStr">
        <is>
          <t>2018-06-20</t>
        </is>
      </c>
      <c r="B119" s="0" t="n">
        <v>0.0023</v>
      </c>
      <c r="C119" s="0" t="n">
        <v>0.0066</v>
      </c>
      <c r="D119" s="0" t="n">
        <v>-0.0049</v>
      </c>
      <c r="E119" s="0" t="n">
        <v>-0.0014</v>
      </c>
      <c r="F119" s="0" t="n">
        <v>0.0008</v>
      </c>
      <c r="G119" s="0" t="n">
        <v>6e-05</v>
      </c>
    </row>
    <row r="120">
      <c r="A120" s="0" t="inlineStr">
        <is>
          <t>2018-06-21</t>
        </is>
      </c>
      <c r="B120" s="0" t="n">
        <v>-0.0073</v>
      </c>
      <c r="C120" s="0" t="n">
        <v>-0.005600000000000001</v>
      </c>
      <c r="D120" s="0" t="n">
        <v>0.0034</v>
      </c>
      <c r="E120" s="0" t="n">
        <v>0.004500000000000001</v>
      </c>
      <c r="F120" s="0" t="n">
        <v>0.0013</v>
      </c>
      <c r="G120" s="0" t="n">
        <v>6e-05</v>
      </c>
    </row>
    <row r="121">
      <c r="A121" s="0" t="inlineStr">
        <is>
          <t>2018-06-22</t>
        </is>
      </c>
      <c r="B121" s="0" t="n">
        <v>0.0011</v>
      </c>
      <c r="C121" s="0" t="n">
        <v>-0.0005</v>
      </c>
      <c r="D121" s="0" t="n">
        <v>0.0046</v>
      </c>
      <c r="E121" s="0" t="n">
        <v>-0.005500000000000001</v>
      </c>
      <c r="F121" s="0" t="n">
        <v>0.0086</v>
      </c>
      <c r="G121" s="0" t="n">
        <v>6e-05</v>
      </c>
    </row>
    <row r="122">
      <c r="A122" s="0" t="inlineStr">
        <is>
          <t>2018-06-25</t>
        </is>
      </c>
      <c r="B122" s="0" t="n">
        <v>-0.0148</v>
      </c>
      <c r="C122" s="0" t="n">
        <v>-0.004699999999999999</v>
      </c>
      <c r="D122" s="0" t="n">
        <v>0.005699999999999999</v>
      </c>
      <c r="E122" s="0" t="n">
        <v>0.0062</v>
      </c>
      <c r="F122" s="0" t="n">
        <v>0.0015</v>
      </c>
      <c r="G122" s="0" t="n">
        <v>6e-05</v>
      </c>
    </row>
    <row r="123">
      <c r="A123" s="0" t="inlineStr">
        <is>
          <t>2018-06-26</t>
        </is>
      </c>
      <c r="B123" s="0" t="n">
        <v>0.0027</v>
      </c>
      <c r="C123" s="0" t="n">
        <v>0.0052</v>
      </c>
      <c r="D123" s="0" t="n">
        <v>-0.0024</v>
      </c>
      <c r="E123" s="0" t="n">
        <v>-0.005</v>
      </c>
      <c r="F123" s="0" t="n">
        <v>0.001</v>
      </c>
      <c r="G123" s="0" t="n">
        <v>6e-05</v>
      </c>
    </row>
    <row r="124">
      <c r="A124" s="0" t="inlineStr">
        <is>
          <t>2018-06-27</t>
        </is>
      </c>
      <c r="B124" s="0" t="n">
        <v>-0.0102</v>
      </c>
      <c r="C124" s="0" t="n">
        <v>-0.0098</v>
      </c>
      <c r="D124" s="0" t="n">
        <v>0.0037</v>
      </c>
      <c r="E124" s="0" t="n">
        <v>-0.0008</v>
      </c>
      <c r="F124" s="0" t="n">
        <v>0.0053</v>
      </c>
      <c r="G124" s="0" t="n">
        <v>6e-05</v>
      </c>
    </row>
    <row r="125">
      <c r="A125" s="0" t="inlineStr">
        <is>
          <t>2018-06-28</t>
        </is>
      </c>
      <c r="B125" s="0" t="n">
        <v>0.0058</v>
      </c>
      <c r="C125" s="0" t="n">
        <v>-0.0019</v>
      </c>
      <c r="D125" s="0" t="n">
        <v>-0.005</v>
      </c>
      <c r="E125" s="0" t="n">
        <v>-0.0017</v>
      </c>
      <c r="F125" s="0" t="n">
        <v>-0.005600000000000001</v>
      </c>
      <c r="G125" s="0" t="n">
        <v>6e-05</v>
      </c>
    </row>
    <row r="126">
      <c r="A126" s="0" t="inlineStr">
        <is>
          <t>2018-06-29</t>
        </is>
      </c>
      <c r="B126" s="0" t="n">
        <v>0.0007000000000000001</v>
      </c>
      <c r="C126" s="0" t="n">
        <v>-0.0024</v>
      </c>
      <c r="D126" s="0" t="n">
        <v>-0.0024</v>
      </c>
      <c r="E126" s="0" t="n">
        <v>-0.0024</v>
      </c>
      <c r="F126" s="0" t="n">
        <v>0.0002</v>
      </c>
      <c r="G126" s="0" t="n">
        <v>6e-05</v>
      </c>
    </row>
    <row r="127">
      <c r="A127" s="0" t="inlineStr">
        <is>
          <t>2018-07-02</t>
        </is>
      </c>
      <c r="B127" s="0" t="n">
        <v>0.0036</v>
      </c>
      <c r="C127" s="0" t="n">
        <v>0.0042</v>
      </c>
      <c r="D127" s="0" t="n">
        <v>-0.0023</v>
      </c>
      <c r="E127" s="0" t="n">
        <v>-0.0007000000000000001</v>
      </c>
      <c r="F127" s="0" t="n">
        <v>-0.005600000000000001</v>
      </c>
      <c r="G127" s="0" t="n">
        <v>8.000000000000001e-05</v>
      </c>
    </row>
    <row r="128">
      <c r="A128" s="0" t="inlineStr">
        <is>
          <t>2018-07-03</t>
        </is>
      </c>
      <c r="B128" s="0" t="n">
        <v>-0.0044</v>
      </c>
      <c r="C128" s="0" t="n">
        <v>0.0076</v>
      </c>
      <c r="D128" s="0" t="n">
        <v>0</v>
      </c>
      <c r="E128" s="0" t="n">
        <v>-0.0031</v>
      </c>
      <c r="F128" s="0" t="n">
        <v>0.0046</v>
      </c>
      <c r="G128" s="0" t="n">
        <v>8.000000000000001e-05</v>
      </c>
    </row>
    <row r="129">
      <c r="A129" s="0" t="inlineStr">
        <is>
          <t>2018-07-05</t>
        </is>
      </c>
      <c r="B129" s="0" t="n">
        <v>0.008699999999999999</v>
      </c>
      <c r="C129" s="0" t="n">
        <v>0.0039</v>
      </c>
      <c r="D129" s="0" t="n">
        <v>-0.0044</v>
      </c>
      <c r="E129" s="0" t="n">
        <v>0.0035</v>
      </c>
      <c r="F129" s="0" t="n">
        <v>-0.0017</v>
      </c>
      <c r="G129" s="0" t="n">
        <v>8.000000000000001e-05</v>
      </c>
    </row>
    <row r="130">
      <c r="A130" s="0" t="inlineStr">
        <is>
          <t>2018-07-06</t>
        </is>
      </c>
      <c r="B130" s="0" t="n">
        <v>0.008800000000000001</v>
      </c>
      <c r="C130" s="0" t="n">
        <v>-0.0002</v>
      </c>
      <c r="D130" s="0" t="n">
        <v>-0.0031</v>
      </c>
      <c r="E130" s="0" t="n">
        <v>-0.0025</v>
      </c>
      <c r="F130" s="0" t="n">
        <v>-0.0012</v>
      </c>
      <c r="G130" s="0" t="n">
        <v>8.000000000000001e-05</v>
      </c>
    </row>
    <row r="131">
      <c r="A131" s="0" t="inlineStr">
        <is>
          <t>2018-07-09</t>
        </is>
      </c>
      <c r="B131" s="0" t="n">
        <v>0.009300000000000001</v>
      </c>
      <c r="C131" s="0" t="n">
        <v>-0.0029</v>
      </c>
      <c r="D131" s="0" t="n">
        <v>0.008399999999999999</v>
      </c>
      <c r="E131" s="0" t="n">
        <v>0.0001</v>
      </c>
      <c r="F131" s="0" t="n">
        <v>-0.0019</v>
      </c>
      <c r="G131" s="0" t="n">
        <v>8.000000000000001e-05</v>
      </c>
    </row>
    <row r="132">
      <c r="A132" s="0" t="inlineStr">
        <is>
          <t>2018-07-10</t>
        </is>
      </c>
      <c r="B132" s="0" t="n">
        <v>0.0021</v>
      </c>
      <c r="C132" s="0" t="n">
        <v>-0.0083</v>
      </c>
      <c r="D132" s="0" t="n">
        <v>-0.0015</v>
      </c>
      <c r="E132" s="0" t="n">
        <v>0.001</v>
      </c>
      <c r="F132" s="0" t="n">
        <v>0.0027</v>
      </c>
      <c r="G132" s="0" t="n">
        <v>8.000000000000001e-05</v>
      </c>
    </row>
    <row r="133">
      <c r="A133" s="0" t="inlineStr">
        <is>
          <t>2018-07-11</t>
        </is>
      </c>
      <c r="B133" s="0" t="n">
        <v>-0.0069</v>
      </c>
      <c r="C133" s="0" t="n">
        <v>-0.0005999999999999999</v>
      </c>
      <c r="D133" s="0" t="n">
        <v>-0.004500000000000001</v>
      </c>
      <c r="E133" s="0" t="n">
        <v>-0.001</v>
      </c>
      <c r="F133" s="0" t="n">
        <v>-0.0032</v>
      </c>
      <c r="G133" s="0" t="n">
        <v>8.000000000000001e-05</v>
      </c>
    </row>
    <row r="134">
      <c r="A134" s="0" t="inlineStr">
        <is>
          <t>2018-07-12</t>
        </is>
      </c>
      <c r="B134" s="0" t="n">
        <v>0.0086</v>
      </c>
      <c r="C134" s="0" t="n">
        <v>-0.004099999999999999</v>
      </c>
      <c r="D134" s="0" t="n">
        <v>-0.0109</v>
      </c>
      <c r="E134" s="0" t="n">
        <v>-0.0004</v>
      </c>
      <c r="F134" s="0" t="n">
        <v>-0.0049</v>
      </c>
      <c r="G134" s="0" t="n">
        <v>8.000000000000001e-05</v>
      </c>
    </row>
    <row r="135">
      <c r="A135" s="0" t="inlineStr">
        <is>
          <t>2018-07-13</t>
        </is>
      </c>
      <c r="B135" s="0" t="n">
        <v>0.0008</v>
      </c>
      <c r="C135" s="0" t="n">
        <v>-0.0017</v>
      </c>
      <c r="D135" s="0" t="n">
        <v>-0.0027</v>
      </c>
      <c r="E135" s="0" t="n">
        <v>0.0034</v>
      </c>
      <c r="F135" s="0" t="n">
        <v>0.0019</v>
      </c>
      <c r="G135" s="0" t="n">
        <v>8.000000000000001e-05</v>
      </c>
    </row>
    <row r="136">
      <c r="A136" s="0" t="inlineStr">
        <is>
          <t>2018-07-16</t>
        </is>
      </c>
      <c r="B136" s="0" t="n">
        <v>-0.0016</v>
      </c>
      <c r="C136" s="0" t="n">
        <v>-0.0063</v>
      </c>
      <c r="D136" s="0" t="n">
        <v>0.009599999999999999</v>
      </c>
      <c r="E136" s="0" t="n">
        <v>-0.0021</v>
      </c>
      <c r="F136" s="0" t="n">
        <v>-0.0016</v>
      </c>
      <c r="G136" s="0" t="n">
        <v>8.000000000000001e-05</v>
      </c>
    </row>
    <row r="137">
      <c r="A137" s="0" t="inlineStr">
        <is>
          <t>2018-07-17</t>
        </is>
      </c>
      <c r="B137" s="0" t="n">
        <v>0.0048</v>
      </c>
      <c r="C137" s="0" t="n">
        <v>0.0016</v>
      </c>
      <c r="D137" s="0" t="n">
        <v>-0.0075</v>
      </c>
      <c r="E137" s="0" t="n">
        <v>0.0014</v>
      </c>
      <c r="F137" s="0" t="n">
        <v>-0.0023</v>
      </c>
      <c r="G137" s="0" t="n">
        <v>8.000000000000001e-05</v>
      </c>
    </row>
    <row r="138">
      <c r="A138" s="0" t="inlineStr">
        <is>
          <t>2018-07-18</t>
        </is>
      </c>
      <c r="B138" s="0" t="n">
        <v>0.0027</v>
      </c>
      <c r="C138" s="0" t="n">
        <v>-0.0015</v>
      </c>
      <c r="D138" s="0" t="n">
        <v>0.006500000000000001</v>
      </c>
      <c r="E138" s="0" t="n">
        <v>-0.0017</v>
      </c>
      <c r="F138" s="0" t="n">
        <v>-0.0014</v>
      </c>
      <c r="G138" s="0" t="n">
        <v>8.000000000000001e-05</v>
      </c>
    </row>
    <row r="139">
      <c r="A139" s="0" t="inlineStr">
        <is>
          <t>2018-07-19</t>
        </is>
      </c>
      <c r="B139" s="0" t="n">
        <v>-0.0034</v>
      </c>
      <c r="C139" s="0" t="n">
        <v>0.009300000000000001</v>
      </c>
      <c r="D139" s="0" t="n">
        <v>-0.0036</v>
      </c>
      <c r="E139" s="0" t="n">
        <v>0.0023</v>
      </c>
      <c r="F139" s="0" t="n">
        <v>0.0005</v>
      </c>
      <c r="G139" s="0" t="n">
        <v>8.000000000000001e-05</v>
      </c>
    </row>
    <row r="140">
      <c r="A140" s="0" t="inlineStr">
        <is>
          <t>2018-07-20</t>
        </is>
      </c>
      <c r="B140" s="0" t="n">
        <v>-0.001</v>
      </c>
      <c r="C140" s="0" t="n">
        <v>-0.0016</v>
      </c>
      <c r="D140" s="0" t="n">
        <v>0.0012</v>
      </c>
      <c r="E140" s="0" t="n">
        <v>0.0009</v>
      </c>
      <c r="F140" s="0" t="n">
        <v>-0.0024</v>
      </c>
      <c r="G140" s="0" t="n">
        <v>8.000000000000001e-05</v>
      </c>
    </row>
    <row r="141">
      <c r="A141" s="0" t="inlineStr">
        <is>
          <t>2018-07-23</t>
        </is>
      </c>
      <c r="B141" s="0" t="n">
        <v>0.0015</v>
      </c>
      <c r="C141" s="0" t="n">
        <v>-0.0019</v>
      </c>
      <c r="D141" s="0" t="n">
        <v>0.0053</v>
      </c>
      <c r="E141" s="0" t="n">
        <v>-0.002</v>
      </c>
      <c r="F141" s="0" t="n">
        <v>-0.0019</v>
      </c>
      <c r="G141" s="0" t="n">
        <v>8.000000000000001e-05</v>
      </c>
    </row>
    <row r="142">
      <c r="A142" s="0" t="inlineStr">
        <is>
          <t>2018-07-24</t>
        </is>
      </c>
      <c r="B142" s="0" t="n">
        <v>0.0022</v>
      </c>
      <c r="C142" s="0" t="n">
        <v>-0.0132</v>
      </c>
      <c r="D142" s="0" t="n">
        <v>0.004099999999999999</v>
      </c>
      <c r="E142" s="0" t="n">
        <v>0.0046</v>
      </c>
      <c r="F142" s="0" t="n">
        <v>0.0011</v>
      </c>
      <c r="G142" s="0" t="n">
        <v>8.000000000000001e-05</v>
      </c>
    </row>
    <row r="143">
      <c r="A143" s="0" t="inlineStr">
        <is>
          <t>2018-07-25</t>
        </is>
      </c>
      <c r="B143" s="0" t="n">
        <v>0.0083</v>
      </c>
      <c r="C143" s="0" t="n">
        <v>-0.0059</v>
      </c>
      <c r="D143" s="0" t="n">
        <v>-0.0104</v>
      </c>
      <c r="E143" s="0" t="n">
        <v>0.0005999999999999999</v>
      </c>
      <c r="F143" s="0" t="n">
        <v>-0.0031</v>
      </c>
      <c r="G143" s="0" t="n">
        <v>8.000000000000001e-05</v>
      </c>
    </row>
    <row r="144">
      <c r="A144" s="0" t="inlineStr">
        <is>
          <t>2018-07-26</t>
        </is>
      </c>
      <c r="B144" s="0" t="n">
        <v>-0.002</v>
      </c>
      <c r="C144" s="0" t="n">
        <v>0.0076</v>
      </c>
      <c r="D144" s="0" t="n">
        <v>0.005600000000000001</v>
      </c>
      <c r="E144" s="0" t="n">
        <v>-0.0002</v>
      </c>
      <c r="F144" s="0" t="n">
        <v>0.0061</v>
      </c>
      <c r="G144" s="0" t="n">
        <v>8.000000000000001e-05</v>
      </c>
    </row>
    <row r="145">
      <c r="A145" s="0" t="inlineStr">
        <is>
          <t>2018-07-27</t>
        </is>
      </c>
      <c r="B145" s="0" t="n">
        <v>-0.008199999999999999</v>
      </c>
      <c r="C145" s="0" t="n">
        <v>-0.012</v>
      </c>
      <c r="D145" s="0" t="n">
        <v>0.0108</v>
      </c>
      <c r="E145" s="0" t="n">
        <v>0.0048</v>
      </c>
      <c r="F145" s="0" t="n">
        <v>0.0051</v>
      </c>
      <c r="G145" s="0" t="n">
        <v>8.000000000000001e-05</v>
      </c>
    </row>
    <row r="146">
      <c r="A146" s="0" t="inlineStr">
        <is>
          <t>2018-07-30</t>
        </is>
      </c>
      <c r="B146" s="0" t="n">
        <v>-0.006999999999999999</v>
      </c>
      <c r="C146" s="0" t="n">
        <v>-0.0001</v>
      </c>
      <c r="D146" s="0" t="n">
        <v>0.0158</v>
      </c>
      <c r="E146" s="0" t="n">
        <v>0.0027</v>
      </c>
      <c r="F146" s="0" t="n">
        <v>0.0102</v>
      </c>
      <c r="G146" s="0" t="n">
        <v>8.000000000000001e-05</v>
      </c>
    </row>
    <row r="147">
      <c r="A147" s="0" t="inlineStr">
        <is>
          <t>2018-07-31</t>
        </is>
      </c>
      <c r="B147" s="0" t="n">
        <v>0.0051</v>
      </c>
      <c r="C147" s="0" t="n">
        <v>0.0071</v>
      </c>
      <c r="D147" s="0" t="n">
        <v>-0.0111</v>
      </c>
      <c r="E147" s="0" t="n">
        <v>0.0033</v>
      </c>
      <c r="F147" s="0" t="n">
        <v>0.0027</v>
      </c>
      <c r="G147" s="0" t="n">
        <v>8.000000000000001e-05</v>
      </c>
    </row>
    <row r="148">
      <c r="A148" s="0" t="inlineStr">
        <is>
          <t>2018-08-01</t>
        </is>
      </c>
      <c r="B148" s="0" t="n">
        <v>-0.0013</v>
      </c>
      <c r="C148" s="0" t="n">
        <v>0</v>
      </c>
      <c r="D148" s="0" t="n">
        <v>-0.002</v>
      </c>
      <c r="E148" s="0" t="n">
        <v>-0.0017</v>
      </c>
      <c r="F148" s="0" t="n">
        <v>-0.0074</v>
      </c>
      <c r="G148" s="0" t="n">
        <v>7.000000000000001e-05</v>
      </c>
    </row>
    <row r="149">
      <c r="A149" s="0" t="inlineStr">
        <is>
          <t>2018-08-02</t>
        </is>
      </c>
      <c r="B149" s="0" t="n">
        <v>0.0067</v>
      </c>
      <c r="C149" s="0" t="n">
        <v>0.002</v>
      </c>
      <c r="D149" s="0" t="n">
        <v>-0.0069</v>
      </c>
      <c r="E149" s="0" t="n">
        <v>0.0001</v>
      </c>
      <c r="F149" s="0" t="n">
        <v>-0.005600000000000001</v>
      </c>
      <c r="G149" s="0" t="n">
        <v>7.000000000000001e-05</v>
      </c>
    </row>
    <row r="150">
      <c r="A150" s="0" t="inlineStr">
        <is>
          <t>2018-08-03</t>
        </is>
      </c>
      <c r="B150" s="0" t="n">
        <v>0.0031</v>
      </c>
      <c r="C150" s="0" t="n">
        <v>-0.009300000000000001</v>
      </c>
      <c r="D150" s="0" t="n">
        <v>0.0053</v>
      </c>
      <c r="E150" s="0" t="n">
        <v>0.0061</v>
      </c>
      <c r="F150" s="0" t="n">
        <v>0.0037</v>
      </c>
      <c r="G150" s="0" t="n">
        <v>7.000000000000001e-05</v>
      </c>
    </row>
    <row r="151">
      <c r="A151" s="0" t="inlineStr">
        <is>
          <t>2018-08-06</t>
        </is>
      </c>
      <c r="B151" s="0" t="n">
        <v>0.0046</v>
      </c>
      <c r="C151" s="0" t="n">
        <v>0.0022</v>
      </c>
      <c r="D151" s="0" t="n">
        <v>-0.0033</v>
      </c>
      <c r="E151" s="0" t="n">
        <v>-0.0029</v>
      </c>
      <c r="F151" s="0" t="n">
        <v>-0.0022</v>
      </c>
      <c r="G151" s="0" t="n">
        <v>7.000000000000001e-05</v>
      </c>
    </row>
    <row r="152">
      <c r="A152" s="0" t="inlineStr">
        <is>
          <t>2018-08-07</t>
        </is>
      </c>
      <c r="B152" s="0" t="n">
        <v>0.0029</v>
      </c>
      <c r="C152" s="0" t="n">
        <v>-0.0004</v>
      </c>
      <c r="D152" s="0" t="n">
        <v>-0.0016</v>
      </c>
      <c r="E152" s="0" t="n">
        <v>-0.003</v>
      </c>
      <c r="F152" s="0" t="n">
        <v>-0.0011</v>
      </c>
      <c r="G152" s="0" t="n">
        <v>7.000000000000001e-05</v>
      </c>
    </row>
    <row r="153">
      <c r="A153" s="0" t="inlineStr">
        <is>
          <t>2018-08-08</t>
        </is>
      </c>
      <c r="B153" s="0" t="n">
        <v>-0.0004</v>
      </c>
      <c r="C153" s="0" t="n">
        <v>-0.0013</v>
      </c>
      <c r="D153" s="0" t="n">
        <v>0.0028</v>
      </c>
      <c r="E153" s="0" t="n">
        <v>-0.0005999999999999999</v>
      </c>
      <c r="F153" s="0" t="n">
        <v>-0.0005999999999999999</v>
      </c>
      <c r="G153" s="0" t="n">
        <v>7.000000000000001e-05</v>
      </c>
    </row>
    <row r="154">
      <c r="A154" s="0" t="inlineStr">
        <is>
          <t>2018-08-09</t>
        </is>
      </c>
      <c r="B154" s="0" t="n">
        <v>-0.0005</v>
      </c>
      <c r="C154" s="0" t="n">
        <v>0.0035</v>
      </c>
      <c r="D154" s="0" t="n">
        <v>-0.0037</v>
      </c>
      <c r="E154" s="0" t="n">
        <v>0.0005999999999999999</v>
      </c>
      <c r="F154" s="0" t="n">
        <v>-0.0026</v>
      </c>
      <c r="G154" s="0" t="n">
        <v>7.000000000000001e-05</v>
      </c>
    </row>
    <row r="155">
      <c r="A155" s="0" t="inlineStr">
        <is>
          <t>2018-08-10</t>
        </is>
      </c>
      <c r="B155" s="0" t="n">
        <v>-0.006</v>
      </c>
      <c r="C155" s="0" t="n">
        <v>0.0033</v>
      </c>
      <c r="D155" s="0" t="n">
        <v>-0.002</v>
      </c>
      <c r="E155" s="0" t="n">
        <v>-0.0027</v>
      </c>
      <c r="F155" s="0" t="n">
        <v>0.0025</v>
      </c>
      <c r="G155" s="0" t="n">
        <v>7.000000000000001e-05</v>
      </c>
    </row>
    <row r="156">
      <c r="A156" s="0" t="inlineStr">
        <is>
          <t>2018-08-13</t>
        </is>
      </c>
      <c r="B156" s="0" t="n">
        <v>-0.0046</v>
      </c>
      <c r="C156" s="0" t="n">
        <v>-0.0022</v>
      </c>
      <c r="D156" s="0" t="n">
        <v>-0.0029</v>
      </c>
      <c r="E156" s="0" t="n">
        <v>0.003</v>
      </c>
      <c r="F156" s="0" t="n">
        <v>-0.0001</v>
      </c>
      <c r="G156" s="0" t="n">
        <v>7.000000000000001e-05</v>
      </c>
    </row>
    <row r="157">
      <c r="A157" s="0" t="inlineStr">
        <is>
          <t>2018-08-14</t>
        </is>
      </c>
      <c r="B157" s="0" t="n">
        <v>0.0069</v>
      </c>
      <c r="C157" s="0" t="n">
        <v>0.0031</v>
      </c>
      <c r="D157" s="0" t="n">
        <v>0.0024</v>
      </c>
      <c r="E157" s="0" t="n">
        <v>0.0036</v>
      </c>
      <c r="F157" s="0" t="n">
        <v>0.0019</v>
      </c>
      <c r="G157" s="0" t="n">
        <v>7.000000000000001e-05</v>
      </c>
    </row>
    <row r="158">
      <c r="A158" s="0" t="inlineStr">
        <is>
          <t>2018-08-15</t>
        </is>
      </c>
      <c r="B158" s="0" t="n">
        <v>-0.0091</v>
      </c>
      <c r="C158" s="0" t="n">
        <v>-0.0052</v>
      </c>
      <c r="D158" s="0" t="n">
        <v>-0.0013</v>
      </c>
      <c r="E158" s="0" t="n">
        <v>0.0064</v>
      </c>
      <c r="F158" s="0" t="n">
        <v>-0.0011</v>
      </c>
      <c r="G158" s="0" t="n">
        <v>7.000000000000001e-05</v>
      </c>
    </row>
    <row r="159">
      <c r="A159" s="0" t="inlineStr">
        <is>
          <t>2018-08-16</t>
        </is>
      </c>
      <c r="B159" s="0" t="n">
        <v>0.0086</v>
      </c>
      <c r="C159" s="0" t="n">
        <v>-0.0004</v>
      </c>
      <c r="D159" s="0" t="n">
        <v>0.0025</v>
      </c>
      <c r="E159" s="0" t="n">
        <v>-0.0008</v>
      </c>
      <c r="F159" s="0" t="n">
        <v>0.004</v>
      </c>
      <c r="G159" s="0" t="n">
        <v>7.000000000000001e-05</v>
      </c>
    </row>
    <row r="160">
      <c r="A160" s="0" t="inlineStr">
        <is>
          <t>2018-08-17</t>
        </is>
      </c>
      <c r="B160" s="0" t="n">
        <v>0.003</v>
      </c>
      <c r="C160" s="0" t="n">
        <v>0.0012</v>
      </c>
      <c r="D160" s="0" t="n">
        <v>0.0002</v>
      </c>
      <c r="E160" s="0" t="n">
        <v>0.0021</v>
      </c>
      <c r="F160" s="0" t="n">
        <v>0.0016</v>
      </c>
      <c r="G160" s="0" t="n">
        <v>7.000000000000001e-05</v>
      </c>
    </row>
    <row r="161">
      <c r="A161" s="0" t="inlineStr">
        <is>
          <t>2018-08-20</t>
        </is>
      </c>
      <c r="B161" s="0" t="n">
        <v>0.0025</v>
      </c>
      <c r="C161" s="0" t="n">
        <v>0.0015</v>
      </c>
      <c r="D161" s="0" t="n">
        <v>0.0014</v>
      </c>
      <c r="E161" s="0" t="n">
        <v>0.001</v>
      </c>
      <c r="F161" s="0" t="n">
        <v>0.0015</v>
      </c>
      <c r="G161" s="0" t="n">
        <v>7.000000000000001e-05</v>
      </c>
    </row>
    <row r="162">
      <c r="A162" s="0" t="inlineStr">
        <is>
          <t>2018-08-21</t>
        </is>
      </c>
      <c r="B162" s="0" t="n">
        <v>0.0033</v>
      </c>
      <c r="C162" s="0" t="n">
        <v>0.0091</v>
      </c>
      <c r="D162" s="0" t="n">
        <v>0.001</v>
      </c>
      <c r="E162" s="0" t="n">
        <v>-0.0021</v>
      </c>
      <c r="F162" s="0" t="n">
        <v>-0.0022</v>
      </c>
      <c r="G162" s="0" t="n">
        <v>7.000000000000001e-05</v>
      </c>
    </row>
    <row r="163">
      <c r="A163" s="0" t="inlineStr">
        <is>
          <t>2018-08-22</t>
        </is>
      </c>
      <c r="B163" s="0" t="n">
        <v>0.0005</v>
      </c>
      <c r="C163" s="0" t="n">
        <v>0.0029</v>
      </c>
      <c r="D163" s="0" t="n">
        <v>-0.0035</v>
      </c>
      <c r="E163" s="0" t="n">
        <v>-0.005</v>
      </c>
      <c r="F163" s="0" t="n">
        <v>-0.0029</v>
      </c>
      <c r="G163" s="0" t="n">
        <v>7.000000000000001e-05</v>
      </c>
    </row>
    <row r="164">
      <c r="A164" s="0" t="inlineStr">
        <is>
          <t>2018-08-23</t>
        </is>
      </c>
      <c r="B164" s="0" t="n">
        <v>-0.0019</v>
      </c>
      <c r="C164" s="0" t="n">
        <v>-0.001</v>
      </c>
      <c r="D164" s="0" t="n">
        <v>-0.0033</v>
      </c>
      <c r="E164" s="0" t="n">
        <v>-0.0001</v>
      </c>
      <c r="F164" s="0" t="n">
        <v>-0.0017</v>
      </c>
      <c r="G164" s="0" t="n">
        <v>7.000000000000001e-05</v>
      </c>
    </row>
    <row r="165">
      <c r="A165" s="0" t="inlineStr">
        <is>
          <t>2018-08-24</t>
        </is>
      </c>
      <c r="B165" s="0" t="n">
        <v>0.0062</v>
      </c>
      <c r="C165" s="0" t="n">
        <v>-0.0009</v>
      </c>
      <c r="D165" s="0" t="n">
        <v>-0.0058</v>
      </c>
      <c r="E165" s="0" t="n">
        <v>-0.0031</v>
      </c>
      <c r="F165" s="0" t="n">
        <v>-0.0019</v>
      </c>
      <c r="G165" s="0" t="n">
        <v>7.000000000000001e-05</v>
      </c>
    </row>
    <row r="166">
      <c r="A166" s="0" t="inlineStr">
        <is>
          <t>2018-08-27</t>
        </is>
      </c>
      <c r="B166" s="0" t="n">
        <v>0.0074</v>
      </c>
      <c r="C166" s="0" t="n">
        <v>-0.0061</v>
      </c>
      <c r="D166" s="0" t="n">
        <v>-0.0016</v>
      </c>
      <c r="E166" s="0" t="n">
        <v>-0.002</v>
      </c>
      <c r="F166" s="0" t="n">
        <v>-0.0035</v>
      </c>
      <c r="G166" s="0" t="n">
        <v>7.000000000000001e-05</v>
      </c>
    </row>
    <row r="167">
      <c r="A167" s="0" t="inlineStr">
        <is>
          <t>2018-08-28</t>
        </is>
      </c>
      <c r="B167" s="0" t="n">
        <v>-0.0001</v>
      </c>
      <c r="C167" s="0" t="n">
        <v>-0.0012</v>
      </c>
      <c r="D167" s="0" t="n">
        <v>-0.0024</v>
      </c>
      <c r="E167" s="0" t="n">
        <v>0.0012</v>
      </c>
      <c r="F167" s="0" t="n">
        <v>-0.0005</v>
      </c>
      <c r="G167" s="0" t="n">
        <v>7.000000000000001e-05</v>
      </c>
    </row>
    <row r="168">
      <c r="A168" s="0" t="inlineStr">
        <is>
          <t>2018-08-29</t>
        </is>
      </c>
      <c r="B168" s="0" t="n">
        <v>0.005600000000000001</v>
      </c>
      <c r="C168" s="0" t="n">
        <v>-0.0014</v>
      </c>
      <c r="D168" s="0" t="n">
        <v>-0.005699999999999999</v>
      </c>
      <c r="E168" s="0" t="n">
        <v>-0.0014</v>
      </c>
      <c r="F168" s="0" t="n">
        <v>-0.0029</v>
      </c>
      <c r="G168" s="0" t="n">
        <v>7.000000000000001e-05</v>
      </c>
    </row>
    <row r="169">
      <c r="A169" s="0" t="inlineStr">
        <is>
          <t>2018-08-30</t>
        </is>
      </c>
      <c r="B169" s="0" t="n">
        <v>-0.004099999999999999</v>
      </c>
      <c r="C169" s="0" t="n">
        <v>0.0023</v>
      </c>
      <c r="D169" s="0" t="n">
        <v>-0.004099999999999999</v>
      </c>
      <c r="E169" s="0" t="n">
        <v>-0.0023</v>
      </c>
      <c r="F169" s="0" t="n">
        <v>-0.0012</v>
      </c>
      <c r="G169" s="0" t="n">
        <v>7.000000000000001e-05</v>
      </c>
    </row>
    <row r="170">
      <c r="A170" s="0" t="inlineStr">
        <is>
          <t>2018-08-31</t>
        </is>
      </c>
      <c r="B170" s="0" t="n">
        <v>0.0008</v>
      </c>
      <c r="C170" s="0" t="n">
        <v>0.004500000000000001</v>
      </c>
      <c r="D170" s="0" t="n">
        <v>-0.0039</v>
      </c>
      <c r="E170" s="0" t="n">
        <v>0.002</v>
      </c>
      <c r="F170" s="0" t="n">
        <v>-0.0014</v>
      </c>
      <c r="G170" s="0" t="n">
        <v>7.000000000000001e-05</v>
      </c>
    </row>
    <row r="171">
      <c r="A171" s="0" t="inlineStr">
        <is>
          <t>2018-09-04</t>
        </is>
      </c>
      <c r="B171" s="0" t="n">
        <v>-0.0011</v>
      </c>
      <c r="C171" s="0" t="n">
        <v>-0.0033</v>
      </c>
      <c r="D171" s="0" t="n">
        <v>-0.0001</v>
      </c>
      <c r="E171" s="0" t="n">
        <v>-0.0003</v>
      </c>
      <c r="F171" s="0" t="n">
        <v>-0.0016</v>
      </c>
      <c r="G171" s="0" t="n">
        <v>8.000000000000001e-05</v>
      </c>
    </row>
    <row r="172">
      <c r="A172" s="0" t="inlineStr">
        <is>
          <t>2018-09-05</t>
        </is>
      </c>
      <c r="B172" s="0" t="n">
        <v>-0.004099999999999999</v>
      </c>
      <c r="C172" s="0" t="n">
        <v>-0.0003</v>
      </c>
      <c r="D172" s="0" t="n">
        <v>0.0066</v>
      </c>
      <c r="E172" s="0" t="n">
        <v>0.004500000000000001</v>
      </c>
      <c r="F172" s="0" t="n">
        <v>0.005699999999999999</v>
      </c>
      <c r="G172" s="0" t="n">
        <v>8.000000000000001e-05</v>
      </c>
    </row>
    <row r="173">
      <c r="A173" s="0" t="inlineStr">
        <is>
          <t>2018-09-06</t>
        </is>
      </c>
      <c r="B173" s="0" t="n">
        <v>-0.0044</v>
      </c>
      <c r="C173" s="0" t="n">
        <v>-0.0036</v>
      </c>
      <c r="D173" s="0" t="n">
        <v>-0.0023</v>
      </c>
      <c r="E173" s="0" t="n">
        <v>0.0043</v>
      </c>
      <c r="F173" s="0" t="n">
        <v>0.0033</v>
      </c>
      <c r="G173" s="0" t="n">
        <v>8.000000000000001e-05</v>
      </c>
    </row>
    <row r="174">
      <c r="A174" s="0" t="inlineStr">
        <is>
          <t>2018-09-07</t>
        </is>
      </c>
      <c r="B174" s="0" t="n">
        <v>-0.0018</v>
      </c>
      <c r="C174" s="0" t="n">
        <v>0.0008</v>
      </c>
      <c r="D174" s="0" t="n">
        <v>-0.0024</v>
      </c>
      <c r="E174" s="0" t="n">
        <v>0.0002</v>
      </c>
      <c r="F174" s="0" t="n">
        <v>0.0002</v>
      </c>
      <c r="G174" s="0" t="n">
        <v>8.000000000000001e-05</v>
      </c>
    </row>
    <row r="175">
      <c r="A175" s="0" t="inlineStr">
        <is>
          <t>2018-09-10</t>
        </is>
      </c>
      <c r="B175" s="0" t="n">
        <v>0.0023</v>
      </c>
      <c r="C175" s="0" t="n">
        <v>0.0007000000000000001</v>
      </c>
      <c r="D175" s="0" t="n">
        <v>-0.0037</v>
      </c>
      <c r="E175" s="0" t="n">
        <v>0.0005999999999999999</v>
      </c>
      <c r="F175" s="0" t="n">
        <v>-0.0025</v>
      </c>
      <c r="G175" s="0" t="n">
        <v>8.000000000000001e-05</v>
      </c>
    </row>
    <row r="176">
      <c r="A176" s="0" t="inlineStr">
        <is>
          <t>2018-09-11</t>
        </is>
      </c>
      <c r="B176" s="0" t="n">
        <v>0.0037</v>
      </c>
      <c r="C176" s="0" t="n">
        <v>-0.0033</v>
      </c>
      <c r="D176" s="0" t="n">
        <v>-0.0022</v>
      </c>
      <c r="E176" s="0" t="n">
        <v>-0.0013</v>
      </c>
      <c r="F176" s="0" t="n">
        <v>-0.0038</v>
      </c>
      <c r="G176" s="0" t="n">
        <v>8.000000000000001e-05</v>
      </c>
    </row>
    <row r="177">
      <c r="A177" s="0" t="inlineStr">
        <is>
          <t>2018-09-12</t>
        </is>
      </c>
      <c r="B177" s="0" t="n">
        <v>0.0003</v>
      </c>
      <c r="C177" s="0" t="n">
        <v>-0.0011</v>
      </c>
      <c r="D177" s="0" t="n">
        <v>-0.0021</v>
      </c>
      <c r="E177" s="0" t="n">
        <v>0.0003</v>
      </c>
      <c r="F177" s="0" t="n">
        <v>0.0054</v>
      </c>
      <c r="G177" s="0" t="n">
        <v>8.000000000000001e-05</v>
      </c>
    </row>
    <row r="178">
      <c r="A178" s="0" t="inlineStr">
        <is>
          <t>2018-09-13</t>
        </is>
      </c>
      <c r="B178" s="0" t="n">
        <v>0.004500000000000001</v>
      </c>
      <c r="C178" s="0" t="n">
        <v>-0.0049</v>
      </c>
      <c r="D178" s="0" t="n">
        <v>-0.004099999999999999</v>
      </c>
      <c r="E178" s="0" t="n">
        <v>0.0005999999999999999</v>
      </c>
      <c r="F178" s="0" t="n">
        <v>-0.0003</v>
      </c>
      <c r="G178" s="0" t="n">
        <v>8.000000000000001e-05</v>
      </c>
    </row>
    <row r="179">
      <c r="A179" s="0" t="inlineStr">
        <is>
          <t>2018-09-14</t>
        </is>
      </c>
      <c r="B179" s="0" t="n">
        <v>0.0012</v>
      </c>
      <c r="C179" s="0" t="n">
        <v>0.0031</v>
      </c>
      <c r="D179" s="0" t="n">
        <v>0.0025</v>
      </c>
      <c r="E179" s="0" t="n">
        <v>-0.0014</v>
      </c>
      <c r="F179" s="0" t="n">
        <v>-0.0003</v>
      </c>
      <c r="G179" s="0" t="n">
        <v>8.000000000000001e-05</v>
      </c>
    </row>
    <row r="180">
      <c r="A180" s="0" t="inlineStr">
        <is>
          <t>2018-09-17</t>
        </is>
      </c>
      <c r="B180" s="0" t="n">
        <v>-0.0071</v>
      </c>
      <c r="C180" s="0" t="n">
        <v>-0.0035</v>
      </c>
      <c r="D180" s="0" t="n">
        <v>0.008500000000000001</v>
      </c>
      <c r="E180" s="0" t="n">
        <v>0.003</v>
      </c>
      <c r="F180" s="0" t="n">
        <v>0.0074</v>
      </c>
      <c r="G180" s="0" t="n">
        <v>8.000000000000001e-05</v>
      </c>
    </row>
    <row r="181">
      <c r="A181" s="0" t="inlineStr">
        <is>
          <t>2018-09-18</t>
        </is>
      </c>
      <c r="B181" s="0" t="n">
        <v>0.005699999999999999</v>
      </c>
      <c r="C181" s="0" t="n">
        <v>0.0003</v>
      </c>
      <c r="D181" s="0" t="n">
        <v>-0.0049</v>
      </c>
      <c r="E181" s="0" t="n">
        <v>-0.0021</v>
      </c>
      <c r="F181" s="0" t="n">
        <v>-0.0023</v>
      </c>
      <c r="G181" s="0" t="n">
        <v>8.000000000000001e-05</v>
      </c>
    </row>
    <row r="182">
      <c r="A182" s="0" t="inlineStr">
        <is>
          <t>2018-09-19</t>
        </is>
      </c>
      <c r="B182" s="0" t="n">
        <v>0.0005999999999999999</v>
      </c>
      <c r="C182" s="0" t="n">
        <v>-0.0051</v>
      </c>
      <c r="D182" s="0" t="n">
        <v>0.0129</v>
      </c>
      <c r="E182" s="0" t="n">
        <v>-0.0048</v>
      </c>
      <c r="F182" s="0" t="n">
        <v>-0.0003</v>
      </c>
      <c r="G182" s="0" t="n">
        <v>8.000000000000001e-05</v>
      </c>
    </row>
    <row r="183">
      <c r="A183" s="0" t="inlineStr">
        <is>
          <t>2018-09-20</t>
        </is>
      </c>
      <c r="B183" s="0" t="n">
        <v>0.0077</v>
      </c>
      <c r="C183" s="0" t="n">
        <v>0.0029</v>
      </c>
      <c r="D183" s="0" t="n">
        <v>-0.0023</v>
      </c>
      <c r="E183" s="0" t="n">
        <v>0.0005999999999999999</v>
      </c>
      <c r="F183" s="0" t="n">
        <v>-0.0007000000000000001</v>
      </c>
      <c r="G183" s="0" t="n">
        <v>8.000000000000001e-05</v>
      </c>
    </row>
    <row r="184">
      <c r="A184" s="0" t="inlineStr">
        <is>
          <t>2018-09-21</t>
        </is>
      </c>
      <c r="B184" s="0" t="n">
        <v>-0.0013</v>
      </c>
      <c r="C184" s="0" t="n">
        <v>-0.0043</v>
      </c>
      <c r="D184" s="0" t="n">
        <v>0.0031</v>
      </c>
      <c r="E184" s="0" t="n">
        <v>0.002</v>
      </c>
      <c r="F184" s="0" t="n">
        <v>0.0066</v>
      </c>
      <c r="G184" s="0" t="n">
        <v>8.000000000000001e-05</v>
      </c>
    </row>
    <row r="185">
      <c r="A185" s="0" t="inlineStr">
        <is>
          <t>2018-09-24</t>
        </is>
      </c>
      <c r="B185" s="0" t="n">
        <v>-0.0031</v>
      </c>
      <c r="C185" s="0" t="n">
        <v>-0.0007000000000000001</v>
      </c>
      <c r="D185" s="0" t="n">
        <v>-0.008800000000000001</v>
      </c>
      <c r="E185" s="0" t="n">
        <v>-0.004500000000000001</v>
      </c>
      <c r="F185" s="0" t="n">
        <v>-0.0029</v>
      </c>
      <c r="G185" s="0" t="n">
        <v>8.000000000000001e-05</v>
      </c>
    </row>
    <row r="186">
      <c r="A186" s="0" t="inlineStr">
        <is>
          <t>2018-09-25</t>
        </is>
      </c>
      <c r="B186" s="0" t="n">
        <v>-0.0005</v>
      </c>
      <c r="C186" s="0" t="n">
        <v>0.002</v>
      </c>
      <c r="D186" s="0" t="n">
        <v>-0.0039</v>
      </c>
      <c r="E186" s="0" t="n">
        <v>-0.0033</v>
      </c>
      <c r="F186" s="0" t="n">
        <v>-0.0007000000000000001</v>
      </c>
      <c r="G186" s="0" t="n">
        <v>8.000000000000001e-05</v>
      </c>
    </row>
    <row r="187">
      <c r="A187" s="0" t="inlineStr">
        <is>
          <t>2018-09-26</t>
        </is>
      </c>
      <c r="B187" s="0" t="n">
        <v>-0.004</v>
      </c>
      <c r="C187" s="0" t="n">
        <v>-0.004699999999999999</v>
      </c>
      <c r="D187" s="0" t="n">
        <v>-0.0061</v>
      </c>
      <c r="E187" s="0" t="n">
        <v>0.0052</v>
      </c>
      <c r="F187" s="0" t="n">
        <v>0.001</v>
      </c>
      <c r="G187" s="0" t="n">
        <v>8.000000000000001e-05</v>
      </c>
    </row>
    <row r="188">
      <c r="A188" s="0" t="inlineStr">
        <is>
          <t>2018-09-27</t>
        </is>
      </c>
      <c r="B188" s="0" t="n">
        <v>0.0027</v>
      </c>
      <c r="C188" s="0" t="n">
        <v>-0.0034</v>
      </c>
      <c r="D188" s="0" t="n">
        <v>-0.0053</v>
      </c>
      <c r="E188" s="0" t="n">
        <v>0.001</v>
      </c>
      <c r="F188" s="0" t="n">
        <v>-0.0034</v>
      </c>
      <c r="G188" s="0" t="n">
        <v>8.000000000000001e-05</v>
      </c>
    </row>
    <row r="189">
      <c r="A189" s="0" t="inlineStr">
        <is>
          <t>2018-09-28</t>
        </is>
      </c>
      <c r="B189" s="0" t="n">
        <v>-0.0003</v>
      </c>
      <c r="C189" s="0" t="n">
        <v>0.0035</v>
      </c>
      <c r="D189" s="0" t="n">
        <v>-0.002</v>
      </c>
      <c r="E189" s="0" t="n">
        <v>0.0012</v>
      </c>
      <c r="F189" s="0" t="n">
        <v>0.0019</v>
      </c>
      <c r="G189" s="0" t="n">
        <v>8.000000000000001e-05</v>
      </c>
    </row>
    <row r="190">
      <c r="A190" s="0" t="inlineStr">
        <is>
          <t>2018-10-01</t>
        </is>
      </c>
      <c r="B190" s="0" t="n">
        <v>0.0016</v>
      </c>
      <c r="C190" s="0" t="n">
        <v>-0.0162</v>
      </c>
      <c r="D190" s="0" t="n">
        <v>0.0036</v>
      </c>
      <c r="E190" s="0" t="n">
        <v>-0.0016</v>
      </c>
      <c r="F190" s="0" t="n">
        <v>0.0005999999999999999</v>
      </c>
      <c r="G190" s="0" t="n">
        <v>8.000000000000001e-05</v>
      </c>
    </row>
    <row r="191">
      <c r="A191" s="0" t="inlineStr">
        <is>
          <t>2018-10-02</t>
        </is>
      </c>
      <c r="B191" s="0" t="n">
        <v>-0.0021</v>
      </c>
      <c r="C191" s="0" t="n">
        <v>-0.009399999999999999</v>
      </c>
      <c r="D191" s="0" t="n">
        <v>0.0061</v>
      </c>
      <c r="E191" s="0" t="n">
        <v>0.0011</v>
      </c>
      <c r="F191" s="0" t="n">
        <v>0.0036</v>
      </c>
      <c r="G191" s="0" t="n">
        <v>8.000000000000001e-05</v>
      </c>
    </row>
    <row r="192">
      <c r="A192" s="0" t="inlineStr">
        <is>
          <t>2018-10-03</t>
        </is>
      </c>
      <c r="B192" s="0" t="n">
        <v>0.002</v>
      </c>
      <c r="C192" s="0" t="n">
        <v>0.009000000000000001</v>
      </c>
      <c r="D192" s="0" t="n">
        <v>0.0049</v>
      </c>
      <c r="E192" s="0" t="n">
        <v>-0.0037</v>
      </c>
      <c r="F192" s="0" t="n">
        <v>-0.0021</v>
      </c>
      <c r="G192" s="0" t="n">
        <v>8.000000000000001e-05</v>
      </c>
    </row>
    <row r="193">
      <c r="A193" s="0" t="inlineStr">
        <is>
          <t>2018-10-04</t>
        </is>
      </c>
      <c r="B193" s="0" t="n">
        <v>-0.009300000000000001</v>
      </c>
      <c r="C193" s="0" t="n">
        <v>-0.008199999999999999</v>
      </c>
      <c r="D193" s="0" t="n">
        <v>0.0158</v>
      </c>
      <c r="E193" s="0" t="n">
        <v>0.0011</v>
      </c>
      <c r="F193" s="0" t="n">
        <v>0.0076</v>
      </c>
      <c r="G193" s="0" t="n">
        <v>8.000000000000001e-05</v>
      </c>
    </row>
    <row r="194">
      <c r="A194" s="0" t="inlineStr">
        <is>
          <t>2018-10-05</t>
        </is>
      </c>
      <c r="B194" s="0" t="n">
        <v>-0.0064</v>
      </c>
      <c r="C194" s="0" t="n">
        <v>-0.0039</v>
      </c>
      <c r="D194" s="0" t="n">
        <v>0.004</v>
      </c>
      <c r="E194" s="0" t="n">
        <v>-0.0039</v>
      </c>
      <c r="F194" s="0" t="n">
        <v>0.004099999999999999</v>
      </c>
      <c r="G194" s="0" t="n">
        <v>8.000000000000001e-05</v>
      </c>
    </row>
    <row r="195">
      <c r="A195" s="0" t="inlineStr">
        <is>
          <t>2018-10-08</t>
        </is>
      </c>
      <c r="B195" s="0" t="n">
        <v>-0.0017</v>
      </c>
      <c r="C195" s="0" t="n">
        <v>-0.0023</v>
      </c>
      <c r="D195" s="0" t="n">
        <v>0.0121</v>
      </c>
      <c r="E195" s="0" t="n">
        <v>0.005</v>
      </c>
      <c r="F195" s="0" t="n">
        <v>0.0063</v>
      </c>
      <c r="G195" s="0" t="n">
        <v>8.000000000000001e-05</v>
      </c>
    </row>
    <row r="196">
      <c r="A196" s="0" t="inlineStr">
        <is>
          <t>2018-10-09</t>
        </is>
      </c>
      <c r="B196" s="0" t="n">
        <v>-0.0018</v>
      </c>
      <c r="C196" s="0" t="n">
        <v>-0.004</v>
      </c>
      <c r="D196" s="0" t="n">
        <v>0.0027</v>
      </c>
      <c r="E196" s="0" t="n">
        <v>-0.0049</v>
      </c>
      <c r="F196" s="0" t="n">
        <v>0.002</v>
      </c>
      <c r="G196" s="0" t="n">
        <v>8.000000000000001e-05</v>
      </c>
    </row>
    <row r="197">
      <c r="A197" s="0" t="inlineStr">
        <is>
          <t>2018-10-10</t>
        </is>
      </c>
      <c r="B197" s="0" t="n">
        <v>-0.0333</v>
      </c>
      <c r="C197" s="0" t="n">
        <v>0.004</v>
      </c>
      <c r="D197" s="0" t="n">
        <v>0.011</v>
      </c>
      <c r="E197" s="0" t="n">
        <v>0.0021</v>
      </c>
      <c r="F197" s="0" t="n">
        <v>0.007800000000000001</v>
      </c>
      <c r="G197" s="0" t="n">
        <v>8.000000000000001e-05</v>
      </c>
    </row>
    <row r="198">
      <c r="A198" s="0" t="inlineStr">
        <is>
          <t>2018-10-11</t>
        </is>
      </c>
      <c r="B198" s="0" t="n">
        <v>-0.0196</v>
      </c>
      <c r="C198" s="0" t="n">
        <v>0.0036</v>
      </c>
      <c r="D198" s="0" t="n">
        <v>-0.0092</v>
      </c>
      <c r="E198" s="0" t="n">
        <v>0.0043</v>
      </c>
      <c r="F198" s="0" t="n">
        <v>-0.005699999999999999</v>
      </c>
      <c r="G198" s="0" t="n">
        <v>8.000000000000001e-05</v>
      </c>
    </row>
    <row r="199">
      <c r="A199" s="0" t="inlineStr">
        <is>
          <t>2018-10-12</t>
        </is>
      </c>
      <c r="B199" s="0" t="n">
        <v>0.0138</v>
      </c>
      <c r="C199" s="0" t="n">
        <v>-0.0111</v>
      </c>
      <c r="D199" s="0" t="n">
        <v>-0.0171</v>
      </c>
      <c r="E199" s="0" t="n">
        <v>0.0008</v>
      </c>
      <c r="F199" s="0" t="n">
        <v>-0.0048</v>
      </c>
      <c r="G199" s="0" t="n">
        <v>8.000000000000001e-05</v>
      </c>
    </row>
    <row r="200">
      <c r="A200" s="0" t="inlineStr">
        <is>
          <t>2018-10-15</t>
        </is>
      </c>
      <c r="B200" s="0" t="n">
        <v>-0.0048</v>
      </c>
      <c r="C200" s="0" t="n">
        <v>0.0098</v>
      </c>
      <c r="D200" s="0" t="n">
        <v>0.0053</v>
      </c>
      <c r="E200" s="0" t="n">
        <v>0.0036</v>
      </c>
      <c r="F200" s="0" t="n">
        <v>0.005</v>
      </c>
      <c r="G200" s="0" t="n">
        <v>8.000000000000001e-05</v>
      </c>
    </row>
    <row r="201">
      <c r="A201" s="0" t="inlineStr">
        <is>
          <t>2018-10-16</t>
        </is>
      </c>
      <c r="B201" s="0" t="n">
        <v>0.0224</v>
      </c>
      <c r="C201" s="0" t="n">
        <v>0.005600000000000001</v>
      </c>
      <c r="D201" s="0" t="n">
        <v>-0.0145</v>
      </c>
      <c r="E201" s="0" t="n">
        <v>-0.0018</v>
      </c>
      <c r="F201" s="0" t="n">
        <v>-0.0068</v>
      </c>
      <c r="G201" s="0" t="n">
        <v>8.000000000000001e-05</v>
      </c>
    </row>
    <row r="202">
      <c r="A202" s="0" t="inlineStr">
        <is>
          <t>2018-10-17</t>
        </is>
      </c>
      <c r="B202" s="0" t="n">
        <v>-0.0008</v>
      </c>
      <c r="C202" s="0" t="n">
        <v>-0.0061</v>
      </c>
      <c r="D202" s="0" t="n">
        <v>0.0026</v>
      </c>
      <c r="E202" s="0" t="n">
        <v>-0.0025</v>
      </c>
      <c r="F202" s="0" t="n">
        <v>0.0014</v>
      </c>
      <c r="G202" s="0" t="n">
        <v>8.000000000000001e-05</v>
      </c>
    </row>
    <row r="203">
      <c r="A203" s="0" t="inlineStr">
        <is>
          <t>2018-10-18</t>
        </is>
      </c>
      <c r="B203" s="0" t="n">
        <v>-0.0154</v>
      </c>
      <c r="C203" s="0" t="n">
        <v>-0.0054</v>
      </c>
      <c r="D203" s="0" t="n">
        <v>0.0044</v>
      </c>
      <c r="E203" s="0" t="n">
        <v>-0.004099999999999999</v>
      </c>
      <c r="F203" s="0" t="n">
        <v>0.0035</v>
      </c>
      <c r="G203" s="0" t="n">
        <v>8.000000000000001e-05</v>
      </c>
    </row>
    <row r="204">
      <c r="A204" s="0" t="inlineStr">
        <is>
          <t>2018-10-19</t>
        </is>
      </c>
      <c r="B204" s="0" t="n">
        <v>-0.0025</v>
      </c>
      <c r="C204" s="0" t="n">
        <v>-0.0124</v>
      </c>
      <c r="D204" s="0" t="n">
        <v>0.0073</v>
      </c>
      <c r="E204" s="0" t="n">
        <v>0.0039</v>
      </c>
      <c r="F204" s="0" t="n">
        <v>0.005500000000000001</v>
      </c>
      <c r="G204" s="0" t="n">
        <v>8.000000000000001e-05</v>
      </c>
    </row>
    <row r="205">
      <c r="A205" s="0" t="inlineStr">
        <is>
          <t>2018-10-22</t>
        </is>
      </c>
      <c r="B205" s="0" t="n">
        <v>-0.0038</v>
      </c>
      <c r="C205" s="0" t="n">
        <v>0.0034</v>
      </c>
      <c r="D205" s="0" t="n">
        <v>-0.0123</v>
      </c>
      <c r="E205" s="0" t="n">
        <v>0.011</v>
      </c>
      <c r="F205" s="0" t="n">
        <v>-0.0019</v>
      </c>
      <c r="G205" s="0" t="n">
        <v>8.000000000000001e-05</v>
      </c>
    </row>
    <row r="206">
      <c r="A206" s="0" t="inlineStr">
        <is>
          <t>2018-10-23</t>
        </is>
      </c>
      <c r="B206" s="0" t="n">
        <v>-0.0062</v>
      </c>
      <c r="C206" s="0" t="n">
        <v>-0.0019</v>
      </c>
      <c r="D206" s="0" t="n">
        <v>-0.0043</v>
      </c>
      <c r="E206" s="0" t="n">
        <v>0.002</v>
      </c>
      <c r="F206" s="0" t="n">
        <v>-0.0011</v>
      </c>
      <c r="G206" s="0" t="n">
        <v>8.000000000000001e-05</v>
      </c>
    </row>
    <row r="207">
      <c r="A207" s="0" t="inlineStr">
        <is>
          <t>2018-10-24</t>
        </is>
      </c>
      <c r="B207" s="0" t="n">
        <v>-0.0333</v>
      </c>
      <c r="C207" s="0" t="n">
        <v>-0.008100000000000001</v>
      </c>
      <c r="D207" s="0" t="n">
        <v>0.007800000000000001</v>
      </c>
      <c r="E207" s="0" t="n">
        <v>0.0032</v>
      </c>
      <c r="F207" s="0" t="n">
        <v>0.0125</v>
      </c>
      <c r="G207" s="0" t="n">
        <v>8.000000000000001e-05</v>
      </c>
    </row>
    <row r="208">
      <c r="A208" s="0" t="inlineStr">
        <is>
          <t>2018-10-25</t>
        </is>
      </c>
      <c r="B208" s="0" t="n">
        <v>0.0193</v>
      </c>
      <c r="C208" s="0" t="n">
        <v>0.0029</v>
      </c>
      <c r="D208" s="0" t="n">
        <v>-0.006</v>
      </c>
      <c r="E208" s="0" t="n">
        <v>-0.0016</v>
      </c>
      <c r="F208" s="0" t="n">
        <v>-0.0108</v>
      </c>
      <c r="G208" s="0" t="n">
        <v>8.000000000000001e-05</v>
      </c>
    </row>
    <row r="209">
      <c r="A209" s="0" t="inlineStr">
        <is>
          <t>2018-10-26</t>
        </is>
      </c>
      <c r="B209" s="0" t="n">
        <v>-0.0165</v>
      </c>
      <c r="C209" s="0" t="n">
        <v>0.005699999999999999</v>
      </c>
      <c r="D209" s="0" t="n">
        <v>0.0036</v>
      </c>
      <c r="E209" s="0" t="n">
        <v>-0.0037</v>
      </c>
      <c r="F209" s="0" t="n">
        <v>0.0052</v>
      </c>
      <c r="G209" s="0" t="n">
        <v>8.000000000000001e-05</v>
      </c>
    </row>
    <row r="210">
      <c r="A210" s="0" t="inlineStr">
        <is>
          <t>2018-10-29</t>
        </is>
      </c>
      <c r="B210" s="0" t="n">
        <v>-0.0077</v>
      </c>
      <c r="C210" s="0" t="n">
        <v>-0.0009</v>
      </c>
      <c r="D210" s="0" t="n">
        <v>0.0162</v>
      </c>
      <c r="E210" s="0" t="n">
        <v>-0.0003</v>
      </c>
      <c r="F210" s="0" t="n">
        <v>0.0098</v>
      </c>
      <c r="G210" s="0" t="n">
        <v>8.000000000000001e-05</v>
      </c>
    </row>
    <row r="211">
      <c r="A211" s="0" t="inlineStr">
        <is>
          <t>2018-10-30</t>
        </is>
      </c>
      <c r="B211" s="0" t="n">
        <v>0.0166</v>
      </c>
      <c r="C211" s="0" t="n">
        <v>0.004500000000000001</v>
      </c>
      <c r="D211" s="0" t="n">
        <v>0.0005</v>
      </c>
      <c r="E211" s="0" t="n">
        <v>0.0036</v>
      </c>
      <c r="F211" s="0" t="n">
        <v>0.0037</v>
      </c>
      <c r="G211" s="0" t="n">
        <v>8.000000000000001e-05</v>
      </c>
    </row>
    <row r="212">
      <c r="A212" s="0" t="inlineStr">
        <is>
          <t>2018-10-31</t>
        </is>
      </c>
      <c r="B212" s="0" t="n">
        <v>0.0122</v>
      </c>
      <c r="C212" s="0" t="n">
        <v>-0.0073</v>
      </c>
      <c r="D212" s="0" t="n">
        <v>-0.0075</v>
      </c>
      <c r="E212" s="0" t="n">
        <v>-0.0032</v>
      </c>
      <c r="F212" s="0" t="n">
        <v>-0.009399999999999999</v>
      </c>
      <c r="G212" s="0" t="n">
        <v>8.000000000000001e-05</v>
      </c>
    </row>
    <row r="213">
      <c r="A213" s="0" t="inlineStr">
        <is>
          <t>2018-11-01</t>
        </is>
      </c>
      <c r="B213" s="0" t="n">
        <v>0.0129</v>
      </c>
      <c r="C213" s="0" t="n">
        <v>0.012</v>
      </c>
      <c r="D213" s="0" t="n">
        <v>-0.0113</v>
      </c>
      <c r="E213" s="0" t="n">
        <v>-0.0022</v>
      </c>
      <c r="F213" s="0" t="n">
        <v>-0.0051</v>
      </c>
      <c r="G213" s="0" t="n">
        <v>8.000000000000001e-05</v>
      </c>
    </row>
    <row r="214">
      <c r="A214" s="0" t="inlineStr">
        <is>
          <t>2018-11-02</t>
        </is>
      </c>
      <c r="B214" s="0" t="n">
        <v>-0.0053</v>
      </c>
      <c r="C214" s="0" t="n">
        <v>0.0086</v>
      </c>
      <c r="D214" s="0" t="n">
        <v>0.0067</v>
      </c>
      <c r="E214" s="0" t="n">
        <v>-0.0044</v>
      </c>
      <c r="F214" s="0" t="n">
        <v>0.0023</v>
      </c>
      <c r="G214" s="0" t="n">
        <v>8.000000000000001e-05</v>
      </c>
    </row>
    <row r="215">
      <c r="A215" s="0" t="inlineStr">
        <is>
          <t>2018-11-05</t>
        </is>
      </c>
      <c r="B215" s="0" t="n">
        <v>0.004</v>
      </c>
      <c r="C215" s="0" t="n">
        <v>-0.008800000000000001</v>
      </c>
      <c r="D215" s="0" t="n">
        <v>0.0156</v>
      </c>
      <c r="E215" s="0" t="n">
        <v>-0.0051</v>
      </c>
      <c r="F215" s="0" t="n">
        <v>0.0077</v>
      </c>
      <c r="G215" s="0" t="n">
        <v>8.000000000000001e-05</v>
      </c>
    </row>
    <row r="216">
      <c r="A216" s="0" t="inlineStr">
        <is>
          <t>2018-11-06</t>
        </is>
      </c>
      <c r="B216" s="0" t="n">
        <v>0.0058</v>
      </c>
      <c r="C216" s="0" t="n">
        <v>-0.0015</v>
      </c>
      <c r="D216" s="0" t="n">
        <v>0.0001</v>
      </c>
      <c r="E216" s="0" t="n">
        <v>0.0027</v>
      </c>
      <c r="F216" s="0" t="n">
        <v>0.0018</v>
      </c>
      <c r="G216" s="0" t="n">
        <v>8.000000000000001e-05</v>
      </c>
    </row>
    <row r="217">
      <c r="A217" s="0" t="inlineStr">
        <is>
          <t>2018-11-07</t>
        </is>
      </c>
      <c r="B217" s="0" t="n">
        <v>0.0211</v>
      </c>
      <c r="C217" s="0" t="n">
        <v>-0.0052</v>
      </c>
      <c r="D217" s="0" t="n">
        <v>-0.0103</v>
      </c>
      <c r="E217" s="0" t="n">
        <v>-0.004</v>
      </c>
      <c r="F217" s="0" t="n">
        <v>-0.008</v>
      </c>
      <c r="G217" s="0" t="n">
        <v>8.000000000000001e-05</v>
      </c>
    </row>
    <row r="218">
      <c r="A218" s="0" t="inlineStr">
        <is>
          <t>2018-11-08</t>
        </is>
      </c>
      <c r="B218" s="0" t="n">
        <v>-0.0028</v>
      </c>
      <c r="C218" s="0" t="n">
        <v>-0.0014</v>
      </c>
      <c r="D218" s="0" t="n">
        <v>0.0025</v>
      </c>
      <c r="E218" s="0" t="n">
        <v>0.004</v>
      </c>
      <c r="F218" s="0" t="n">
        <v>0.003</v>
      </c>
      <c r="G218" s="0" t="n">
        <v>8.000000000000001e-05</v>
      </c>
    </row>
    <row r="219">
      <c r="A219" s="0" t="inlineStr">
        <is>
          <t>2018-11-09</t>
        </is>
      </c>
      <c r="B219" s="0" t="n">
        <v>-0.0104</v>
      </c>
      <c r="C219" s="0" t="n">
        <v>-0.0083</v>
      </c>
      <c r="D219" s="0" t="n">
        <v>0.0042</v>
      </c>
      <c r="E219" s="0" t="n">
        <v>0.0061</v>
      </c>
      <c r="F219" s="0" t="n">
        <v>0.0072</v>
      </c>
      <c r="G219" s="0" t="n">
        <v>8.000000000000001e-05</v>
      </c>
    </row>
    <row r="220">
      <c r="A220" s="0" t="inlineStr">
        <is>
          <t>2018-11-12</t>
        </is>
      </c>
      <c r="B220" s="0" t="n">
        <v>-0.0206</v>
      </c>
      <c r="C220" s="0" t="n">
        <v>0.0009</v>
      </c>
      <c r="D220" s="0" t="n">
        <v>0.0086</v>
      </c>
      <c r="E220" s="0" t="n">
        <v>0.0052</v>
      </c>
      <c r="F220" s="0" t="n">
        <v>0.0089</v>
      </c>
      <c r="G220" s="0" t="n">
        <v>8.000000000000001e-05</v>
      </c>
    </row>
    <row r="221">
      <c r="A221" s="0" t="inlineStr">
        <is>
          <t>2018-11-13</t>
        </is>
      </c>
      <c r="B221" s="0" t="n">
        <v>-0.0013</v>
      </c>
      <c r="C221" s="0" t="n">
        <v>-0.0008</v>
      </c>
      <c r="D221" s="0" t="n">
        <v>0.0015</v>
      </c>
      <c r="E221" s="0" t="n">
        <v>0.0022</v>
      </c>
      <c r="F221" s="0" t="n">
        <v>-0.0031</v>
      </c>
      <c r="G221" s="0" t="n">
        <v>8.000000000000001e-05</v>
      </c>
    </row>
    <row r="222">
      <c r="A222" s="0" t="inlineStr">
        <is>
          <t>2018-11-14</t>
        </is>
      </c>
      <c r="B222" s="0" t="n">
        <v>-0.0077</v>
      </c>
      <c r="C222" s="0" t="n">
        <v>0.0003</v>
      </c>
      <c r="D222" s="0" t="n">
        <v>-0.0026</v>
      </c>
      <c r="E222" s="0" t="n">
        <v>0.005699999999999999</v>
      </c>
      <c r="F222" s="0" t="n">
        <v>0.0013</v>
      </c>
      <c r="G222" s="0" t="n">
        <v>8.000000000000001e-05</v>
      </c>
    </row>
    <row r="223">
      <c r="A223" s="0" t="inlineStr">
        <is>
          <t>2018-11-15</t>
        </is>
      </c>
      <c r="B223" s="0" t="n">
        <v>0.0118</v>
      </c>
      <c r="C223" s="0" t="n">
        <v>0.003</v>
      </c>
      <c r="D223" s="0" t="n">
        <v>-0.0042</v>
      </c>
      <c r="E223" s="0" t="n">
        <v>-0.0083</v>
      </c>
      <c r="F223" s="0" t="n">
        <v>-0.0069</v>
      </c>
      <c r="G223" s="0" t="n">
        <v>8.000000000000001e-05</v>
      </c>
    </row>
    <row r="224">
      <c r="A224" s="0" t="inlineStr">
        <is>
          <t>2018-11-16</t>
        </is>
      </c>
      <c r="B224" s="0" t="n">
        <v>0.0015</v>
      </c>
      <c r="C224" s="0" t="n">
        <v>-0.0003</v>
      </c>
      <c r="D224" s="0" t="n">
        <v>-0.0005999999999999999</v>
      </c>
      <c r="E224" s="0" t="n">
        <v>-0.007800000000000001</v>
      </c>
      <c r="F224" s="0" t="n">
        <v>0.0018</v>
      </c>
      <c r="G224" s="0" t="n">
        <v>8.000000000000001e-05</v>
      </c>
    </row>
    <row r="225">
      <c r="A225" s="0" t="inlineStr">
        <is>
          <t>2018-11-19</t>
        </is>
      </c>
      <c r="B225" s="0" t="n">
        <v>-0.0188</v>
      </c>
      <c r="C225" s="0" t="n">
        <v>-0.0035</v>
      </c>
      <c r="D225" s="0" t="n">
        <v>0.0235</v>
      </c>
      <c r="E225" s="0" t="n">
        <v>0.0014</v>
      </c>
      <c r="F225" s="0" t="n">
        <v>0.0124</v>
      </c>
      <c r="G225" s="0" t="n">
        <v>8.000000000000001e-05</v>
      </c>
    </row>
    <row r="226">
      <c r="A226" s="0" t="inlineStr">
        <is>
          <t>2018-11-20</t>
        </is>
      </c>
      <c r="B226" s="0" t="n">
        <v>-0.0185</v>
      </c>
      <c r="C226" s="0" t="n">
        <v>0.0001</v>
      </c>
      <c r="D226" s="0" t="n">
        <v>-0.0054</v>
      </c>
      <c r="E226" s="0" t="n">
        <v>-0.0031</v>
      </c>
      <c r="F226" s="0" t="n">
        <v>-0.0028</v>
      </c>
      <c r="G226" s="0" t="n">
        <v>8.000000000000001e-05</v>
      </c>
    </row>
    <row r="227">
      <c r="A227" s="0" t="inlineStr">
        <is>
          <t>2018-11-21</t>
        </is>
      </c>
      <c r="B227" s="0" t="n">
        <v>0.0051</v>
      </c>
      <c r="C227" s="0" t="n">
        <v>0.009599999999999999</v>
      </c>
      <c r="D227" s="0" t="n">
        <v>-0.0033</v>
      </c>
      <c r="E227" s="0" t="n">
        <v>-0.0034</v>
      </c>
      <c r="F227" s="0" t="n">
        <v>0</v>
      </c>
      <c r="G227" s="0" t="n">
        <v>8.000000000000001e-05</v>
      </c>
    </row>
    <row r="228">
      <c r="A228" s="0" t="inlineStr">
        <is>
          <t>2018-11-23</t>
        </is>
      </c>
      <c r="B228" s="0" t="n">
        <v>-0.005500000000000001</v>
      </c>
      <c r="C228" s="0" t="n">
        <v>0.0075</v>
      </c>
      <c r="D228" s="0" t="n">
        <v>-0.006</v>
      </c>
      <c r="E228" s="0" t="n">
        <v>0.0031</v>
      </c>
      <c r="F228" s="0" t="n">
        <v>-0.0005</v>
      </c>
      <c r="G228" s="0" t="n">
        <v>8.000000000000001e-05</v>
      </c>
    </row>
    <row r="229">
      <c r="A229" s="0" t="inlineStr">
        <is>
          <t>2018-11-26</t>
        </is>
      </c>
      <c r="B229" s="0" t="n">
        <v>0.0162</v>
      </c>
      <c r="C229" s="0" t="n">
        <v>-0.006999999999999999</v>
      </c>
      <c r="D229" s="0" t="n">
        <v>-0.002</v>
      </c>
      <c r="E229" s="0" t="n">
        <v>-0.004099999999999999</v>
      </c>
      <c r="F229" s="0" t="n">
        <v>-0.0074</v>
      </c>
      <c r="G229" s="0" t="n">
        <v>8.000000000000001e-05</v>
      </c>
    </row>
    <row r="230">
      <c r="A230" s="0" t="inlineStr">
        <is>
          <t>2018-11-27</t>
        </is>
      </c>
      <c r="B230" s="0" t="n">
        <v>0.0011</v>
      </c>
      <c r="C230" s="0" t="n">
        <v>-0.0104</v>
      </c>
      <c r="D230" s="0" t="n">
        <v>0.0027</v>
      </c>
      <c r="E230" s="0" t="n">
        <v>0.006</v>
      </c>
      <c r="F230" s="0" t="n">
        <v>0.001</v>
      </c>
      <c r="G230" s="0" t="n">
        <v>8.000000000000001e-05</v>
      </c>
    </row>
    <row r="231">
      <c r="A231" s="0" t="inlineStr">
        <is>
          <t>2018-11-28</t>
        </is>
      </c>
      <c r="B231" s="0" t="n">
        <v>0.0242</v>
      </c>
      <c r="C231" s="0" t="n">
        <v>0.003</v>
      </c>
      <c r="D231" s="0" t="n">
        <v>-0.0117</v>
      </c>
      <c r="E231" s="0" t="n">
        <v>0.0013</v>
      </c>
      <c r="F231" s="0" t="n">
        <v>-0.009399999999999999</v>
      </c>
      <c r="G231" s="0" t="n">
        <v>8.000000000000001e-05</v>
      </c>
    </row>
    <row r="232">
      <c r="A232" s="0" t="inlineStr">
        <is>
          <t>2018-11-29</t>
        </is>
      </c>
      <c r="B232" s="0" t="n">
        <v>-0.0022</v>
      </c>
      <c r="C232" s="0" t="n">
        <v>-0.0021</v>
      </c>
      <c r="D232" s="0" t="n">
        <v>-0.001</v>
      </c>
      <c r="E232" s="0" t="n">
        <v>-0.0048</v>
      </c>
      <c r="F232" s="0" t="n">
        <v>0.0003</v>
      </c>
      <c r="G232" s="0" t="n">
        <v>8.000000000000001e-05</v>
      </c>
    </row>
    <row r="233">
      <c r="A233" s="0" t="inlineStr">
        <is>
          <t>2018-11-30</t>
        </is>
      </c>
      <c r="B233" s="0" t="n">
        <v>0.007800000000000001</v>
      </c>
      <c r="C233" s="0" t="n">
        <v>-0.0037</v>
      </c>
      <c r="D233" s="0" t="n">
        <v>-0.004500000000000001</v>
      </c>
      <c r="E233" s="0" t="n">
        <v>0.0026</v>
      </c>
      <c r="F233" s="0" t="n">
        <v>-0.0024</v>
      </c>
      <c r="G233" s="0" t="n">
        <v>8.000000000000001e-05</v>
      </c>
    </row>
    <row r="234">
      <c r="A234" s="0" t="inlineStr">
        <is>
          <t>2018-12-03</t>
        </is>
      </c>
      <c r="B234" s="0" t="n">
        <v>0.0113</v>
      </c>
      <c r="C234" s="0" t="n">
        <v>-0.0012</v>
      </c>
      <c r="D234" s="0" t="n">
        <v>-0.007900000000000001</v>
      </c>
      <c r="E234" s="0" t="n">
        <v>-0.0028</v>
      </c>
      <c r="F234" s="0" t="n">
        <v>-0.0058</v>
      </c>
      <c r="G234" s="0" t="n">
        <v>0.0001</v>
      </c>
    </row>
    <row r="235">
      <c r="A235" s="0" t="inlineStr">
        <is>
          <t>2018-12-04</t>
        </is>
      </c>
      <c r="B235" s="0" t="n">
        <v>-0.0345</v>
      </c>
      <c r="C235" s="0" t="n">
        <v>-0.0103</v>
      </c>
      <c r="D235" s="0" t="n">
        <v>-0.0018</v>
      </c>
      <c r="E235" s="0" t="n">
        <v>-0.0014</v>
      </c>
      <c r="F235" s="0" t="n">
        <v>0.0091</v>
      </c>
      <c r="G235" s="0" t="n">
        <v>0.0001</v>
      </c>
    </row>
    <row r="236">
      <c r="A236" s="0" t="inlineStr">
        <is>
          <t>2018-12-06</t>
        </is>
      </c>
      <c r="B236" s="0" t="n">
        <v>-0.0016</v>
      </c>
      <c r="C236" s="0" t="n">
        <v>-0.0005999999999999999</v>
      </c>
      <c r="D236" s="0" t="n">
        <v>-0.0104</v>
      </c>
      <c r="E236" s="0" t="n">
        <v>0.0015</v>
      </c>
      <c r="F236" s="0" t="n">
        <v>-0.003</v>
      </c>
      <c r="G236" s="0" t="n">
        <v>0.0001</v>
      </c>
    </row>
    <row r="237">
      <c r="A237" s="0" t="inlineStr">
        <is>
          <t>2018-12-07</t>
        </is>
      </c>
      <c r="B237" s="0" t="n">
        <v>-0.0236</v>
      </c>
      <c r="C237" s="0" t="n">
        <v>0.0026</v>
      </c>
      <c r="D237" s="0" t="n">
        <v>0.0133</v>
      </c>
      <c r="E237" s="0" t="n">
        <v>-0.0052</v>
      </c>
      <c r="F237" s="0" t="n">
        <v>0.0061</v>
      </c>
      <c r="G237" s="0" t="n">
        <v>0.0001</v>
      </c>
    </row>
    <row r="238">
      <c r="A238" s="0" t="inlineStr">
        <is>
          <t>2018-12-10</t>
        </is>
      </c>
      <c r="B238" s="0" t="n">
        <v>0.001</v>
      </c>
      <c r="C238" s="0" t="n">
        <v>-0.0039</v>
      </c>
      <c r="D238" s="0" t="n">
        <v>-0.0165</v>
      </c>
      <c r="E238" s="0" t="n">
        <v>0.0032</v>
      </c>
      <c r="F238" s="0" t="n">
        <v>-0.003</v>
      </c>
      <c r="G238" s="0" t="n">
        <v>0.0001</v>
      </c>
    </row>
    <row r="239">
      <c r="A239" s="0" t="inlineStr">
        <is>
          <t>2018-12-11</t>
        </is>
      </c>
      <c r="B239" s="0" t="n">
        <v>-0.0008</v>
      </c>
      <c r="C239" s="0" t="n">
        <v>-0.0015</v>
      </c>
      <c r="D239" s="0" t="n">
        <v>-0.0039</v>
      </c>
      <c r="E239" s="0" t="n">
        <v>0.0017</v>
      </c>
      <c r="F239" s="0" t="n">
        <v>-0.0007000000000000001</v>
      </c>
      <c r="G239" s="0" t="n">
        <v>0.0001</v>
      </c>
    </row>
    <row r="240">
      <c r="A240" s="0" t="inlineStr">
        <is>
          <t>2018-12-12</t>
        </is>
      </c>
      <c r="B240" s="0" t="n">
        <v>0.0068</v>
      </c>
      <c r="C240" s="0" t="n">
        <v>0.0049</v>
      </c>
      <c r="D240" s="0" t="n">
        <v>-0.002</v>
      </c>
      <c r="E240" s="0" t="n">
        <v>-0.0023</v>
      </c>
      <c r="F240" s="0" t="n">
        <v>-0.0012</v>
      </c>
      <c r="G240" s="0" t="n">
        <v>0.0001</v>
      </c>
    </row>
    <row r="241">
      <c r="A241" s="0" t="inlineStr">
        <is>
          <t>2018-12-13</t>
        </is>
      </c>
      <c r="B241" s="0" t="n">
        <v>-0.0026</v>
      </c>
      <c r="C241" s="0" t="n">
        <v>-0.0154</v>
      </c>
      <c r="D241" s="0" t="n">
        <v>-0.0018</v>
      </c>
      <c r="E241" s="0" t="n">
        <v>0.0019</v>
      </c>
      <c r="F241" s="0" t="n">
        <v>0.0003</v>
      </c>
      <c r="G241" s="0" t="n">
        <v>0.0001</v>
      </c>
    </row>
    <row r="242">
      <c r="A242" s="0" t="inlineStr">
        <is>
          <t>2018-12-14</t>
        </is>
      </c>
      <c r="B242" s="0" t="n">
        <v>-0.0189</v>
      </c>
      <c r="C242" s="0" t="n">
        <v>0.0008</v>
      </c>
      <c r="D242" s="0" t="n">
        <v>0.0051</v>
      </c>
      <c r="E242" s="0" t="n">
        <v>-0.0023</v>
      </c>
      <c r="F242" s="0" t="n">
        <v>0.006</v>
      </c>
      <c r="G242" s="0" t="n">
        <v>0.0001</v>
      </c>
    </row>
    <row r="243">
      <c r="A243" s="0" t="inlineStr">
        <is>
          <t>2018-12-17</t>
        </is>
      </c>
      <c r="B243" s="0" t="n">
        <v>-0.0213</v>
      </c>
      <c r="C243" s="0" t="n">
        <v>-0.0014</v>
      </c>
      <c r="D243" s="0" t="n">
        <v>0.0103</v>
      </c>
      <c r="E243" s="0" t="n">
        <v>0.0027</v>
      </c>
      <c r="F243" s="0" t="n">
        <v>0.0022</v>
      </c>
      <c r="G243" s="0" t="n">
        <v>0.0001</v>
      </c>
    </row>
    <row r="244">
      <c r="A244" s="0" t="inlineStr">
        <is>
          <t>2018-12-18</t>
        </is>
      </c>
      <c r="B244" s="0" t="n">
        <v>-0.0003</v>
      </c>
      <c r="C244" s="0" t="n">
        <v>-0.0005</v>
      </c>
      <c r="D244" s="0" t="n">
        <v>-0.0058</v>
      </c>
      <c r="E244" s="0" t="n">
        <v>0.009399999999999999</v>
      </c>
      <c r="F244" s="0" t="n">
        <v>-0.004699999999999999</v>
      </c>
      <c r="G244" s="0" t="n">
        <v>0.0001</v>
      </c>
    </row>
    <row r="245">
      <c r="A245" s="0" t="inlineStr">
        <is>
          <t>2018-12-19</t>
        </is>
      </c>
      <c r="B245" s="0" t="n">
        <v>-0.0158</v>
      </c>
      <c r="C245" s="0" t="n">
        <v>-0.006</v>
      </c>
      <c r="D245" s="0" t="n">
        <v>0.0004</v>
      </c>
      <c r="E245" s="0" t="n">
        <v>-0.0038</v>
      </c>
      <c r="F245" s="0" t="n">
        <v>0.0042</v>
      </c>
      <c r="G245" s="0" t="n">
        <v>0.0001</v>
      </c>
    </row>
    <row r="246">
      <c r="A246" s="0" t="inlineStr">
        <is>
          <t>2018-12-20</t>
        </is>
      </c>
      <c r="B246" s="0" t="n">
        <v>-0.0162</v>
      </c>
      <c r="C246" s="0" t="n">
        <v>-0.0013</v>
      </c>
      <c r="D246" s="0" t="n">
        <v>0.0097</v>
      </c>
      <c r="E246" s="0" t="n">
        <v>0.0061</v>
      </c>
      <c r="F246" s="0" t="n">
        <v>-0.0005999999999999999</v>
      </c>
      <c r="G246" s="0" t="n">
        <v>0.0001</v>
      </c>
    </row>
    <row r="247">
      <c r="A247" s="0" t="inlineStr">
        <is>
          <t>2018-12-21</t>
        </is>
      </c>
      <c r="B247" s="0" t="n">
        <v>-0.0217</v>
      </c>
      <c r="C247" s="0" t="n">
        <v>-0.0054</v>
      </c>
      <c r="D247" s="0" t="n">
        <v>0.007800000000000001</v>
      </c>
      <c r="E247" s="0" t="n">
        <v>0.0005999999999999999</v>
      </c>
      <c r="F247" s="0" t="n">
        <v>0.0066</v>
      </c>
      <c r="G247" s="0" t="n">
        <v>0.0001</v>
      </c>
    </row>
    <row r="248">
      <c r="A248" s="0" t="inlineStr">
        <is>
          <t>2018-12-24</t>
        </is>
      </c>
      <c r="B248" s="0" t="n">
        <v>-0.0255</v>
      </c>
      <c r="C248" s="0" t="n">
        <v>0.0091</v>
      </c>
      <c r="D248" s="0" t="n">
        <v>-0.0046</v>
      </c>
      <c r="E248" s="0" t="n">
        <v>-0.0036</v>
      </c>
      <c r="F248" s="0" t="n">
        <v>-0.0036</v>
      </c>
      <c r="G248" s="0" t="n">
        <v>0.0001</v>
      </c>
    </row>
    <row r="249">
      <c r="A249" s="0" t="inlineStr">
        <is>
          <t>2018-12-26</t>
        </is>
      </c>
      <c r="B249" s="0" t="n">
        <v>0.0506</v>
      </c>
      <c r="C249" s="0" t="n">
        <v>-0.0018</v>
      </c>
      <c r="D249" s="0" t="n">
        <v>-0.0101</v>
      </c>
      <c r="E249" s="0" t="n">
        <v>-0.0019</v>
      </c>
      <c r="F249" s="0" t="n">
        <v>-0.0107</v>
      </c>
      <c r="G249" s="0" t="n">
        <v>0.0001</v>
      </c>
    </row>
    <row r="250">
      <c r="A250" s="0" t="inlineStr">
        <is>
          <t>2018-12-27</t>
        </is>
      </c>
      <c r="B250" s="0" t="n">
        <v>0.007800000000000001</v>
      </c>
      <c r="C250" s="0" t="n">
        <v>-0.006999999999999999</v>
      </c>
      <c r="D250" s="0" t="n">
        <v>-0.0014</v>
      </c>
      <c r="E250" s="0" t="n">
        <v>-0.0013</v>
      </c>
      <c r="F250" s="0" t="n">
        <v>0.001</v>
      </c>
      <c r="G250" s="0" t="n">
        <v>0.0001</v>
      </c>
    </row>
    <row r="251">
      <c r="A251" s="0" t="inlineStr">
        <is>
          <t>2018-12-28</t>
        </is>
      </c>
      <c r="B251" s="0" t="n">
        <v>-0.0003</v>
      </c>
      <c r="C251" s="0" t="n">
        <v>0.0074</v>
      </c>
      <c r="D251" s="0" t="n">
        <v>0.0023</v>
      </c>
      <c r="E251" s="0" t="n">
        <v>-0.0035</v>
      </c>
      <c r="F251" s="0" t="n">
        <v>-0.0007000000000000001</v>
      </c>
      <c r="G251" s="0" t="n">
        <v>0.0001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Bonus: Fama-French 3-factor model — fine-tuning expected returns (2018 data)</t>
        </is>
      </c>
    </row>
    <row r="3">
      <c r="A3" s="16" t="inlineStr">
        <is>
          <t>Factor premia (average realized factor return, 2018)</t>
        </is>
      </c>
    </row>
    <row r="4">
      <c r="A4" s="0" t="inlineStr">
        <is>
          <t>Mkt-RF premium</t>
        </is>
      </c>
      <c r="B4" s="0">
        <f>AVERAGE(FF3_Factors_2018!B2:B251)</f>
        <v/>
      </c>
    </row>
    <row r="5">
      <c r="A5" s="0" t="inlineStr">
        <is>
          <t>SMB premium</t>
        </is>
      </c>
      <c r="B5" s="0">
        <f>AVERAGE(FF3_Factors_2018!C2:C251)</f>
        <v/>
      </c>
    </row>
    <row r="6">
      <c r="A6" s="0" t="inlineStr">
        <is>
          <t>HML premium</t>
        </is>
      </c>
      <c r="B6" s="0">
        <f>AVERAGE(FF3_Factors_2018!D2:D251)</f>
        <v/>
      </c>
    </row>
    <row r="7">
      <c r="A7" s="0" t="inlineStr">
        <is>
          <t>Average risk-free rate (RF)</t>
        </is>
      </c>
      <c r="B7" s="0">
        <f>AVERAGE(FF3_Factors_2018!G2:G251)</f>
        <v/>
      </c>
    </row>
    <row r="9" customFormat="1" s="15">
      <c r="A9" s="15" t="inlineStr">
        <is>
          <t>Ticker</t>
        </is>
      </c>
      <c r="B9" s="15" t="inlineStr">
        <is>
          <t>alpha</t>
        </is>
      </c>
      <c r="C9" s="15" t="inlineStr">
        <is>
          <t>beta_mkt</t>
        </is>
      </c>
      <c r="D9" s="15" t="inlineStr">
        <is>
          <t>beta_smb</t>
        </is>
      </c>
      <c r="E9" s="15" t="inlineStr">
        <is>
          <t>beta_hml</t>
        </is>
      </c>
      <c r="F9" s="15" t="inlineStr">
        <is>
          <t>R2</t>
        </is>
      </c>
      <c r="G9" s="15" t="inlineStr">
        <is>
          <t>ff3_implied_mean</t>
        </is>
      </c>
      <c r="H9" s="15" t="inlineStr">
        <is>
          <t>raw_historical_mean</t>
        </is>
      </c>
    </row>
    <row r="10">
      <c r="A10" s="0" t="inlineStr">
        <is>
          <t>IBM</t>
        </is>
      </c>
      <c r="B10" s="0">
        <f t="array" ref="B10">INDEX(LINEST(Returns_2018!B2:B251-FF3_Factors_2018!$G$2:$G$251,FF3_Factors_2018!$B$2:$D$251,TRUE,TRUE),1,4)</f>
        <v/>
      </c>
      <c r="C10" s="0">
        <f t="array" ref="C10">INDEX(LINEST(Returns_2018!B2:B251-FF3_Factors_2018!$G$2:$G$251,FF3_Factors_2018!$B$2:$D$251,TRUE,TRUE),1,3)</f>
        <v/>
      </c>
      <c r="D10" s="0">
        <f t="array" ref="D10">INDEX(LINEST(Returns_2018!B2:B251-FF3_Factors_2018!$G$2:$G$251,FF3_Factors_2018!$B$2:$D$251,TRUE,TRUE),1,2)</f>
        <v/>
      </c>
      <c r="E10" s="0">
        <f t="array" ref="E10">INDEX(LINEST(Returns_2018!B2:B251-FF3_Factors_2018!$G$2:$G$251,FF3_Factors_2018!$B$2:$D$251,TRUE,TRUE),1,1)</f>
        <v/>
      </c>
      <c r="F10" s="0">
        <f t="array" ref="F10">INDEX(LINEST(Returns_2018!B2:B251-FF3_Factors_2018!$G$2:$G$251,FF3_Factors_2018!$B$2:$D$251,TRUE,TRUE),3,1)</f>
        <v/>
      </c>
      <c r="G10" s="0">
        <f>$B$7+C10*$B$4+D10*$B$5+E10*$B$6</f>
        <v/>
      </c>
      <c r="H10" s="0">
        <f>AVERAGE(Returns_2018!B2:B251)</f>
        <v/>
      </c>
    </row>
    <row r="11">
      <c r="A11" s="0" t="inlineStr">
        <is>
          <t>GE</t>
        </is>
      </c>
      <c r="B11" s="0">
        <f t="array" ref="B11">INDEX(LINEST(Returns_2018!C2:C251-FF3_Factors_2018!$G$2:$G$251,FF3_Factors_2018!$B$2:$D$251,TRUE,TRUE),1,4)</f>
        <v/>
      </c>
      <c r="C11" s="0">
        <f t="array" ref="C11">INDEX(LINEST(Returns_2018!C2:C251-FF3_Factors_2018!$G$2:$G$251,FF3_Factors_2018!$B$2:$D$251,TRUE,TRUE),1,3)</f>
        <v/>
      </c>
      <c r="D11" s="0">
        <f t="array" ref="D11">INDEX(LINEST(Returns_2018!C2:C251-FF3_Factors_2018!$G$2:$G$251,FF3_Factors_2018!$B$2:$D$251,TRUE,TRUE),1,2)</f>
        <v/>
      </c>
      <c r="E11" s="0">
        <f t="array" ref="E11">INDEX(LINEST(Returns_2018!C2:C251-FF3_Factors_2018!$G$2:$G$251,FF3_Factors_2018!$B$2:$D$251,TRUE,TRUE),1,1)</f>
        <v/>
      </c>
      <c r="F11" s="0">
        <f t="array" ref="F11">INDEX(LINEST(Returns_2018!C2:C251-FF3_Factors_2018!$G$2:$G$251,FF3_Factors_2018!$B$2:$D$251,TRUE,TRUE),3,1)</f>
        <v/>
      </c>
      <c r="G11" s="0">
        <f>$B$7+C11*$B$4+D11*$B$5+E11*$B$6</f>
        <v/>
      </c>
      <c r="H11" s="0">
        <f>AVERAGE(Returns_2018!C2:C251)</f>
        <v/>
      </c>
    </row>
    <row r="12">
      <c r="A12" s="0" t="inlineStr">
        <is>
          <t>LLY</t>
        </is>
      </c>
      <c r="B12" s="0">
        <f t="array" ref="B12">INDEX(LINEST(Returns_2018!D2:D251-FF3_Factors_2018!$G$2:$G$251,FF3_Factors_2018!$B$2:$D$251,TRUE,TRUE),1,4)</f>
        <v/>
      </c>
      <c r="C12" s="0">
        <f t="array" ref="C12">INDEX(LINEST(Returns_2018!D2:D251-FF3_Factors_2018!$G$2:$G$251,FF3_Factors_2018!$B$2:$D$251,TRUE,TRUE),1,3)</f>
        <v/>
      </c>
      <c r="D12" s="0">
        <f t="array" ref="D12">INDEX(LINEST(Returns_2018!D2:D251-FF3_Factors_2018!$G$2:$G$251,FF3_Factors_2018!$B$2:$D$251,TRUE,TRUE),1,2)</f>
        <v/>
      </c>
      <c r="E12" s="0">
        <f t="array" ref="E12">INDEX(LINEST(Returns_2018!D2:D251-FF3_Factors_2018!$G$2:$G$251,FF3_Factors_2018!$B$2:$D$251,TRUE,TRUE),1,1)</f>
        <v/>
      </c>
      <c r="F12" s="0">
        <f t="array" ref="F12">INDEX(LINEST(Returns_2018!D2:D251-FF3_Factors_2018!$G$2:$G$251,FF3_Factors_2018!$B$2:$D$251,TRUE,TRUE),3,1)</f>
        <v/>
      </c>
      <c r="G12" s="0">
        <f>$B$7+C12*$B$4+D12*$B$5+E12*$B$6</f>
        <v/>
      </c>
      <c r="H12" s="0">
        <f>AVERAGE(Returns_2018!D2:D251)</f>
        <v/>
      </c>
    </row>
    <row r="13">
      <c r="A13" s="0" t="inlineStr">
        <is>
          <t>F</t>
        </is>
      </c>
      <c r="B13" s="0">
        <f t="array" ref="B13">INDEX(LINEST(Returns_2018!E2:E251-FF3_Factors_2018!$G$2:$G$251,FF3_Factors_2018!$B$2:$D$251,TRUE,TRUE),1,4)</f>
        <v/>
      </c>
      <c r="C13" s="0">
        <f t="array" ref="C13">INDEX(LINEST(Returns_2018!E2:E251-FF3_Factors_2018!$G$2:$G$251,FF3_Factors_2018!$B$2:$D$251,TRUE,TRUE),1,3)</f>
        <v/>
      </c>
      <c r="D13" s="0">
        <f t="array" ref="D13">INDEX(LINEST(Returns_2018!E2:E251-FF3_Factors_2018!$G$2:$G$251,FF3_Factors_2018!$B$2:$D$251,TRUE,TRUE),1,2)</f>
        <v/>
      </c>
      <c r="E13" s="0">
        <f t="array" ref="E13">INDEX(LINEST(Returns_2018!E2:E251-FF3_Factors_2018!$G$2:$G$251,FF3_Factors_2018!$B$2:$D$251,TRUE,TRUE),1,1)</f>
        <v/>
      </c>
      <c r="F13" s="0">
        <f t="array" ref="F13">INDEX(LINEST(Returns_2018!E2:E251-FF3_Factors_2018!$G$2:$G$251,FF3_Factors_2018!$B$2:$D$251,TRUE,TRUE),3,1)</f>
        <v/>
      </c>
      <c r="G13" s="0">
        <f>$B$7+C13*$B$4+D13*$B$5+E13*$B$6</f>
        <v/>
      </c>
      <c r="H13" s="0">
        <f>AVERAGE(Returns_2018!E2:E251)</f>
        <v/>
      </c>
    </row>
    <row r="14">
      <c r="A14" s="0" t="inlineStr">
        <is>
          <t>BAC</t>
        </is>
      </c>
      <c r="B14" s="0">
        <f t="array" ref="B14">INDEX(LINEST(Returns_2018!F2:F251-FF3_Factors_2018!$G$2:$G$251,FF3_Factors_2018!$B$2:$D$251,TRUE,TRUE),1,4)</f>
        <v/>
      </c>
      <c r="C14" s="0">
        <f t="array" ref="C14">INDEX(LINEST(Returns_2018!F2:F251-FF3_Factors_2018!$G$2:$G$251,FF3_Factors_2018!$B$2:$D$251,TRUE,TRUE),1,3)</f>
        <v/>
      </c>
      <c r="D14" s="0">
        <f t="array" ref="D14">INDEX(LINEST(Returns_2018!F2:F251-FF3_Factors_2018!$G$2:$G$251,FF3_Factors_2018!$B$2:$D$251,TRUE,TRUE),1,2)</f>
        <v/>
      </c>
      <c r="E14" s="0">
        <f t="array" ref="E14">INDEX(LINEST(Returns_2018!F2:F251-FF3_Factors_2018!$G$2:$G$251,FF3_Factors_2018!$B$2:$D$251,TRUE,TRUE),1,1)</f>
        <v/>
      </c>
      <c r="F14" s="0">
        <f t="array" ref="F14">INDEX(LINEST(Returns_2018!F2:F251-FF3_Factors_2018!$G$2:$G$251,FF3_Factors_2018!$B$2:$D$251,TRUE,TRUE),3,1)</f>
        <v/>
      </c>
      <c r="G14" s="0">
        <f>$B$7+C14*$B$4+D14*$B$5+E14*$B$6</f>
        <v/>
      </c>
      <c r="H14" s="0">
        <f>AVERAGE(Returns_2018!F2:F251)</f>
        <v/>
      </c>
    </row>
    <row r="15">
      <c r="A15" s="0" t="inlineStr">
        <is>
          <t>KR</t>
        </is>
      </c>
      <c r="B15" s="0">
        <f t="array" ref="B15">INDEX(LINEST(Returns_2018!G2:G251-FF3_Factors_2018!$G$2:$G$251,FF3_Factors_2018!$B$2:$D$251,TRUE,TRUE),1,4)</f>
        <v/>
      </c>
      <c r="C15" s="0">
        <f t="array" ref="C15">INDEX(LINEST(Returns_2018!G2:G251-FF3_Factors_2018!$G$2:$G$251,FF3_Factors_2018!$B$2:$D$251,TRUE,TRUE),1,3)</f>
        <v/>
      </c>
      <c r="D15" s="0">
        <f t="array" ref="D15">INDEX(LINEST(Returns_2018!G2:G251-FF3_Factors_2018!$G$2:$G$251,FF3_Factors_2018!$B$2:$D$251,TRUE,TRUE),1,2)</f>
        <v/>
      </c>
      <c r="E15" s="0">
        <f t="array" ref="E15">INDEX(LINEST(Returns_2018!G2:G251-FF3_Factors_2018!$G$2:$G$251,FF3_Factors_2018!$B$2:$D$251,TRUE,TRUE),1,1)</f>
        <v/>
      </c>
      <c r="F15" s="0">
        <f t="array" ref="F15">INDEX(LINEST(Returns_2018!G2:G251-FF3_Factors_2018!$G$2:$G$251,FF3_Factors_2018!$B$2:$D$251,TRUE,TRUE),3,1)</f>
        <v/>
      </c>
      <c r="G15" s="0">
        <f>$B$7+C15*$B$4+D15*$B$5+E15*$B$6</f>
        <v/>
      </c>
      <c r="H15" s="0">
        <f>AVERAGE(Returns_2018!G2:G251)</f>
        <v/>
      </c>
    </row>
    <row r="16">
      <c r="A16" s="0" t="inlineStr">
        <is>
          <t>ITUB</t>
        </is>
      </c>
      <c r="B16" s="0">
        <f t="array" ref="B16">INDEX(LINEST(Returns_2018!H2:H251-FF3_Factors_2018!$G$2:$G$251,FF3_Factors_2018!$B$2:$D$251,TRUE,TRUE),1,4)</f>
        <v/>
      </c>
      <c r="C16" s="0">
        <f t="array" ref="C16">INDEX(LINEST(Returns_2018!H2:H251-FF3_Factors_2018!$G$2:$G$251,FF3_Factors_2018!$B$2:$D$251,TRUE,TRUE),1,3)</f>
        <v/>
      </c>
      <c r="D16" s="0">
        <f t="array" ref="D16">INDEX(LINEST(Returns_2018!H2:H251-FF3_Factors_2018!$G$2:$G$251,FF3_Factors_2018!$B$2:$D$251,TRUE,TRUE),1,2)</f>
        <v/>
      </c>
      <c r="E16" s="0">
        <f t="array" ref="E16">INDEX(LINEST(Returns_2018!H2:H251-FF3_Factors_2018!$G$2:$G$251,FF3_Factors_2018!$B$2:$D$251,TRUE,TRUE),1,1)</f>
        <v/>
      </c>
      <c r="F16" s="0">
        <f t="array" ref="F16">INDEX(LINEST(Returns_2018!H2:H251-FF3_Factors_2018!$G$2:$G$251,FF3_Factors_2018!$B$2:$D$251,TRUE,TRUE),3,1)</f>
        <v/>
      </c>
      <c r="G16" s="0">
        <f>$B$7+C16*$B$4+D16*$B$5+E16*$B$6</f>
        <v/>
      </c>
      <c r="H16" s="0">
        <f>AVERAGE(Returns_2018!H2:H251)</f>
        <v/>
      </c>
    </row>
    <row r="17">
      <c r="A17" s="0" t="inlineStr">
        <is>
          <t>GG</t>
        </is>
      </c>
      <c r="B17" s="0">
        <f t="array" ref="B17">INDEX(LINEST(Returns_2018!I2:I251-FF3_Factors_2018!$G$2:$G$251,FF3_Factors_2018!$B$2:$D$251,TRUE,TRUE),1,4)</f>
        <v/>
      </c>
      <c r="C17" s="0">
        <f t="array" ref="C17">INDEX(LINEST(Returns_2018!I2:I251-FF3_Factors_2018!$G$2:$G$251,FF3_Factors_2018!$B$2:$D$251,TRUE,TRUE),1,3)</f>
        <v/>
      </c>
      <c r="D17" s="0">
        <f t="array" ref="D17">INDEX(LINEST(Returns_2018!I2:I251-FF3_Factors_2018!$G$2:$G$251,FF3_Factors_2018!$B$2:$D$251,TRUE,TRUE),1,2)</f>
        <v/>
      </c>
      <c r="E17" s="0">
        <f t="array" ref="E17">INDEX(LINEST(Returns_2018!I2:I251-FF3_Factors_2018!$G$2:$G$251,FF3_Factors_2018!$B$2:$D$251,TRUE,TRUE),1,1)</f>
        <v/>
      </c>
      <c r="F17" s="0">
        <f t="array" ref="F17">INDEX(LINEST(Returns_2018!I2:I251-FF3_Factors_2018!$G$2:$G$251,FF3_Factors_2018!$B$2:$D$251,TRUE,TRUE),3,1)</f>
        <v/>
      </c>
      <c r="G17" s="0">
        <f>$B$7+C17*$B$4+D17*$B$5+E17*$B$6</f>
        <v/>
      </c>
      <c r="H17" s="0">
        <f>AVERAGE(Returns_2018!I2:I251)</f>
        <v/>
      </c>
    </row>
    <row r="18">
      <c r="A18" s="0" t="inlineStr">
        <is>
          <t>SIRI</t>
        </is>
      </c>
      <c r="B18" s="0">
        <f t="array" ref="B18">INDEX(LINEST(Returns_2018!J2:J251-FF3_Factors_2018!$G$2:$G$251,FF3_Factors_2018!$B$2:$D$251,TRUE,TRUE),1,4)</f>
        <v/>
      </c>
      <c r="C18" s="0">
        <f t="array" ref="C18">INDEX(LINEST(Returns_2018!J2:J251-FF3_Factors_2018!$G$2:$G$251,FF3_Factors_2018!$B$2:$D$251,TRUE,TRUE),1,3)</f>
        <v/>
      </c>
      <c r="D18" s="0">
        <f t="array" ref="D18">INDEX(LINEST(Returns_2018!J2:J251-FF3_Factors_2018!$G$2:$G$251,FF3_Factors_2018!$B$2:$D$251,TRUE,TRUE),1,2)</f>
        <v/>
      </c>
      <c r="E18" s="0">
        <f t="array" ref="E18">INDEX(LINEST(Returns_2018!J2:J251-FF3_Factors_2018!$G$2:$G$251,FF3_Factors_2018!$B$2:$D$251,TRUE,TRUE),1,1)</f>
        <v/>
      </c>
      <c r="F18" s="0">
        <f t="array" ref="F18">INDEX(LINEST(Returns_2018!J2:J251-FF3_Factors_2018!$G$2:$G$251,FF3_Factors_2018!$B$2:$D$251,TRUE,TRUE),3,1)</f>
        <v/>
      </c>
      <c r="G18" s="0">
        <f>$B$7+C18*$B$4+D18*$B$5+E18*$B$6</f>
        <v/>
      </c>
      <c r="H18" s="0">
        <f>AVERAGE(Returns_2018!J2:J251)</f>
        <v/>
      </c>
    </row>
    <row r="19">
      <c r="A19" s="0" t="inlineStr">
        <is>
          <t>ACB</t>
        </is>
      </c>
      <c r="B19" s="0">
        <f t="array" ref="B19">INDEX(LINEST(Returns_2018!K2:K251-FF3_Factors_2018!$G$2:$G$251,FF3_Factors_2018!$B$2:$D$251,TRUE,TRUE),1,4)</f>
        <v/>
      </c>
      <c r="C19" s="0">
        <f t="array" ref="C19">INDEX(LINEST(Returns_2018!K2:K251-FF3_Factors_2018!$G$2:$G$251,FF3_Factors_2018!$B$2:$D$251,TRUE,TRUE),1,3)</f>
        <v/>
      </c>
      <c r="D19" s="0">
        <f t="array" ref="D19">INDEX(LINEST(Returns_2018!K2:K251-FF3_Factors_2018!$G$2:$G$251,FF3_Factors_2018!$B$2:$D$251,TRUE,TRUE),1,2)</f>
        <v/>
      </c>
      <c r="E19" s="0">
        <f t="array" ref="E19">INDEX(LINEST(Returns_2018!K2:K251-FF3_Factors_2018!$G$2:$G$251,FF3_Factors_2018!$B$2:$D$251,TRUE,TRUE),1,1)</f>
        <v/>
      </c>
      <c r="F19" s="0">
        <f t="array" ref="F19">INDEX(LINEST(Returns_2018!K2:K251-FF3_Factors_2018!$G$2:$G$251,FF3_Factors_2018!$B$2:$D$251,TRUE,TRUE),3,1)</f>
        <v/>
      </c>
      <c r="G19" s="0">
        <f>$B$7+C19*$B$4+D19*$B$5+E19*$B$6</f>
        <v/>
      </c>
      <c r="H19" s="0">
        <f>AVERAGE(Returns_2018!K2:K251)</f>
        <v/>
      </c>
    </row>
    <row r="20">
      <c r="A20" s="0" t="inlineStr">
        <is>
          <t>VALE</t>
        </is>
      </c>
      <c r="B20" s="0">
        <f t="array" ref="B20">INDEX(LINEST(Returns_2018!L2:L251-FF3_Factors_2018!$G$2:$G$251,FF3_Factors_2018!$B$2:$D$251,TRUE,TRUE),1,4)</f>
        <v/>
      </c>
      <c r="C20" s="0">
        <f t="array" ref="C20">INDEX(LINEST(Returns_2018!L2:L251-FF3_Factors_2018!$G$2:$G$251,FF3_Factors_2018!$B$2:$D$251,TRUE,TRUE),1,3)</f>
        <v/>
      </c>
      <c r="D20" s="0">
        <f t="array" ref="D20">INDEX(LINEST(Returns_2018!L2:L251-FF3_Factors_2018!$G$2:$G$251,FF3_Factors_2018!$B$2:$D$251,TRUE,TRUE),1,2)</f>
        <v/>
      </c>
      <c r="E20" s="0">
        <f t="array" ref="E20">INDEX(LINEST(Returns_2018!L2:L251-FF3_Factors_2018!$G$2:$G$251,FF3_Factors_2018!$B$2:$D$251,TRUE,TRUE),1,1)</f>
        <v/>
      </c>
      <c r="F20" s="0">
        <f t="array" ref="F20">INDEX(LINEST(Returns_2018!L2:L251-FF3_Factors_2018!$G$2:$G$251,FF3_Factors_2018!$B$2:$D$251,TRUE,TRUE),3,1)</f>
        <v/>
      </c>
      <c r="G20" s="0">
        <f>$B$7+C20*$B$4+D20*$B$5+E20*$B$6</f>
        <v/>
      </c>
      <c r="H20" s="0">
        <f>AVERAGE(Returns_2018!L2:L251)</f>
        <v/>
      </c>
    </row>
    <row r="21">
      <c r="A21" s="0" t="inlineStr">
        <is>
          <t>PFE</t>
        </is>
      </c>
      <c r="B21" s="0">
        <f t="array" ref="B21">INDEX(LINEST(Returns_2018!M2:M251-FF3_Factors_2018!$G$2:$G$251,FF3_Factors_2018!$B$2:$D$251,TRUE,TRUE),1,4)</f>
        <v/>
      </c>
      <c r="C21" s="0">
        <f t="array" ref="C21">INDEX(LINEST(Returns_2018!M2:M251-FF3_Factors_2018!$G$2:$G$251,FF3_Factors_2018!$B$2:$D$251,TRUE,TRUE),1,3)</f>
        <v/>
      </c>
      <c r="D21" s="0">
        <f t="array" ref="D21">INDEX(LINEST(Returns_2018!M2:M251-FF3_Factors_2018!$G$2:$G$251,FF3_Factors_2018!$B$2:$D$251,TRUE,TRUE),1,2)</f>
        <v/>
      </c>
      <c r="E21" s="0">
        <f t="array" ref="E21">INDEX(LINEST(Returns_2018!M2:M251-FF3_Factors_2018!$G$2:$G$251,FF3_Factors_2018!$B$2:$D$251,TRUE,TRUE),1,1)</f>
        <v/>
      </c>
      <c r="F21" s="0">
        <f t="array" ref="F21">INDEX(LINEST(Returns_2018!M2:M251-FF3_Factors_2018!$G$2:$G$251,FF3_Factors_2018!$B$2:$D$251,TRUE,TRUE),3,1)</f>
        <v/>
      </c>
      <c r="G21" s="0">
        <f>$B$7+C21*$B$4+D21*$B$5+E21*$B$6</f>
        <v/>
      </c>
      <c r="H21" s="0">
        <f>AVERAGE(Returns_2018!M2:M251)</f>
        <v/>
      </c>
    </row>
    <row r="22">
      <c r="A22" s="0" t="inlineStr">
        <is>
          <t>CTL</t>
        </is>
      </c>
      <c r="B22" s="0">
        <f t="array" ref="B22">INDEX(LINEST(Returns_2018!N2:N251-FF3_Factors_2018!$G$2:$G$251,FF3_Factors_2018!$B$2:$D$251,TRUE,TRUE),1,4)</f>
        <v/>
      </c>
      <c r="C22" s="0">
        <f t="array" ref="C22">INDEX(LINEST(Returns_2018!N2:N251-FF3_Factors_2018!$G$2:$G$251,FF3_Factors_2018!$B$2:$D$251,TRUE,TRUE),1,3)</f>
        <v/>
      </c>
      <c r="D22" s="0">
        <f t="array" ref="D22">INDEX(LINEST(Returns_2018!N2:N251-FF3_Factors_2018!$G$2:$G$251,FF3_Factors_2018!$B$2:$D$251,TRUE,TRUE),1,2)</f>
        <v/>
      </c>
      <c r="E22" s="0">
        <f t="array" ref="E22">INDEX(LINEST(Returns_2018!N2:N251-FF3_Factors_2018!$G$2:$G$251,FF3_Factors_2018!$B$2:$D$251,TRUE,TRUE),1,1)</f>
        <v/>
      </c>
      <c r="F22" s="0">
        <f t="array" ref="F22">INDEX(LINEST(Returns_2018!N2:N251-FF3_Factors_2018!$G$2:$G$251,FF3_Factors_2018!$B$2:$D$251,TRUE,TRUE),3,1)</f>
        <v/>
      </c>
      <c r="G22" s="0">
        <f>$B$7+C22*$B$4+D22*$B$5+E22*$B$6</f>
        <v/>
      </c>
      <c r="H22" s="0">
        <f>AVERAGE(Returns_2018!N2:N251)</f>
        <v/>
      </c>
    </row>
    <row r="23">
      <c r="A23" s="0" t="inlineStr">
        <is>
          <t>T</t>
        </is>
      </c>
      <c r="B23" s="0">
        <f t="array" ref="B23">INDEX(LINEST(Returns_2018!O2:O251-FF3_Factors_2018!$G$2:$G$251,FF3_Factors_2018!$B$2:$D$251,TRUE,TRUE),1,4)</f>
        <v/>
      </c>
      <c r="C23" s="0">
        <f t="array" ref="C23">INDEX(LINEST(Returns_2018!O2:O251-FF3_Factors_2018!$G$2:$G$251,FF3_Factors_2018!$B$2:$D$251,TRUE,TRUE),1,3)</f>
        <v/>
      </c>
      <c r="D23" s="0">
        <f t="array" ref="D23">INDEX(LINEST(Returns_2018!O2:O251-FF3_Factors_2018!$G$2:$G$251,FF3_Factors_2018!$B$2:$D$251,TRUE,TRUE),1,2)</f>
        <v/>
      </c>
      <c r="E23" s="0">
        <f t="array" ref="E23">INDEX(LINEST(Returns_2018!O2:O251-FF3_Factors_2018!$G$2:$G$251,FF3_Factors_2018!$B$2:$D$251,TRUE,TRUE),1,1)</f>
        <v/>
      </c>
      <c r="F23" s="0">
        <f t="array" ref="F23">INDEX(LINEST(Returns_2018!O2:O251-FF3_Factors_2018!$G$2:$G$251,FF3_Factors_2018!$B$2:$D$251,TRUE,TRUE),3,1)</f>
        <v/>
      </c>
      <c r="G23" s="0">
        <f>$B$7+C23*$B$4+D23*$B$5+E23*$B$6</f>
        <v/>
      </c>
      <c r="H23" s="0">
        <f>AVERAGE(Returns_2018!O2:O251)</f>
        <v/>
      </c>
    </row>
    <row r="24">
      <c r="A24" s="0" t="inlineStr">
        <is>
          <t>ECA</t>
        </is>
      </c>
      <c r="B24" s="0">
        <f t="array" ref="B24">INDEX(LINEST(Returns_2018!P2:P251-FF3_Factors_2018!$G$2:$G$251,FF3_Factors_2018!$B$2:$D$251,TRUE,TRUE),1,4)</f>
        <v/>
      </c>
      <c r="C24" s="0">
        <f t="array" ref="C24">INDEX(LINEST(Returns_2018!P2:P251-FF3_Factors_2018!$G$2:$G$251,FF3_Factors_2018!$B$2:$D$251,TRUE,TRUE),1,3)</f>
        <v/>
      </c>
      <c r="D24" s="0">
        <f t="array" ref="D24">INDEX(LINEST(Returns_2018!P2:P251-FF3_Factors_2018!$G$2:$G$251,FF3_Factors_2018!$B$2:$D$251,TRUE,TRUE),1,2)</f>
        <v/>
      </c>
      <c r="E24" s="0">
        <f t="array" ref="E24">INDEX(LINEST(Returns_2018!P2:P251-FF3_Factors_2018!$G$2:$G$251,FF3_Factors_2018!$B$2:$D$251,TRUE,TRUE),1,1)</f>
        <v/>
      </c>
      <c r="F24" s="0">
        <f t="array" ref="F24">INDEX(LINEST(Returns_2018!P2:P251-FF3_Factors_2018!$G$2:$G$251,FF3_Factors_2018!$B$2:$D$251,TRUE,TRUE),3,1)</f>
        <v/>
      </c>
      <c r="G24" s="0">
        <f>$B$7+C24*$B$4+D24*$B$5+E24*$B$6</f>
        <v/>
      </c>
      <c r="H24" s="0">
        <f>AVERAGE(Returns_2018!P2:P251)</f>
        <v/>
      </c>
    </row>
    <row r="25">
      <c r="A25" s="0" t="inlineStr">
        <is>
          <t>ABEV</t>
        </is>
      </c>
      <c r="B25" s="0">
        <f t="array" ref="B25">INDEX(LINEST(Returns_2018!Q2:Q251-FF3_Factors_2018!$G$2:$G$251,FF3_Factors_2018!$B$2:$D$251,TRUE,TRUE),1,4)</f>
        <v/>
      </c>
      <c r="C25" s="0">
        <f t="array" ref="C25">INDEX(LINEST(Returns_2018!Q2:Q251-FF3_Factors_2018!$G$2:$G$251,FF3_Factors_2018!$B$2:$D$251,TRUE,TRUE),1,3)</f>
        <v/>
      </c>
      <c r="D25" s="0">
        <f t="array" ref="D25">INDEX(LINEST(Returns_2018!Q2:Q251-FF3_Factors_2018!$G$2:$G$251,FF3_Factors_2018!$B$2:$D$251,TRUE,TRUE),1,2)</f>
        <v/>
      </c>
      <c r="E25" s="0">
        <f t="array" ref="E25">INDEX(LINEST(Returns_2018!Q2:Q251-FF3_Factors_2018!$G$2:$G$251,FF3_Factors_2018!$B$2:$D$251,TRUE,TRUE),1,1)</f>
        <v/>
      </c>
      <c r="F25" s="0">
        <f t="array" ref="F25">INDEX(LINEST(Returns_2018!Q2:Q251-FF3_Factors_2018!$G$2:$G$251,FF3_Factors_2018!$B$2:$D$251,TRUE,TRUE),3,1)</f>
        <v/>
      </c>
      <c r="G25" s="0">
        <f>$B$7+C25*$B$4+D25*$B$5+E25*$B$6</f>
        <v/>
      </c>
      <c r="H25" s="0">
        <f>AVERAGE(Returns_2018!Q2:Q251)</f>
        <v/>
      </c>
    </row>
    <row r="26">
      <c r="A26" s="0" t="inlineStr">
        <is>
          <t>CVS</t>
        </is>
      </c>
      <c r="B26" s="0">
        <f t="array" ref="B26">INDEX(LINEST(Returns_2018!R2:R251-FF3_Factors_2018!$G$2:$G$251,FF3_Factors_2018!$B$2:$D$251,TRUE,TRUE),1,4)</f>
        <v/>
      </c>
      <c r="C26" s="0">
        <f t="array" ref="C26">INDEX(LINEST(Returns_2018!R2:R251-FF3_Factors_2018!$G$2:$G$251,FF3_Factors_2018!$B$2:$D$251,TRUE,TRUE),1,3)</f>
        <v/>
      </c>
      <c r="D26" s="0">
        <f t="array" ref="D26">INDEX(LINEST(Returns_2018!R2:R251-FF3_Factors_2018!$G$2:$G$251,FF3_Factors_2018!$B$2:$D$251,TRUE,TRUE),1,2)</f>
        <v/>
      </c>
      <c r="E26" s="0">
        <f t="array" ref="E26">INDEX(LINEST(Returns_2018!R2:R251-FF3_Factors_2018!$G$2:$G$251,FF3_Factors_2018!$B$2:$D$251,TRUE,TRUE),1,1)</f>
        <v/>
      </c>
      <c r="F26" s="0">
        <f t="array" ref="F26">INDEX(LINEST(Returns_2018!R2:R251-FF3_Factors_2018!$G$2:$G$251,FF3_Factors_2018!$B$2:$D$251,TRUE,TRUE),3,1)</f>
        <v/>
      </c>
      <c r="G26" s="0">
        <f>$B$7+C26*$B$4+D26*$B$5+E26*$B$6</f>
        <v/>
      </c>
      <c r="H26" s="0">
        <f>AVERAGE(Returns_2018!R2:R251)</f>
        <v/>
      </c>
    </row>
    <row r="27">
      <c r="A27" s="0" t="inlineStr">
        <is>
          <t>MRVL</t>
        </is>
      </c>
      <c r="B27" s="0">
        <f t="array" ref="B27">INDEX(LINEST(Returns_2018!S2:S251-FF3_Factors_2018!$G$2:$G$251,FF3_Factors_2018!$B$2:$D$251,TRUE,TRUE),1,4)</f>
        <v/>
      </c>
      <c r="C27" s="0">
        <f t="array" ref="C27">INDEX(LINEST(Returns_2018!S2:S251-FF3_Factors_2018!$G$2:$G$251,FF3_Factors_2018!$B$2:$D$251,TRUE,TRUE),1,3)</f>
        <v/>
      </c>
      <c r="D27" s="0">
        <f t="array" ref="D27">INDEX(LINEST(Returns_2018!S2:S251-FF3_Factors_2018!$G$2:$G$251,FF3_Factors_2018!$B$2:$D$251,TRUE,TRUE),1,2)</f>
        <v/>
      </c>
      <c r="E27" s="0">
        <f t="array" ref="E27">INDEX(LINEST(Returns_2018!S2:S251-FF3_Factors_2018!$G$2:$G$251,FF3_Factors_2018!$B$2:$D$251,TRUE,TRUE),1,1)</f>
        <v/>
      </c>
      <c r="F27" s="0">
        <f t="array" ref="F27">INDEX(LINEST(Returns_2018!S2:S251-FF3_Factors_2018!$G$2:$G$251,FF3_Factors_2018!$B$2:$D$251,TRUE,TRUE),3,1)</f>
        <v/>
      </c>
      <c r="G27" s="0">
        <f>$B$7+C27*$B$4+D27*$B$5+E27*$B$6</f>
        <v/>
      </c>
      <c r="H27" s="0">
        <f>AVERAGE(Returns_2018!S2:S251)</f>
        <v/>
      </c>
    </row>
    <row r="28">
      <c r="A28" s="0" t="inlineStr">
        <is>
          <t>CSCO</t>
        </is>
      </c>
      <c r="B28" s="0">
        <f t="array" ref="B28">INDEX(LINEST(Returns_2018!T2:T251-FF3_Factors_2018!$G$2:$G$251,FF3_Factors_2018!$B$2:$D$251,TRUE,TRUE),1,4)</f>
        <v/>
      </c>
      <c r="C28" s="0">
        <f t="array" ref="C28">INDEX(LINEST(Returns_2018!T2:T251-FF3_Factors_2018!$G$2:$G$251,FF3_Factors_2018!$B$2:$D$251,TRUE,TRUE),1,3)</f>
        <v/>
      </c>
      <c r="D28" s="0">
        <f t="array" ref="D28">INDEX(LINEST(Returns_2018!T2:T251-FF3_Factors_2018!$G$2:$G$251,FF3_Factors_2018!$B$2:$D$251,TRUE,TRUE),1,2)</f>
        <v/>
      </c>
      <c r="E28" s="0">
        <f t="array" ref="E28">INDEX(LINEST(Returns_2018!T2:T251-FF3_Factors_2018!$G$2:$G$251,FF3_Factors_2018!$B$2:$D$251,TRUE,TRUE),1,1)</f>
        <v/>
      </c>
      <c r="F28" s="0">
        <f t="array" ref="F28">INDEX(LINEST(Returns_2018!T2:T251-FF3_Factors_2018!$G$2:$G$251,FF3_Factors_2018!$B$2:$D$251,TRUE,TRUE),3,1)</f>
        <v/>
      </c>
      <c r="G28" s="0">
        <f>$B$7+C28*$B$4+D28*$B$5+E28*$B$6</f>
        <v/>
      </c>
      <c r="H28" s="0">
        <f>AVERAGE(Returns_2018!T2:T251)</f>
        <v/>
      </c>
    </row>
    <row r="29">
      <c r="A29" s="0" t="inlineStr">
        <is>
          <t>MO</t>
        </is>
      </c>
      <c r="B29" s="0">
        <f t="array" ref="B29">INDEX(LINEST(Returns_2018!U2:U251-FF3_Factors_2018!$G$2:$G$251,FF3_Factors_2018!$B$2:$D$251,TRUE,TRUE),1,4)</f>
        <v/>
      </c>
      <c r="C29" s="0">
        <f t="array" ref="C29">INDEX(LINEST(Returns_2018!U2:U251-FF3_Factors_2018!$G$2:$G$251,FF3_Factors_2018!$B$2:$D$251,TRUE,TRUE),1,3)</f>
        <v/>
      </c>
      <c r="D29" s="0">
        <f t="array" ref="D29">INDEX(LINEST(Returns_2018!U2:U251-FF3_Factors_2018!$G$2:$G$251,FF3_Factors_2018!$B$2:$D$251,TRUE,TRUE),1,2)</f>
        <v/>
      </c>
      <c r="E29" s="0">
        <f t="array" ref="E29">INDEX(LINEST(Returns_2018!U2:U251-FF3_Factors_2018!$G$2:$G$251,FF3_Factors_2018!$B$2:$D$251,TRUE,TRUE),1,1)</f>
        <v/>
      </c>
      <c r="F29" s="0">
        <f t="array" ref="F29">INDEX(LINEST(Returns_2018!U2:U251-FF3_Factors_2018!$G$2:$G$251,FF3_Factors_2018!$B$2:$D$251,TRUE,TRUE),3,1)</f>
        <v/>
      </c>
      <c r="G29" s="0">
        <f>$B$7+C29*$B$4+D29*$B$5+E29*$B$6</f>
        <v/>
      </c>
      <c r="H29" s="0">
        <f>AVERAGE(Returns_2018!U2:U251)</f>
        <v/>
      </c>
    </row>
    <row r="30">
      <c r="A30" s="0" t="inlineStr">
        <is>
          <t>BMY</t>
        </is>
      </c>
      <c r="B30" s="0">
        <f t="array" ref="B30">INDEX(LINEST(Returns_2018!V2:V251-FF3_Factors_2018!$G$2:$G$251,FF3_Factors_2018!$B$2:$D$251,TRUE,TRUE),1,4)</f>
        <v/>
      </c>
      <c r="C30" s="0">
        <f t="array" ref="C30">INDEX(LINEST(Returns_2018!V2:V251-FF3_Factors_2018!$G$2:$G$251,FF3_Factors_2018!$B$2:$D$251,TRUE,TRUE),1,3)</f>
        <v/>
      </c>
      <c r="D30" s="0">
        <f t="array" ref="D30">INDEX(LINEST(Returns_2018!V2:V251-FF3_Factors_2018!$G$2:$G$251,FF3_Factors_2018!$B$2:$D$251,TRUE,TRUE),1,2)</f>
        <v/>
      </c>
      <c r="E30" s="0">
        <f t="array" ref="E30">INDEX(LINEST(Returns_2018!V2:V251-FF3_Factors_2018!$G$2:$G$251,FF3_Factors_2018!$B$2:$D$251,TRUE,TRUE),1,1)</f>
        <v/>
      </c>
      <c r="F30" s="0">
        <f t="array" ref="F30">INDEX(LINEST(Returns_2018!V2:V251-FF3_Factors_2018!$G$2:$G$251,FF3_Factors_2018!$B$2:$D$251,TRUE,TRUE),3,1)</f>
        <v/>
      </c>
      <c r="G30" s="0">
        <f>$B$7+C30*$B$4+D30*$B$5+E30*$B$6</f>
        <v/>
      </c>
      <c r="H30" s="0">
        <f>AVERAGE(Returns_2018!V2:V251)</f>
        <v/>
      </c>
    </row>
    <row r="31">
      <c r="A31" s="0" t="inlineStr">
        <is>
          <t>WFC</t>
        </is>
      </c>
      <c r="B31" s="0">
        <f t="array" ref="B31">INDEX(LINEST(Returns_2018!W2:W251-FF3_Factors_2018!$G$2:$G$251,FF3_Factors_2018!$B$2:$D$251,TRUE,TRUE),1,4)</f>
        <v/>
      </c>
      <c r="C31" s="0">
        <f t="array" ref="C31">INDEX(LINEST(Returns_2018!W2:W251-FF3_Factors_2018!$G$2:$G$251,FF3_Factors_2018!$B$2:$D$251,TRUE,TRUE),1,3)</f>
        <v/>
      </c>
      <c r="D31" s="0">
        <f t="array" ref="D31">INDEX(LINEST(Returns_2018!W2:W251-FF3_Factors_2018!$G$2:$G$251,FF3_Factors_2018!$B$2:$D$251,TRUE,TRUE),1,2)</f>
        <v/>
      </c>
      <c r="E31" s="0">
        <f t="array" ref="E31">INDEX(LINEST(Returns_2018!W2:W251-FF3_Factors_2018!$G$2:$G$251,FF3_Factors_2018!$B$2:$D$251,TRUE,TRUE),1,1)</f>
        <v/>
      </c>
      <c r="F31" s="0">
        <f t="array" ref="F31">INDEX(LINEST(Returns_2018!W2:W251-FF3_Factors_2018!$G$2:$G$251,FF3_Factors_2018!$B$2:$D$251,TRUE,TRUE),3,1)</f>
        <v/>
      </c>
      <c r="G31" s="0">
        <f>$B$7+C31*$B$4+D31*$B$5+E31*$B$6</f>
        <v/>
      </c>
      <c r="H31" s="0">
        <f>AVERAGE(Returns_2018!W2:W251)</f>
        <v/>
      </c>
    </row>
    <row r="32">
      <c r="A32" s="0" t="inlineStr">
        <is>
          <t>HBAN</t>
        </is>
      </c>
      <c r="B32" s="0">
        <f t="array" ref="B32">INDEX(LINEST(Returns_2018!X2:X251-FF3_Factors_2018!$G$2:$G$251,FF3_Factors_2018!$B$2:$D$251,TRUE,TRUE),1,4)</f>
        <v/>
      </c>
      <c r="C32" s="0">
        <f t="array" ref="C32">INDEX(LINEST(Returns_2018!X2:X251-FF3_Factors_2018!$G$2:$G$251,FF3_Factors_2018!$B$2:$D$251,TRUE,TRUE),1,3)</f>
        <v/>
      </c>
      <c r="D32" s="0">
        <f t="array" ref="D32">INDEX(LINEST(Returns_2018!X2:X251-FF3_Factors_2018!$G$2:$G$251,FF3_Factors_2018!$B$2:$D$251,TRUE,TRUE),1,2)</f>
        <v/>
      </c>
      <c r="E32" s="0">
        <f t="array" ref="E32">INDEX(LINEST(Returns_2018!X2:X251-FF3_Factors_2018!$G$2:$G$251,FF3_Factors_2018!$B$2:$D$251,TRUE,TRUE),1,1)</f>
        <v/>
      </c>
      <c r="F32" s="0">
        <f t="array" ref="F32">INDEX(LINEST(Returns_2018!X2:X251-FF3_Factors_2018!$G$2:$G$251,FF3_Factors_2018!$B$2:$D$251,TRUE,TRUE),3,1)</f>
        <v/>
      </c>
      <c r="G32" s="0">
        <f>$B$7+C32*$B$4+D32*$B$5+E32*$B$6</f>
        <v/>
      </c>
      <c r="H32" s="0">
        <f>AVERAGE(Returns_2018!X2:X251)</f>
        <v/>
      </c>
    </row>
    <row r="34">
      <c r="A34" s="0" t="inlineStr">
        <is>
          <t>Cross-sectional std dev, raw means</t>
        </is>
      </c>
      <c r="B34" s="0">
        <f>_xlfn.STDEV.S(H10:H32)</f>
        <v/>
      </c>
    </row>
    <row r="35">
      <c r="A35" s="0" t="inlineStr">
        <is>
          <t>Cross-sectional std dev, FF3-implied means</t>
        </is>
      </c>
      <c r="B35" s="0">
        <f>_xlfn.STDEV.S(G10:G32)</f>
        <v/>
      </c>
    </row>
    <row r="36">
      <c r="A36" s="0" t="inlineStr">
        <is>
          <t>Average R2 across stocks</t>
        </is>
      </c>
      <c r="B36" s="0">
        <f>AVERAGE(F10:F32)</f>
        <v/>
      </c>
    </row>
    <row r="38">
      <c r="A38" s="15" t="inlineStr">
        <is>
          <t>Recomputed tangency portfolio using FF3-implied means (same covariance, same rf)</t>
        </is>
      </c>
    </row>
    <row r="39">
      <c r="A39" s="0" t="inlineStr">
        <is>
          <t>FF3_implied_tangency_weights</t>
        </is>
      </c>
      <c r="B39" s="0" t="n">
        <v>-0.1610730167360763</v>
      </c>
      <c r="C39" s="0" t="n">
        <v>-0.004552187459369569</v>
      </c>
      <c r="D39" s="0" t="n">
        <v>0.1701336941643638</v>
      </c>
      <c r="E39" s="0" t="n">
        <v>0.2051654176480558</v>
      </c>
      <c r="F39" s="0" t="n">
        <v>0.144089654419138</v>
      </c>
      <c r="G39" s="0" t="n">
        <v>-0.4040075166127517</v>
      </c>
      <c r="H39" s="0" t="n">
        <v>-0.1774559904364569</v>
      </c>
      <c r="I39" s="0" t="n">
        <v>0.5141167995735971</v>
      </c>
      <c r="J39" s="0" t="n">
        <v>-0.2600882644569194</v>
      </c>
      <c r="K39" s="0" t="n">
        <v>-0.05080136432791624</v>
      </c>
      <c r="L39" s="0" t="n">
        <v>-0.504274863644442</v>
      </c>
      <c r="M39" s="0" t="n">
        <v>0.9268247135720922</v>
      </c>
      <c r="N39" s="0" t="n">
        <v>0.1664307555699037</v>
      </c>
      <c r="O39" s="0" t="n">
        <v>-0.08206541483790605</v>
      </c>
      <c r="P39" s="0" t="n">
        <v>0.0484288073292987</v>
      </c>
      <c r="Q39" s="0" t="n">
        <v>0.333897398029634</v>
      </c>
      <c r="R39" s="0" t="n">
        <v>-0.2320791853242851</v>
      </c>
      <c r="S39" s="0" t="n">
        <v>-0.08705490236604517</v>
      </c>
      <c r="T39" s="0" t="n">
        <v>-0.1759041176209038</v>
      </c>
      <c r="U39" s="0" t="n">
        <v>0.338912417036199</v>
      </c>
      <c r="V39" s="0" t="n">
        <v>0.02658161913972805</v>
      </c>
      <c r="W39" s="0" t="n">
        <v>-0.5044642732253487</v>
      </c>
      <c r="X39" s="0" t="n">
        <v>0.7692398205664105</v>
      </c>
    </row>
    <row r="41">
      <c r="A41" s="0" t="inlineStr">
        <is>
          <t>Max |weight|, FF3-implied tangency</t>
        </is>
      </c>
      <c r="B41" s="0">
        <f t="array" ref="B41">MAX(ABS(B39:X39))</f>
        <v/>
      </c>
    </row>
    <row r="42">
      <c r="A42" s="0" t="inlineStr">
        <is>
          <t>Max |weight|, raw-mean tangency (Analysis_2018!B109:X109)</t>
        </is>
      </c>
      <c r="B42" s="0">
        <f t="array" ref="B42">MAX(ABS(Analysis_2018!B109:X109))</f>
        <v/>
      </c>
    </row>
    <row r="43">
      <c r="A43" s="0" t="inlineStr">
        <is>
          <t>Weight-extremity reduction factor</t>
        </is>
      </c>
      <c r="B43" s="0">
        <f>B42/B41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Yusong Wang</dc:creator>
  <dcterms:created xmlns:dcterms="http://purl.org/dc/terms/" xmlns:xsi="http://www.w3.org/2001/XMLSchema-instance" xsi:type="dcterms:W3CDTF">2019-07-30T21:26:39Z</dcterms:created>
  <dcterms:modified xmlns:dcterms="http://purl.org/dc/terms/" xmlns:xsi="http://www.w3.org/2001/XMLSchema-instance" xsi:type="dcterms:W3CDTF">2026-07-27T10:40:55Z</dcterms:modified>
  <cp:lastModifiedBy>Yusong Wang</cp:lastModifiedBy>
</cp:coreProperties>
</file>