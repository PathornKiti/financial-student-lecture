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5600" windowHeight="14620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rf">data!$B$13</definedName>
    <definedName name="tau">#REF!</definedName>
    <definedName name="solver_adj" localSheetId="0" hidden="1">data!$B$18:$D$18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data!$B$22</definedName>
    <definedName name="solver_lhs2" localSheetId="0" hidden="1">data!$E$18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data!$B$20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2" localSheetId="0" hidden="1">2</definedName>
    <definedName name="solver_rhs1" localSheetId="0" hidden="1">data!$D$22</definedName>
    <definedName name="solver_rhs2" localSheetId="0" hidden="1">data!$G$18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40001" fullCalcOnLoad="1" calcOnSave="0" concurrentCalc="0"/>
</workbook>
</file>

<file path=xl/styles.xml><?xml version="1.0" encoding="utf-8"?>
<styleSheet xmlns="http://schemas.openxmlformats.org/spreadsheetml/2006/main">
  <numFmts count="1">
    <numFmt numFmtId="164" formatCode="0.00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indexed="8"/>
      <sz val="12"/>
    </font>
    <font>
      <name val="Calibri"/>
      <family val="2"/>
      <color indexed="8"/>
      <sz val="11"/>
    </font>
    <font>
      <name val="Verdana"/>
      <sz val="8"/>
    </font>
    <font>
      <b val="1"/>
    </font>
    <font>
      <i val="1"/>
    </font>
  </fonts>
  <fills count="7">
    <fill>
      <patternFill/>
    </fill>
    <fill>
      <patternFill patternType="gray125"/>
    </fill>
    <fill>
      <patternFill patternType="solid">
        <fgColor theme="8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6">
    <xf numFmtId="0" fontId="0" fillId="0" borderId="0" pivotButton="0" quotePrefix="0" xfId="0"/>
    <xf numFmtId="0" fontId="1" fillId="0" borderId="0" pivotButton="0" quotePrefix="0" xfId="1"/>
    <xf numFmtId="0" fontId="0" fillId="0" borderId="0" pivotButton="0" quotePrefix="0" xfId="0"/>
    <xf numFmtId="2" fontId="3" fillId="0" borderId="1" applyAlignment="1" pivotButton="0" quotePrefix="0" xfId="2">
      <alignment horizontal="center"/>
    </xf>
    <xf numFmtId="2" fontId="0" fillId="3" borderId="1" pivotButton="0" quotePrefix="0" xfId="0"/>
    <xf numFmtId="2" fontId="0" fillId="4" borderId="1" pivotButton="0" quotePrefix="0" xfId="0"/>
    <xf numFmtId="0" fontId="0" fillId="0" borderId="0" applyAlignment="1" pivotButton="0" quotePrefix="0" xfId="0">
      <alignment horizontal="center"/>
    </xf>
    <xf numFmtId="2" fontId="0" fillId="6" borderId="1" pivotButton="0" quotePrefix="0" xfId="0"/>
    <xf numFmtId="2" fontId="0" fillId="5" borderId="1" pivotButton="0" quotePrefix="0" xfId="0"/>
    <xf numFmtId="2" fontId="0" fillId="0" borderId="0" pivotButton="0" quotePrefix="0" xfId="0"/>
    <xf numFmtId="0" fontId="0" fillId="0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164" fontId="3" fillId="0" borderId="1" applyAlignment="1" pivotButton="0" quotePrefix="0" xfId="2">
      <alignment horizontal="center"/>
    </xf>
    <xf numFmtId="0" fontId="1" fillId="0" borderId="0" applyAlignment="1" pivotButton="0" quotePrefix="0" xfId="1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3">
    <cellStyle name="Normal" xfId="0" builtinId="0"/>
    <cellStyle name="Heading 4" xfId="1" builtinId="19"/>
    <cellStyle name="Normal_BL" xfId="2"/>
  </cellStyles>
  <tableStyles count="0" defaultTableStyle="TableStyleMedium2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 enableFormatConditionsCalculation="0">
    <outlinePr summaryBelow="1" summaryRight="1"/>
    <pageSetUpPr/>
  </sheetPr>
  <dimension ref="A1:G48"/>
  <sheetViews>
    <sheetView tabSelected="1" workbookViewId="0">
      <selection activeCell="K13" sqref="K13"/>
    </sheetView>
  </sheetViews>
  <sheetFormatPr baseColWidth="10" defaultColWidth="8.83203125" defaultRowHeight="14"/>
  <cols>
    <col width="19.83203125" customWidth="1" style="2" min="1" max="1"/>
    <col width="11.5" customWidth="1" style="2" min="2" max="2"/>
    <col width="12.33203125" customWidth="1" style="2" min="3" max="3"/>
    <col width="16" customWidth="1" style="2" min="4" max="4"/>
    <col width="12.1640625" customWidth="1" style="2" min="5" max="5"/>
    <col width="7.83203125" customWidth="1" style="2" min="6" max="6"/>
    <col width="10" customWidth="1" style="2" min="7" max="7"/>
    <col width="16.33203125" customWidth="1" style="2" min="8" max="8"/>
    <col width="18" customWidth="1" style="2" min="9" max="9"/>
  </cols>
  <sheetData>
    <row r="1">
      <c r="B1" s="13" t="inlineStr">
        <is>
          <t>Asset 1</t>
        </is>
      </c>
      <c r="C1" s="13" t="inlineStr">
        <is>
          <t>Asset 2</t>
        </is>
      </c>
      <c r="D1" s="13" t="inlineStr">
        <is>
          <t>Asset 3</t>
        </is>
      </c>
    </row>
    <row r="2">
      <c r="A2" t="inlineStr">
        <is>
          <t>Mean return</t>
        </is>
      </c>
      <c r="B2" s="3" t="n">
        <v>6</v>
      </c>
      <c r="C2" s="3" t="n">
        <v>2</v>
      </c>
      <c r="D2" s="3" t="n">
        <v>4</v>
      </c>
    </row>
    <row r="4">
      <c r="A4" t="inlineStr">
        <is>
          <t>Covariance matrix</t>
        </is>
      </c>
    </row>
    <row r="5">
      <c r="B5" s="13" t="inlineStr">
        <is>
          <t>Asset 1</t>
        </is>
      </c>
      <c r="C5" s="13" t="inlineStr">
        <is>
          <t>Asset 2</t>
        </is>
      </c>
      <c r="D5" s="13" t="inlineStr">
        <is>
          <t>Asset 3</t>
        </is>
      </c>
    </row>
    <row r="6">
      <c r="A6" s="1" t="inlineStr">
        <is>
          <t>Asset 1</t>
        </is>
      </c>
      <c r="B6" s="12" t="n">
        <v>0.008</v>
      </c>
      <c r="C6" s="12" t="n">
        <v>-0.002</v>
      </c>
      <c r="D6" s="12" t="n">
        <v>0.004</v>
      </c>
    </row>
    <row r="7">
      <c r="A7" s="1" t="inlineStr">
        <is>
          <t>Asset 2</t>
        </is>
      </c>
      <c r="B7" s="12" t="n">
        <v>-0.002</v>
      </c>
      <c r="C7" s="12" t="n">
        <v>0.002</v>
      </c>
      <c r="D7" s="12" t="n">
        <v>-0.002</v>
      </c>
    </row>
    <row r="8">
      <c r="A8" s="1" t="inlineStr">
        <is>
          <t>Asset 3</t>
        </is>
      </c>
      <c r="B8" s="12" t="n">
        <v>0.004</v>
      </c>
      <c r="C8" s="12" t="n">
        <v>-0.002</v>
      </c>
      <c r="D8" s="12" t="n">
        <v>0.008</v>
      </c>
    </row>
    <row r="10">
      <c r="B10" s="13" t="inlineStr">
        <is>
          <t>Asset 1</t>
        </is>
      </c>
      <c r="C10" s="13" t="inlineStr">
        <is>
          <t>Asset 2</t>
        </is>
      </c>
      <c r="D10" s="13" t="inlineStr">
        <is>
          <t>Asset 3</t>
        </is>
      </c>
    </row>
    <row r="11">
      <c r="A11" t="inlineStr">
        <is>
          <t>Volatility</t>
        </is>
      </c>
      <c r="B11" s="3">
        <f>100*SQRT(B6)</f>
        <v/>
      </c>
      <c r="C11" s="3">
        <f>100*SQRT(C7)</f>
        <v/>
      </c>
      <c r="D11" s="3">
        <f>100*SQRT(D8)</f>
        <v/>
      </c>
    </row>
    <row r="13">
      <c r="A13" t="inlineStr">
        <is>
          <t>Interest rate</t>
        </is>
      </c>
      <c r="B13" t="n">
        <v>1</v>
      </c>
    </row>
    <row r="15">
      <c r="A15" t="inlineStr">
        <is>
          <t>Excess return</t>
        </is>
      </c>
      <c r="B15" s="3">
        <f>B2-rf</f>
        <v/>
      </c>
      <c r="C15" s="3">
        <f>C2-rf</f>
        <v/>
      </c>
      <c r="D15" s="3">
        <f>D2-rf</f>
        <v/>
      </c>
    </row>
    <row r="16">
      <c r="A16" s="15" t="inlineStr">
        <is>
          <t>Q3: Solver solution — minimize B22 s.t. E18=G18 (weights written into B18:D18)</t>
        </is>
      </c>
    </row>
    <row r="17">
      <c r="A17" t="inlineStr">
        <is>
          <t>Porfolio</t>
        </is>
      </c>
      <c r="B17" s="10" t="inlineStr">
        <is>
          <t>x1</t>
        </is>
      </c>
      <c r="C17" s="10" t="inlineStr">
        <is>
          <t>x2</t>
        </is>
      </c>
      <c r="D17" s="10" t="inlineStr">
        <is>
          <t>x3</t>
        </is>
      </c>
    </row>
    <row r="18">
      <c r="B18" s="11">
        <f>1/6</f>
        <v/>
      </c>
      <c r="C18" s="11">
        <f>2/3</f>
        <v/>
      </c>
      <c r="D18" s="11">
        <f>1/6</f>
        <v/>
      </c>
      <c r="E18" s="4">
        <f>SUM(B18:D18)</f>
        <v/>
      </c>
      <c r="F18" s="6" t="inlineStr">
        <is>
          <t>=</t>
        </is>
      </c>
      <c r="G18" s="5" t="n">
        <v>1</v>
      </c>
    </row>
    <row r="20">
      <c r="A20" t="inlineStr">
        <is>
          <t>Rate of return (%)</t>
        </is>
      </c>
      <c r="B20" s="7">
        <f>SUMPRODUCT(B18:D18,B2:D2)</f>
        <v/>
      </c>
      <c r="F20" t="inlineStr">
        <is>
          <t>&lt;- Q3 answer: mean return of min-variance portfolio</t>
        </is>
      </c>
    </row>
    <row r="22">
      <c r="A22" t="inlineStr">
        <is>
          <t>Volatility (%)</t>
        </is>
      </c>
      <c r="B22" s="8">
        <f t="array" ref="B22">100*SQRT(MMULT(B18:D18,MMULT(B6:D8,TRANSPOSE(B18:D18))))</f>
        <v/>
      </c>
      <c r="C22" s="6" t="inlineStr">
        <is>
          <t>&lt;=</t>
        </is>
      </c>
      <c r="D22" s="5" t="n">
        <v>85.94028609217901</v>
      </c>
      <c r="F22" t="inlineStr">
        <is>
          <t>&lt;- volatility of min-variance portfolio (Solver objective value)</t>
        </is>
      </c>
    </row>
    <row r="24">
      <c r="A24" s="14" t="inlineStr">
        <is>
          <t>Q1 &amp; Q2: Portfolio x = (1/3, 1/3, 1/3) of risky assets</t>
        </is>
      </c>
    </row>
    <row r="25">
      <c r="B25" t="inlineStr">
        <is>
          <t>x1</t>
        </is>
      </c>
      <c r="C25" t="inlineStr">
        <is>
          <t>x2</t>
        </is>
      </c>
      <c r="D25" t="inlineStr">
        <is>
          <t>x3</t>
        </is>
      </c>
    </row>
    <row r="26">
      <c r="B26">
        <f>1/3</f>
        <v/>
      </c>
      <c r="C26">
        <f>1/3</f>
        <v/>
      </c>
      <c r="D26">
        <f>1/3</f>
        <v/>
      </c>
    </row>
    <row r="27">
      <c r="B27" s="9" t="n"/>
      <c r="C27" s="9" t="n"/>
      <c r="D27" s="9" t="n"/>
    </row>
    <row r="28">
      <c r="A28" t="inlineStr">
        <is>
          <t>Mean return (%)</t>
        </is>
      </c>
      <c r="B28">
        <f>SUMPRODUCT(B26:D26,B2:D2)</f>
        <v/>
      </c>
    </row>
    <row r="29">
      <c r="A29" t="inlineStr">
        <is>
          <t>Volatility (%)</t>
        </is>
      </c>
      <c r="B29">
        <f t="array" ref="B29">100*SQRT(MMULT(B26:D26,MMULT(B6:D8,TRANSPOSE(B26:D26))))</f>
        <v/>
      </c>
    </row>
    <row r="31">
      <c r="A31" s="14" t="inlineStr">
        <is>
          <t>Q4 &amp; Q5: Sharpe optimal (tangency) portfolio</t>
        </is>
      </c>
    </row>
    <row r="32">
      <c r="A32" s="15" t="inlineStr">
        <is>
          <t>Formula: raw = (excess return row) x Vinv ; weights = raw / sum(raw)</t>
        </is>
      </c>
    </row>
    <row r="33">
      <c r="B33" t="inlineStr">
        <is>
          <t>Asset 1</t>
        </is>
      </c>
      <c r="C33" t="inlineStr">
        <is>
          <t>Asset 2</t>
        </is>
      </c>
      <c r="D33" t="inlineStr">
        <is>
          <t>Asset 3</t>
        </is>
      </c>
    </row>
    <row r="34">
      <c r="A34" t="inlineStr">
        <is>
          <t>Raw (unnormalized)</t>
        </is>
      </c>
      <c r="B34">
        <f t="array" ref="B34:D34">MMULT(B15:D15,MINVERSE(B6:D8))</f>
        <v/>
      </c>
    </row>
    <row r="35">
      <c r="A35" t="inlineStr">
        <is>
          <t>Sum of raw</t>
        </is>
      </c>
      <c r="B35">
        <f>SUM(B34:D34)</f>
        <v/>
      </c>
    </row>
    <row r="36">
      <c r="A36" t="inlineStr">
        <is>
          <t>Weights (x1,x2,x3)</t>
        </is>
      </c>
      <c r="B36">
        <f>B34/$B$35</f>
        <v/>
      </c>
      <c r="C36">
        <f>C34/$B$35</f>
        <v/>
      </c>
      <c r="D36">
        <f>D34/$B$35</f>
        <v/>
      </c>
    </row>
    <row r="38">
      <c r="A38" t="inlineStr">
        <is>
          <t>Mean return (%)  [Q4 answer]</t>
        </is>
      </c>
      <c r="B38">
        <f>SUMPRODUCT(B36:D36,B2:D2)</f>
        <v/>
      </c>
    </row>
    <row r="39">
      <c r="A39" t="inlineStr">
        <is>
          <t>Volatility (%)  [Q5 answer]</t>
        </is>
      </c>
      <c r="B39">
        <f t="array" ref="B39">100*SQRT(MMULT(B36:D36,MMULT(B6:D8,TRANSPOSE(B36:D36))))</f>
        <v/>
      </c>
    </row>
    <row r="41">
      <c r="A41" s="14" t="inlineStr">
        <is>
          <t>Q6: Slope of the Capital Market Line</t>
        </is>
      </c>
    </row>
    <row r="42">
      <c r="A42" s="15" t="inlineStr">
        <is>
          <t>Formula: slope = (mean_tangency - rf) / vol_tangency</t>
        </is>
      </c>
    </row>
    <row r="43">
      <c r="A43" t="inlineStr">
        <is>
          <t>CML slope  [Q6 answer]</t>
        </is>
      </c>
      <c r="B43">
        <f>(B38-rf)/B39</f>
        <v/>
      </c>
    </row>
    <row r="45">
      <c r="A45" s="14" t="inlineStr">
        <is>
          <t>Q7: Return of an efficient portfolio with volatility = 5%</t>
        </is>
      </c>
    </row>
    <row r="46">
      <c r="A46" s="15" t="inlineStr">
        <is>
          <t>Formula: return = rf + slope * sigma  (point on the CML)</t>
        </is>
      </c>
    </row>
    <row r="47">
      <c r="A47" t="inlineStr">
        <is>
          <t>Target volatility (%)</t>
        </is>
      </c>
      <c r="B47" t="n">
        <v>5</v>
      </c>
    </row>
    <row r="48">
      <c r="A48" t="inlineStr">
        <is>
          <t>Return (%)  [Q7 answer]</t>
        </is>
      </c>
      <c r="B48">
        <f>rf+B43*B47</f>
        <v/>
      </c>
    </row>
  </sheetData>
  <pageMargins left="0.7" right="0.7" top="0.75" bottom="0.75" header="0.3" footer="0.3"/>
  <pageSetup orientation="portrait" horizontalDpi="4294967292" verticalDpi="429496729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Columbia University</dc:creator>
  <dcterms:created xmlns:dcterms="http://purl.org/dc/terms/" xmlns:xsi="http://www.w3.org/2001/XMLSchema-instance" xsi:type="dcterms:W3CDTF">2013-01-27T13:25:37Z</dcterms:created>
  <dcterms:modified xmlns:dcterms="http://purl.org/dc/terms/" xmlns:xsi="http://www.w3.org/2001/XMLSchema-instance" xsi:type="dcterms:W3CDTF">2026-07-27T08:30:36Z</dcterms:modified>
  <cp:lastModifiedBy>Bora Kim</cp:lastModifiedBy>
</cp:coreProperties>
</file>