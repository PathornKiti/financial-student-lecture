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30" windowWidth="20955" windowHeight="11760" tabRatio="600" firstSheet="0" activeTab="1" autoFilterDateGrouping="1"/>
  </bookViews>
  <sheets>
    <sheet name="Answers" sheetId="1" state="visible" r:id="rId1"/>
    <sheet name="DemoSheet" sheetId="2" state="visible" r:id="rId2"/>
    <sheet name="StockPricePaths" sheetId="3" state="visible" r:id="rId3"/>
    <sheet name="Path1_Hedge" sheetId="4" state="visible" r:id="rId4"/>
    <sheet name="Path2_Hedge" sheetId="5" state="visible" r:id="rId5"/>
    <sheet name="Path3_Hedge" sheetId="6" state="visible" r:id="rId6"/>
    <sheet name="Path4_Hedge" sheetId="7" state="visible" r:id="rId7"/>
    <sheet name="DemoCheck_Hedge" sheetId="8" state="visible" r:id="rId8"/>
  </sheets>
  <definedNames/>
  <calcPr calcId="125725" fullCalcOnLoad="1"/>
</workbook>
</file>

<file path=xl/styles.xml><?xml version="1.0" encoding="utf-8"?>
<styleSheet xmlns="http://schemas.openxmlformats.org/spreadsheetml/2006/main">
  <numFmts count="10">
    <numFmt numFmtId="164" formatCode="General_)"/>
    <numFmt numFmtId="165" formatCode="0.0%"/>
    <numFmt numFmtId="166" formatCode="0.0000"/>
    <numFmt numFmtId="167" formatCode="&quot;$&quot;#,##0;[Red]&quot;$&quot;#,##0"/>
    <numFmt numFmtId="168" formatCode="0.000"/>
    <numFmt numFmtId="169" formatCode="&quot;$&quot;#,##0_);[Red]\(&quot;$&quot;#,##0\)"/>
    <numFmt numFmtId="170" formatCode="+0.00%;-0.00%"/>
    <numFmt numFmtId="171" formatCode="#,##0.0000"/>
    <numFmt numFmtId="172" formatCode="#,##0.000000"/>
    <numFmt numFmtId="173" formatCode="0.000000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Times New Roman"/>
      <family val="1"/>
      <sz val="10"/>
    </font>
    <font>
      <name val="Arial"/>
      <family val="2"/>
      <sz val="10"/>
    </font>
    <font>
      <name val="Tahoma"/>
      <family val="2"/>
      <color indexed="81"/>
      <sz val="8"/>
    </font>
    <font>
      <name val="Calibri"/>
      <family val="2"/>
      <b val="1"/>
      <color theme="1"/>
      <sz val="9"/>
      <scheme val="minor"/>
    </font>
    <font>
      <name val="Arial"/>
      <family val="2"/>
      <b val="1"/>
      <color theme="1"/>
      <sz val="10"/>
    </font>
    <font>
      <b val="1"/>
      <color rgb="00FFFFFF"/>
    </font>
    <font>
      <b val="1"/>
    </font>
    <font/>
    <font>
      <b val="1"/>
      <color rgb="001B7A3E"/>
    </font>
    <font>
      <b val="1"/>
      <sz val="13"/>
    </font>
  </fonts>
  <fills count="9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002A78D6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1" fillId="0" borderId="0"/>
    <xf numFmtId="9" fontId="1" fillId="0" borderId="0"/>
    <xf numFmtId="164" fontId="3" fillId="0" borderId="0"/>
  </cellStyleXfs>
  <cellXfs count="67">
    <xf numFmtId="0" fontId="0" fillId="0" borderId="0" pivotButton="0" quotePrefix="0" xfId="0"/>
    <xf numFmtId="0" fontId="2" fillId="3" borderId="3" applyAlignment="1" pivotButton="0" quotePrefix="0" xfId="0">
      <alignment horizontal="left"/>
    </xf>
    <xf numFmtId="0" fontId="0" fillId="0" borderId="4" applyAlignment="1" pivotButton="0" quotePrefix="0" xfId="0">
      <alignment horizontal="center"/>
    </xf>
    <xf numFmtId="164" fontId="2" fillId="3" borderId="5" applyAlignment="1" pivotButton="0" quotePrefix="0" xfId="2">
      <alignment horizontal="left"/>
    </xf>
    <xf numFmtId="2" fontId="4" fillId="0" borderId="6" applyAlignment="1" pivotButton="0" quotePrefix="0" xfId="1">
      <alignment horizontal="center"/>
    </xf>
    <xf numFmtId="165" fontId="4" fillId="0" borderId="6" applyAlignment="1" pivotButton="0" quotePrefix="0" xfId="1">
      <alignment horizontal="center"/>
    </xf>
    <xf numFmtId="10" fontId="4" fillId="0" borderId="6" applyAlignment="1" pivotButton="0" quotePrefix="0" xfId="1">
      <alignment horizontal="center"/>
    </xf>
    <xf numFmtId="0" fontId="2" fillId="3" borderId="7" applyAlignment="1" pivotButton="0" quotePrefix="0" xfId="0">
      <alignment horizontal="left"/>
    </xf>
    <xf numFmtId="0" fontId="0" fillId="0" borderId="5" applyAlignment="1" pivotButton="0" quotePrefix="0" xfId="0">
      <alignment horizontal="center"/>
    </xf>
    <xf numFmtId="164" fontId="2" fillId="4" borderId="8" applyAlignment="1" pivotButton="0" quotePrefix="0" xfId="2">
      <alignment horizontal="left"/>
    </xf>
    <xf numFmtId="0" fontId="2" fillId="4" borderId="11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166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5" borderId="12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7" fontId="0" fillId="0" borderId="9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3" fontId="0" fillId="0" borderId="0" pivotButton="0" quotePrefix="0" xfId="0"/>
    <xf numFmtId="0" fontId="7" fillId="6" borderId="10" pivotButton="0" quotePrefix="0" xfId="0"/>
    <xf numFmtId="3" fontId="0" fillId="0" borderId="5" applyAlignment="1" pivotButton="0" quotePrefix="0" xfId="0">
      <alignment horizontal="center"/>
    </xf>
    <xf numFmtId="0" fontId="2" fillId="7" borderId="3" applyAlignment="1" pivotButton="0" quotePrefix="0" xfId="0">
      <alignment horizontal="left"/>
    </xf>
    <xf numFmtId="167" fontId="0" fillId="6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0" fontId="0" fillId="0" borderId="0" pivotButton="0" quotePrefix="0" xfId="0"/>
    <xf numFmtId="10" fontId="0" fillId="0" borderId="0" applyAlignment="1" pivotButton="0" quotePrefix="0" xfId="0">
      <alignment horizontal="center"/>
    </xf>
    <xf numFmtId="0" fontId="6" fillId="5" borderId="10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10" fontId="0" fillId="0" borderId="10" applyAlignment="1" pivotButton="0" quotePrefix="0" xfId="0">
      <alignment horizontal="center"/>
    </xf>
    <xf numFmtId="169" fontId="0" fillId="0" borderId="1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12" fillId="0" borderId="0" pivotButton="0" quotePrefix="0" xfId="0"/>
    <xf numFmtId="0" fontId="8" fillId="8" borderId="0" pivotButton="0" quotePrefix="0" xfId="0"/>
    <xf numFmtId="2" fontId="0" fillId="0" borderId="0" pivotButton="0" quotePrefix="0" xfId="0"/>
    <xf numFmtId="2" fontId="11" fillId="0" borderId="0" pivotButton="0" quotePrefix="0" xfId="0"/>
    <xf numFmtId="3" fontId="11" fillId="0" borderId="0" pivotButton="0" quotePrefix="0" xfId="0"/>
    <xf numFmtId="10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0" fontId="11" fillId="0" borderId="0" pivotButton="0" quotePrefix="0" xfId="0"/>
    <xf numFmtId="0" fontId="2" fillId="2" borderId="10" applyAlignment="1" pivotButton="0" quotePrefix="0" xfId="0">
      <alignment horizontal="center"/>
    </xf>
    <xf numFmtId="0" fontId="0" fillId="0" borderId="2" pivotButton="0" quotePrefix="0" xfId="0"/>
    <xf numFmtId="167" fontId="0" fillId="0" borderId="0" applyAlignment="1" pivotButton="0" quotePrefix="0" xfId="0">
      <alignment horizontal="center"/>
    </xf>
    <xf numFmtId="167" fontId="0" fillId="0" borderId="9" applyAlignment="1" pivotButton="0" quotePrefix="0" xfId="0">
      <alignment horizontal="center"/>
    </xf>
    <xf numFmtId="169" fontId="0" fillId="0" borderId="10" applyAlignment="1" pivotButton="0" quotePrefix="0" xfId="0">
      <alignment horizontal="center"/>
    </xf>
    <xf numFmtId="167" fontId="0" fillId="6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0" fontId="8" fillId="8" borderId="0" applyAlignment="1" pivotButton="0" quotePrefix="0" xfId="0">
      <alignment vertical="top" wrapText="1"/>
    </xf>
    <xf numFmtId="0" fontId="9" fillId="0" borderId="0" pivotButton="0" quotePrefix="0" xfId="0"/>
    <xf numFmtId="172" fontId="0" fillId="0" borderId="0" pivotButton="0" quotePrefix="0" xfId="0"/>
    <xf numFmtId="166" fontId="0" fillId="0" borderId="0" pivotButton="0" quotePrefix="0" xfId="0"/>
    <xf numFmtId="173" fontId="0" fillId="0" borderId="0" pivotButton="0" quotePrefix="0" xfId="0"/>
    <xf numFmtId="4" fontId="0" fillId="0" borderId="0" pivotButton="0" quotePrefix="0" xfId="0"/>
    <xf numFmtId="0" fontId="1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</cellXfs>
  <cellStyles count="3">
    <cellStyle name="Normal" xfId="0" builtinId="0"/>
    <cellStyle name="Percent" xfId="1" builtinId="5"/>
    <cellStyle name="Normal_Call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mhaugh</author>
  </authors>
  <commentList>
    <comment ref="A4" authorId="0" shapeId="0">
      <text>
        <t>Black-Scholes implied volatility.</t>
      </text>
    </comment>
    <comment ref="A5" authorId="0" shapeId="0">
      <text>
        <t>Continuously compounded risk-free interest rate.</t>
      </text>
    </comment>
    <comment ref="B8" authorId="0" shapeId="0">
      <text>
        <t xml:space="preserve">If you change this cell, you'll also need to make other changes to the spreadsheet.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46" customWidth="1" style="30" min="1" max="1"/>
    <col width="14" customWidth="1" style="30" min="2" max="2"/>
    <col width="52" customWidth="1" style="30" min="3" max="3"/>
    <col width="26" customWidth="1" style="30" min="4" max="4"/>
    <col width="16" customWidth="1" style="30" min="5" max="5"/>
    <col width="16" customWidth="1" style="30" min="6" max="6"/>
    <col width="20" customWidth="1" style="30" min="7" max="7"/>
    <col width="16" customWidth="1" style="30" min="8" max="8"/>
    <col width="40" customWidth="1" style="30" min="9" max="9"/>
  </cols>
  <sheetData>
    <row r="1">
      <c r="A1" s="40" t="inlineStr">
        <is>
          <t>Practice Set 3 - Delta-hedging P&amp;L and realized volatility: worked answers</t>
        </is>
      </c>
    </row>
    <row r="3">
      <c r="A3" t="inlineStr">
        <is>
          <t>SETUP.  At t=0 we sell 100,000 European calls (K=50, T=0.25y) for the Black-Scholes premium computed with a 30% IMPLIED volatility,</t>
        </is>
      </c>
    </row>
    <row r="4">
      <c r="A4" t="inlineStr">
        <is>
          <t>and we delta-hedge them with a self-financing portfolio rebalanced 50 times.  Holding x_t = N(d1)*100,000 shares and c_t = V_t - x_t*S_t in cash,</t>
        </is>
      </c>
    </row>
    <row r="5">
      <c r="A5" t="inlineStr">
        <is>
          <t>the portfolio rolls forward as   V_t+1 = x_t*S_t+1 + c_t*EXP(r*dt),   dt = T/50 = 0.005 years.   No money is ever added or taken out.</t>
        </is>
      </c>
    </row>
    <row r="6">
      <c r="A6" t="inlineStr"/>
    </row>
    <row r="7">
      <c r="A7" t="inlineStr">
        <is>
          <t>ANSWER 1 (volatility).  u_t = LN(S_t / S_t-1) for t = 1..50.   Annualized realized vol = STDEV(u_1..u_50) / SQRT(dt) = STDEV(...) * SQRT(200).</t>
        </is>
      </c>
    </row>
    <row r="8">
      <c r="A8" t="inlineStr">
        <is>
          <t xml:space="preserve">                        STDEV (sample, n-1) is the right convention: it reproduces DemoSheet!N2 exactly; STDEVP does not.</t>
        </is>
      </c>
    </row>
    <row r="9">
      <c r="A9" t="inlineStr">
        <is>
          <t>ANSWER 2 (P&amp;L).         Total hedging P&amp;L = V_50 - 100,000 * MAX(S_50 - K, 0)   =   final portfolio value minus the option payoff (DemoSheet!B11).</t>
        </is>
      </c>
    </row>
    <row r="10">
      <c r="A10" t="inlineStr"/>
    </row>
    <row r="11">
      <c r="A11" t="inlineStr">
        <is>
          <t>Each answer below is a LIVE formula pointing at the sheet PathN_Hedge, where the whole 51-row table is itself built from live Excel formulas.</t>
        </is>
      </c>
    </row>
    <row r="12">
      <c r="A12" t="inlineStr">
        <is>
          <t>DemoCheck_Hedge applies the identical construction to the worked example: its L19 reproduces DemoSheet!B11 = 55,394, which validates the method.</t>
        </is>
      </c>
    </row>
    <row r="14">
      <c r="A14" s="41" t="inlineStr">
        <is>
          <t>Q</t>
        </is>
      </c>
      <c r="B14" s="41" t="inlineStr">
        <is>
          <t>Path</t>
        </is>
      </c>
      <c r="C14" s="41" t="inlineStr">
        <is>
          <t>Quantity</t>
        </is>
      </c>
      <c r="D14" s="41" t="inlineStr">
        <is>
          <t>Excel answer (live formula)</t>
        </is>
      </c>
      <c r="E14" s="41" t="inlineStr">
        <is>
          <t>Python answer</t>
        </is>
      </c>
      <c r="F14" s="41" t="inlineStr">
        <is>
          <t>SUBMIT</t>
        </is>
      </c>
    </row>
    <row r="15">
      <c r="A15" t="n">
        <v>1</v>
      </c>
      <c r="B15" t="inlineStr">
        <is>
          <t>#1</t>
        </is>
      </c>
      <c r="C15" t="inlineStr">
        <is>
          <t>Annualized realized volatility of log-returns (%)</t>
        </is>
      </c>
      <c r="D15" s="42">
        <f>Path1_Hedge!$L$14</f>
        <v/>
      </c>
      <c r="E15" s="42" t="n">
        <v>25.42</v>
      </c>
      <c r="F15" s="43" t="n">
        <v>25.42</v>
      </c>
    </row>
    <row r="16">
      <c r="A16" t="n">
        <v>2</v>
      </c>
      <c r="B16" t="inlineStr">
        <is>
          <t>#1</t>
        </is>
      </c>
      <c r="C16" t="inlineStr">
        <is>
          <t>Total realized P&amp;L when delta-hedging ($)</t>
        </is>
      </c>
      <c r="D16" s="23">
        <f>Path1_Hedge!$L$19</f>
        <v/>
      </c>
      <c r="E16" s="23" t="n">
        <v>46625</v>
      </c>
      <c r="F16" s="44" t="n">
        <v>46625</v>
      </c>
    </row>
    <row r="17">
      <c r="A17" t="n">
        <v>3</v>
      </c>
      <c r="B17" t="inlineStr">
        <is>
          <t>#2</t>
        </is>
      </c>
      <c r="C17" t="inlineStr">
        <is>
          <t>Annualized realized volatility of log-returns (%)</t>
        </is>
      </c>
      <c r="D17" s="42">
        <f>Path2_Hedge!$L$14</f>
        <v/>
      </c>
      <c r="E17" s="42" t="n">
        <v>30.36</v>
      </c>
      <c r="F17" s="43" t="n">
        <v>30.36</v>
      </c>
    </row>
    <row r="18">
      <c r="A18" t="n">
        <v>4</v>
      </c>
      <c r="B18" t="inlineStr">
        <is>
          <t>#2</t>
        </is>
      </c>
      <c r="C18" t="inlineStr">
        <is>
          <t>Total realized P&amp;L when delta-hedging ($)</t>
        </is>
      </c>
      <c r="D18" s="23">
        <f>Path2_Hedge!$L$19</f>
        <v/>
      </c>
      <c r="E18" s="23" t="n">
        <v>-20263</v>
      </c>
      <c r="F18" s="44" t="n">
        <v>-20263</v>
      </c>
    </row>
    <row r="19">
      <c r="A19" t="n">
        <v>5</v>
      </c>
      <c r="B19" t="inlineStr">
        <is>
          <t>#3</t>
        </is>
      </c>
      <c r="C19" t="inlineStr">
        <is>
          <t>Annualized realized volatility of log-returns (%)</t>
        </is>
      </c>
      <c r="D19" s="42">
        <f>Path3_Hedge!$L$14</f>
        <v/>
      </c>
      <c r="E19" s="42" t="n">
        <v>51.57</v>
      </c>
      <c r="F19" s="43" t="n">
        <v>51.57</v>
      </c>
    </row>
    <row r="20">
      <c r="A20" t="n">
        <v>6</v>
      </c>
      <c r="B20" t="inlineStr">
        <is>
          <t>#3</t>
        </is>
      </c>
      <c r="C20" t="inlineStr">
        <is>
          <t>Total realized P&amp;L when delta-hedging ($)</t>
        </is>
      </c>
      <c r="D20" s="23">
        <f>Path3_Hedge!$L$19</f>
        <v/>
      </c>
      <c r="E20" s="23" t="n">
        <v>-122867</v>
      </c>
      <c r="F20" s="44" t="n">
        <v>-122867</v>
      </c>
    </row>
    <row r="21">
      <c r="A21" t="n">
        <v>7</v>
      </c>
      <c r="B21" t="inlineStr">
        <is>
          <t>#4</t>
        </is>
      </c>
      <c r="C21" t="inlineStr">
        <is>
          <t>Annualized realized volatility of log-returns (%)</t>
        </is>
      </c>
      <c r="D21" s="42">
        <f>Path4_Hedge!$L$14</f>
        <v/>
      </c>
      <c r="E21" s="42" t="n">
        <v>40.14</v>
      </c>
      <c r="F21" s="43" t="n">
        <v>40.14</v>
      </c>
    </row>
    <row r="22">
      <c r="A22" t="n">
        <v>8</v>
      </c>
      <c r="B22" t="inlineStr">
        <is>
          <t>#4</t>
        </is>
      </c>
      <c r="C22" t="inlineStr">
        <is>
          <t>Total realized P&amp;L when delta-hedging ($)</t>
        </is>
      </c>
      <c r="D22" s="23">
        <f>Path4_Hedge!$L$19</f>
        <v/>
      </c>
      <c r="E22" s="23" t="n">
        <v>-104401</v>
      </c>
      <c r="F22" s="44" t="n">
        <v>-104401</v>
      </c>
    </row>
    <row r="24">
      <c r="A24" s="40" t="inlineStr">
        <is>
          <t>REALIZED vs IMPLIED VOLATILITY</t>
        </is>
      </c>
    </row>
    <row r="25">
      <c r="A25" s="41" t="inlineStr">
        <is>
          <t>Path</t>
        </is>
      </c>
      <c r="B25" s="41" t="inlineStr">
        <is>
          <t>Realized vol</t>
        </is>
      </c>
      <c r="C25" s="41" t="inlineStr">
        <is>
          <t>Implied vol</t>
        </is>
      </c>
      <c r="D25" s="41" t="inlineStr">
        <is>
          <t>Gap (real - implied)</t>
        </is>
      </c>
      <c r="E25" s="41" t="inlineStr">
        <is>
          <t>S_T</t>
        </is>
      </c>
      <c r="F25" s="41" t="inlineStr">
        <is>
          <t>Option payoff</t>
        </is>
      </c>
      <c r="G25" s="41" t="inlineStr">
        <is>
          <t>Final portfolio V_T</t>
        </is>
      </c>
      <c r="H25" s="41" t="inlineStr">
        <is>
          <t>Hedging P&amp;L</t>
        </is>
      </c>
      <c r="I25" s="41" t="inlineStr">
        <is>
          <t>Verdict</t>
        </is>
      </c>
    </row>
    <row r="26">
      <c r="A26" t="inlineStr">
        <is>
          <t>Path 1</t>
        </is>
      </c>
      <c r="B26" s="45">
        <f>Path1_Hedge!$L$13</f>
        <v/>
      </c>
      <c r="C26" s="45">
        <f>DemoSheet!$B$4</f>
        <v/>
      </c>
      <c r="D26" s="63">
        <f>B26-C26</f>
        <v/>
      </c>
      <c r="E26" s="64">
        <f>Path1_Hedge!$L$15</f>
        <v/>
      </c>
      <c r="F26" s="23">
        <f>Path1_Hedge!$L$16</f>
        <v/>
      </c>
      <c r="G26" s="23">
        <f>Path1_Hedge!$L$17</f>
        <v/>
      </c>
      <c r="H26" s="23">
        <f>Path1_Hedge!$L$18</f>
        <v/>
      </c>
      <c r="I26">
        <f>IF(B26&lt;C26,"calmer than implied -&gt; hedging PROFIT","wilder than implied -&gt; hedging LOSS")</f>
        <v/>
      </c>
    </row>
    <row r="27">
      <c r="A27" t="inlineStr">
        <is>
          <t>Path 2</t>
        </is>
      </c>
      <c r="B27" s="45">
        <f>Path2_Hedge!$L$13</f>
        <v/>
      </c>
      <c r="C27" s="45">
        <f>DemoSheet!$B$4</f>
        <v/>
      </c>
      <c r="D27" s="63">
        <f>B27-C27</f>
        <v/>
      </c>
      <c r="E27" s="64">
        <f>Path2_Hedge!$L$15</f>
        <v/>
      </c>
      <c r="F27" s="23">
        <f>Path2_Hedge!$L$16</f>
        <v/>
      </c>
      <c r="G27" s="23">
        <f>Path2_Hedge!$L$17</f>
        <v/>
      </c>
      <c r="H27" s="23">
        <f>Path2_Hedge!$L$18</f>
        <v/>
      </c>
      <c r="I27">
        <f>IF(B27&lt;C27,"calmer than implied -&gt; hedging PROFIT","wilder than implied -&gt; hedging LOSS")</f>
        <v/>
      </c>
    </row>
    <row r="28">
      <c r="A28" t="inlineStr">
        <is>
          <t>Path 3</t>
        </is>
      </c>
      <c r="B28" s="45">
        <f>Path3_Hedge!$L$13</f>
        <v/>
      </c>
      <c r="C28" s="45">
        <f>DemoSheet!$B$4</f>
        <v/>
      </c>
      <c r="D28" s="63">
        <f>B28-C28</f>
        <v/>
      </c>
      <c r="E28" s="64">
        <f>Path3_Hedge!$L$15</f>
        <v/>
      </c>
      <c r="F28" s="23">
        <f>Path3_Hedge!$L$16</f>
        <v/>
      </c>
      <c r="G28" s="23">
        <f>Path3_Hedge!$L$17</f>
        <v/>
      </c>
      <c r="H28" s="23">
        <f>Path3_Hedge!$L$18</f>
        <v/>
      </c>
      <c r="I28">
        <f>IF(B28&lt;C28,"calmer than implied -&gt; hedging PROFIT","wilder than implied -&gt; hedging LOSS")</f>
        <v/>
      </c>
    </row>
    <row r="29">
      <c r="A29" t="inlineStr">
        <is>
          <t>Path 4</t>
        </is>
      </c>
      <c r="B29" s="45">
        <f>Path4_Hedge!$L$13</f>
        <v/>
      </c>
      <c r="C29" s="45">
        <f>DemoSheet!$B$4</f>
        <v/>
      </c>
      <c r="D29" s="63">
        <f>B29-C29</f>
        <v/>
      </c>
      <c r="E29" s="64">
        <f>Path4_Hedge!$L$15</f>
        <v/>
      </c>
      <c r="F29" s="23">
        <f>Path4_Hedge!$L$16</f>
        <v/>
      </c>
      <c r="G29" s="23">
        <f>Path4_Hedge!$L$17</f>
        <v/>
      </c>
      <c r="H29" s="23">
        <f>Path4_Hedge!$L$18</f>
        <v/>
      </c>
      <c r="I29">
        <f>IF(B29&lt;C29,"calmer than implied -&gt; hedging PROFIT","wilder than implied -&gt; hedging LOSS")</f>
        <v/>
      </c>
    </row>
    <row r="31">
      <c r="A31" t="inlineStr">
        <is>
          <t>VALIDATION:  DemoCheck_Hedge!L19 must equal DemoSheet!B11 (= 55,394).  Live check -&gt;</t>
        </is>
      </c>
      <c r="D31" s="23">
        <f>DemoCheck_Hedge!$L$19</f>
        <v/>
      </c>
      <c r="E31" s="23">
        <f>DemoSheet!$B$11</f>
        <v/>
      </c>
      <c r="F31" s="48">
        <f>IF(ROUND(D31-E31,0)=0,"MATCH","CHECK")</f>
        <v/>
      </c>
    </row>
    <row r="32">
      <c r="A32" t="inlineStr"/>
    </row>
    <row r="33">
      <c r="A33" t="inlineStr">
        <is>
          <t>CONCLUSION.  Selling and delta-hedging an option is a bet on volatility, not on direction:</t>
        </is>
      </c>
    </row>
    <row r="34">
      <c r="A34" t="inlineStr">
        <is>
          <t xml:space="preserve">  * Path #1 realizes 25.42%, BELOW the 30% we charged: the stock moved less than we were paid for, so the hedge profits (+46,625).</t>
        </is>
      </c>
    </row>
    <row r="35">
      <c r="A35" t="inlineStr">
        <is>
          <t xml:space="preserve">  * Path #2 realizes 30.36%, essentially AT implied: theory says P&amp;L ~ 0; the -20,263 left over is discrete-hedging error (we rebalance 50 times, not continuously).</t>
        </is>
      </c>
    </row>
    <row r="36">
      <c r="A36" t="inlineStr">
        <is>
          <t xml:space="preserve">  * Path #3 realizes 51.57% and Path #4 realizes 40.14%, well ABOVE implied: both lose heavily (-122,867 and -104,401).</t>
        </is>
      </c>
    </row>
    <row r="37">
      <c r="A37" t="inlineStr">
        <is>
          <t xml:space="preserve">  * Direction is irrelevant.  Path #3 finishes deep in the money and Path #4 finishes worthless, yet BOTH lose money, because both were far more volatile than 30%.</t>
        </is>
      </c>
    </row>
    <row r="38">
      <c r="A38" t="inlineStr">
        <is>
          <t xml:space="preserve">    Path #4's loss is burned in the whipsawing hedge (buying high, selling low), even though the option it hedged expired worthless.</t>
        </is>
      </c>
    </row>
    <row r="39">
      <c r="A39" t="inlineStr">
        <is>
          <t xml:space="preserve">  * Rule of thumb:  P&amp;L ~ 0.5 * INTEGRAL[ exp(r(T-t)) * S_t^2 * Gamma_t * (sigma_implied^2 - sigma_realized^2) ] dt   -&gt; positive only when implied &gt; realized.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pane ySplit="11" topLeftCell="A12" activePane="bottomLeft" state="frozen"/>
      <selection pane="bottomLeft" activeCell="B21" sqref="B21"/>
    </sheetView>
  </sheetViews>
  <sheetFormatPr baseColWidth="8" defaultRowHeight="15"/>
  <cols>
    <col width="20.85546875" bestFit="1" customWidth="1" style="30" min="1" max="1"/>
    <col width="14.42578125" customWidth="1" style="30" min="2" max="2"/>
    <col width="10.5703125" bestFit="1" customWidth="1" style="30" min="5" max="5"/>
    <col width="14.5703125" bestFit="1" customWidth="1" style="30" min="6" max="6"/>
    <col width="10.5703125" customWidth="1" style="30" min="7" max="7"/>
    <col width="12.5703125" bestFit="1" customWidth="1" style="30" min="8" max="8"/>
    <col width="22.28515625" bestFit="1" customWidth="1" style="30" min="9" max="9"/>
    <col width="18.42578125" bestFit="1" customWidth="1" style="30" min="13" max="13"/>
    <col width="18" bestFit="1" customWidth="1" style="30" min="14" max="14"/>
  </cols>
  <sheetData>
    <row r="1" ht="15.75" customHeight="1" s="30" thickBot="1">
      <c r="A1" s="49" t="inlineStr">
        <is>
          <t>European Call Option Parameters</t>
        </is>
      </c>
      <c r="B1" s="50" t="n"/>
      <c r="D1" s="14" t="inlineStr">
        <is>
          <t>Period</t>
        </is>
      </c>
      <c r="E1" s="15" t="inlineStr">
        <is>
          <t>Stock Price</t>
        </is>
      </c>
      <c r="F1" s="15" t="inlineStr">
        <is>
          <t>S.F. Portfolio Value</t>
        </is>
      </c>
      <c r="G1" s="15" t="inlineStr">
        <is>
          <t>"d1"</t>
        </is>
      </c>
      <c r="H1" s="15" t="inlineStr">
        <is>
          <t># Stocks held</t>
        </is>
      </c>
      <c r="I1" s="16" t="inlineStr">
        <is>
          <t>Cash Account $ Position</t>
        </is>
      </c>
      <c r="M1" s="14" t="inlineStr">
        <is>
          <t>Avg Return (Annualized)</t>
        </is>
      </c>
      <c r="N1" s="32" t="inlineStr">
        <is>
          <t>Std Return (Annualized)</t>
        </is>
      </c>
    </row>
    <row r="2" ht="15.75" customHeight="1" s="30" thickBot="1">
      <c r="A2" s="1" t="inlineStr">
        <is>
          <t>Initial Stock Price</t>
        </is>
      </c>
      <c r="B2" s="2" t="n">
        <v>50</v>
      </c>
      <c r="D2" s="13" t="n">
        <v>0</v>
      </c>
      <c r="E2" s="19" t="n">
        <v>50</v>
      </c>
      <c r="F2" s="51" t="n">
        <v>310815.1216206444</v>
      </c>
      <c r="G2" s="28" t="n">
        <v>0.1083333333333333</v>
      </c>
      <c r="H2" s="22" t="n">
        <v>54313.43589859989</v>
      </c>
      <c r="I2" s="22" t="n">
        <v>-2404856.67330935</v>
      </c>
      <c r="L2" s="14" t="inlineStr">
        <is>
          <t>Log-Returns</t>
        </is>
      </c>
      <c r="M2" s="33" t="n">
        <v>0.3379434271105041</v>
      </c>
      <c r="N2" s="34" t="n">
        <v>0.2490138823192466</v>
      </c>
    </row>
    <row r="3">
      <c r="A3" s="3" t="inlineStr">
        <is>
          <t>Expiration</t>
        </is>
      </c>
      <c r="B3" s="4" t="n">
        <v>0.25</v>
      </c>
      <c r="D3" s="13" t="n">
        <v>1</v>
      </c>
      <c r="E3" s="19" t="n">
        <v>49.50722616378409</v>
      </c>
      <c r="F3" s="51" t="n">
        <v>283810.3837628092</v>
      </c>
      <c r="G3" s="28" t="n">
        <v>0.04054507586701687</v>
      </c>
      <c r="H3" s="22" t="n">
        <v>51617.07143893068</v>
      </c>
      <c r="I3" s="22" t="n">
        <v>-2271607.645876532</v>
      </c>
      <c r="L3" s="31" t="n">
        <v>-0.009904363401248962</v>
      </c>
    </row>
    <row r="4">
      <c r="A4" s="3" t="inlineStr">
        <is>
          <t>Implied Volatility</t>
        </is>
      </c>
      <c r="B4" s="5" t="n">
        <v>0.3</v>
      </c>
      <c r="D4" s="13" t="n">
        <v>2</v>
      </c>
      <c r="E4" s="19" t="n">
        <v>48.00582062582239</v>
      </c>
      <c r="F4" s="51" t="n">
        <v>206085.0547280297</v>
      </c>
      <c r="G4" s="28" t="n">
        <v>-0.1707888953063909</v>
      </c>
      <c r="H4" s="22" t="n">
        <v>43219.48805225611</v>
      </c>
      <c r="I4" s="22" t="n">
        <v>-1868701.936248451</v>
      </c>
      <c r="L4" s="31" t="n">
        <v>-0.03079637543280742</v>
      </c>
    </row>
    <row r="5">
      <c r="A5" s="3" t="inlineStr">
        <is>
          <t>Risk-Free Rate</t>
        </is>
      </c>
      <c r="B5" s="6" t="n">
        <v>0.02</v>
      </c>
      <c r="D5" s="13" t="n">
        <v>3</v>
      </c>
      <c r="E5" s="19" t="n">
        <v>47.76545465200408</v>
      </c>
      <c r="F5" s="51" t="n">
        <v>195509.6808569741</v>
      </c>
      <c r="G5" s="28" t="n">
        <v>-0.2093464236440805</v>
      </c>
      <c r="H5" s="22" t="n">
        <v>41708.89068676027</v>
      </c>
      <c r="I5" s="22" t="n">
        <v>-1796734.445826869</v>
      </c>
      <c r="L5" s="31" t="n">
        <v>-0.0050195943995902</v>
      </c>
    </row>
    <row r="6">
      <c r="A6" s="7" t="inlineStr">
        <is>
          <t>Strike</t>
        </is>
      </c>
      <c r="B6" s="8" t="n">
        <v>50</v>
      </c>
      <c r="D6" s="13" t="n">
        <v>4</v>
      </c>
      <c r="E6" s="19" t="n">
        <v>47.94616193769892</v>
      </c>
      <c r="F6" s="51" t="n">
        <v>202867.0988537667</v>
      </c>
      <c r="G6" s="28" t="n">
        <v>-0.1876230095552686</v>
      </c>
      <c r="H6" s="22" t="n">
        <v>42558.60937742209</v>
      </c>
      <c r="I6" s="22" t="n">
        <v>-1837654.878199385</v>
      </c>
      <c r="L6" s="31" t="n">
        <v>0.003776082921927844</v>
      </c>
    </row>
    <row r="7" ht="15.75" customHeight="1" s="30" thickBot="1">
      <c r="A7" s="3" t="inlineStr">
        <is>
          <t># of Options</t>
        </is>
      </c>
      <c r="B7" s="25" t="n">
        <v>100000</v>
      </c>
      <c r="D7" s="13" t="n">
        <v>5</v>
      </c>
      <c r="E7" s="19" t="n">
        <v>48.67526496245168</v>
      </c>
      <c r="F7" s="51" t="n">
        <v>233712.9350037157</v>
      </c>
      <c r="G7" s="28" t="n">
        <v>-0.08592267274015246</v>
      </c>
      <c r="H7" s="22" t="n">
        <v>46576.39439598348</v>
      </c>
      <c r="I7" s="22" t="n">
        <v>-2033405.40321643</v>
      </c>
      <c r="L7" s="31" t="n">
        <v>0.01509223962885248</v>
      </c>
    </row>
    <row r="8" ht="15.75" customHeight="1" s="30" thickBot="1">
      <c r="A8" s="26" t="inlineStr">
        <is>
          <t># of Hedging Periods</t>
        </is>
      </c>
      <c r="B8" s="11" t="n">
        <v>50</v>
      </c>
      <c r="D8" s="13" t="n">
        <v>6</v>
      </c>
      <c r="E8" s="19" t="n">
        <v>48.8790956102588</v>
      </c>
      <c r="F8" s="51" t="n">
        <v>243003.2809382814</v>
      </c>
      <c r="G8" s="28" t="n">
        <v>-0.05950569139173435</v>
      </c>
      <c r="H8" s="22" t="n">
        <v>47627.46662185759</v>
      </c>
      <c r="I8" s="22" t="n">
        <v>-2084984.213745906</v>
      </c>
      <c r="L8" s="31" t="n">
        <v>0.004178817701777035</v>
      </c>
    </row>
    <row r="9">
      <c r="A9" s="10" t="inlineStr">
        <is>
          <t>"d_1"</t>
        </is>
      </c>
      <c r="B9" s="12" t="n">
        <v>0.1083333333333333</v>
      </c>
      <c r="D9" s="13" t="n">
        <v>7</v>
      </c>
      <c r="E9" s="19" t="n">
        <v>49.27943349176904</v>
      </c>
      <c r="F9" s="51" t="n">
        <v>261861.8511807322</v>
      </c>
      <c r="G9" s="28" t="n">
        <v>-0.003890476854381875</v>
      </c>
      <c r="H9" s="22" t="n">
        <v>49844.79282071756</v>
      </c>
      <c r="I9" s="22" t="n">
        <v>-2194461.301538826</v>
      </c>
      <c r="L9" s="31" t="n">
        <v>0.008157011009392961</v>
      </c>
    </row>
    <row r="10" ht="15.75" customHeight="1" s="30" thickBot="1">
      <c r="A10" s="9" t="inlineStr">
        <is>
          <t>Total BS Option Price</t>
        </is>
      </c>
      <c r="B10" s="52" t="n">
        <v>310815.1216206444</v>
      </c>
      <c r="D10" s="13" t="n">
        <v>8</v>
      </c>
      <c r="E10" s="19" t="n">
        <v>50.190454246105</v>
      </c>
      <c r="F10" s="51" t="n">
        <v>307052.0348331556</v>
      </c>
      <c r="G10" s="28" t="n">
        <v>0.1269435203367965</v>
      </c>
      <c r="H10" s="22" t="n">
        <v>55050.74494989494</v>
      </c>
      <c r="I10" s="22" t="n">
        <v>-2455969.860788542</v>
      </c>
      <c r="L10" s="31" t="n">
        <v>0.01831803069952248</v>
      </c>
    </row>
    <row r="11" ht="15.75" customHeight="1" s="30" thickBot="1">
      <c r="A11" s="24" t="inlineStr">
        <is>
          <t>Total Hedging P&amp;L</t>
        </is>
      </c>
      <c r="B11" s="53" t="n">
        <v>55393.57711113151</v>
      </c>
      <c r="D11" s="13" t="n">
        <v>9</v>
      </c>
      <c r="E11" s="19" t="n">
        <v>49.9612415764206</v>
      </c>
      <c r="F11" s="51" t="n">
        <v>294188.0973487376</v>
      </c>
      <c r="G11" s="28" t="n">
        <v>0.09239092347473973</v>
      </c>
      <c r="H11" s="22" t="n">
        <v>53680.62746986964</v>
      </c>
      <c r="I11" s="22" t="n">
        <v>-2387762.699647259</v>
      </c>
      <c r="L11" s="31" t="n">
        <v>-0.004577317797846743</v>
      </c>
    </row>
    <row r="12">
      <c r="D12" s="13" t="n">
        <v>10</v>
      </c>
      <c r="E12" s="19" t="n">
        <v>50.84341736073215</v>
      </c>
      <c r="F12" s="51" t="n">
        <v>341305.0587801301</v>
      </c>
      <c r="G12" s="28" t="n">
        <v>0.2215768698018549</v>
      </c>
      <c r="H12" s="22" t="n">
        <v>58767.83549256041</v>
      </c>
      <c r="I12" s="22" t="n">
        <v>-2646652.528554967</v>
      </c>
      <c r="L12" s="31" t="n">
        <v>0.01750312565713475</v>
      </c>
    </row>
    <row r="13">
      <c r="D13" s="13" t="n">
        <v>11</v>
      </c>
      <c r="E13" s="19" t="n">
        <v>51.47276944263405</v>
      </c>
      <c r="F13" s="51" t="n">
        <v>378026.0399096819</v>
      </c>
      <c r="G13" s="28" t="n">
        <v>0.3148101067587454</v>
      </c>
      <c r="H13" s="22" t="n">
        <v>62354.70812250372</v>
      </c>
      <c r="I13" s="22" t="n">
        <v>-2831543.474942693</v>
      </c>
      <c r="L13" s="31" t="n">
        <v>0.01230225713083153</v>
      </c>
    </row>
    <row r="14">
      <c r="D14" s="13" t="n">
        <v>12</v>
      </c>
      <c r="E14" s="19" t="n">
        <v>52.02105906523825</v>
      </c>
      <c r="F14" s="51" t="n">
        <v>411931.3107880805</v>
      </c>
      <c r="G14" s="28" t="n">
        <v>0.3974674481425244</v>
      </c>
      <c r="H14" s="22" t="n">
        <v>65448.86068170351</v>
      </c>
      <c r="I14" s="22" t="n">
        <v>-2992787.736487367</v>
      </c>
      <c r="L14" s="31" t="n">
        <v>0.01059569947606203</v>
      </c>
    </row>
    <row r="15">
      <c r="D15" s="13" t="n">
        <v>13</v>
      </c>
      <c r="E15" s="19" t="n">
        <v>52.69796643664689</v>
      </c>
      <c r="F15" s="51" t="n">
        <v>455934.8332957368</v>
      </c>
      <c r="G15" s="28" t="n">
        <v>0.5004760134034982</v>
      </c>
      <c r="H15" s="22" t="n">
        <v>69163.00291402027</v>
      </c>
      <c r="I15" s="22" t="n">
        <v>-3188814.772925015</v>
      </c>
      <c r="L15" s="31" t="n">
        <v>0.01292824864073747</v>
      </c>
    </row>
    <row r="16">
      <c r="D16" s="13" t="n">
        <v>14</v>
      </c>
      <c r="E16" s="19" t="n">
        <v>51.72848256384525</v>
      </c>
      <c r="F16" s="51" t="n">
        <v>388563.5199541629</v>
      </c>
      <c r="G16" s="28" t="n">
        <v>0.3589395359454514</v>
      </c>
      <c r="H16" s="22" t="n">
        <v>64017.98388371869</v>
      </c>
      <c r="I16" s="22" t="n">
        <v>-2922989.643147306</v>
      </c>
      <c r="L16" s="31" t="n">
        <v>-0.0185683174522085</v>
      </c>
    </row>
    <row r="17">
      <c r="D17" s="13" t="n">
        <v>15</v>
      </c>
      <c r="E17" s="19" t="n">
        <v>52.55250257164588</v>
      </c>
      <c r="F17" s="51" t="n">
        <v>441023.3059536554</v>
      </c>
      <c r="G17" s="28" t="n">
        <v>0.4873721025467557</v>
      </c>
      <c r="H17" s="22" t="n">
        <v>68700.26701429309</v>
      </c>
      <c r="I17" s="22" t="n">
        <v>-3169347.652987741</v>
      </c>
      <c r="L17" s="31" t="n">
        <v>0.01580416905477395</v>
      </c>
    </row>
    <row r="18">
      <c r="D18" s="13" t="n">
        <v>16</v>
      </c>
      <c r="E18" s="19" t="n">
        <v>50.92520104489491</v>
      </c>
      <c r="F18" s="51" t="n">
        <v>328910.3059405316</v>
      </c>
      <c r="G18" s="28" t="n">
        <v>0.2375628729696654</v>
      </c>
      <c r="H18" s="22" t="n">
        <v>59388.99253753966</v>
      </c>
      <c r="I18" s="22" t="n">
        <v>-2695486.078887439</v>
      </c>
      <c r="L18" s="31" t="n">
        <v>-0.03145480889793689</v>
      </c>
    </row>
    <row r="19">
      <c r="D19" s="13" t="n">
        <v>17</v>
      </c>
      <c r="E19" s="19" t="n">
        <v>50.18899055986144</v>
      </c>
      <c r="F19" s="51" t="n">
        <v>284917.944853052</v>
      </c>
      <c r="G19" s="28" t="n">
        <v>0.1189694495816545</v>
      </c>
      <c r="H19" s="22" t="n">
        <v>54735.0220224795</v>
      </c>
      <c r="I19" s="22" t="n">
        <v>-2462177.55872698</v>
      </c>
      <c r="L19" s="31" t="n">
        <v>-0.01456221887867735</v>
      </c>
    </row>
    <row r="20">
      <c r="D20" s="13" t="n">
        <v>18</v>
      </c>
      <c r="E20" s="19" t="n">
        <v>51.96906461002181</v>
      </c>
      <c r="F20" s="51" t="n">
        <v>382104.1071230529</v>
      </c>
      <c r="G20" s="28" t="n">
        <v>0.4085468731464775</v>
      </c>
      <c r="H20" s="22" t="n">
        <v>65856.38873306978</v>
      </c>
      <c r="I20" s="22" t="n">
        <v>-3040390.813928562</v>
      </c>
      <c r="L20" s="31" t="n">
        <v>0.03485293911688096</v>
      </c>
    </row>
    <row r="21">
      <c r="D21" s="13" t="n">
        <v>19</v>
      </c>
      <c r="E21" s="19" t="n">
        <v>52.98092920718612</v>
      </c>
      <c r="F21" s="51" t="n">
        <v>448437.8010952827</v>
      </c>
      <c r="G21" s="28" t="n">
        <v>0.5755985869732281</v>
      </c>
      <c r="H21" s="22" t="n">
        <v>71755.67318130643</v>
      </c>
      <c r="I21" s="22" t="n">
        <v>-3353244.439937497</v>
      </c>
      <c r="L21" s="31" t="n">
        <v>0.01928339231388181</v>
      </c>
    </row>
    <row r="22">
      <c r="D22" s="13" t="n">
        <v>20</v>
      </c>
      <c r="E22" s="19" t="n">
        <v>52.1116375011664</v>
      </c>
      <c r="F22" s="51" t="n">
        <v>385725.8483281367</v>
      </c>
      <c r="G22" s="28" t="n">
        <v>0.439930344503468</v>
      </c>
      <c r="H22" s="22" t="n">
        <v>67000.62212678284</v>
      </c>
      <c r="I22" s="22" t="n">
        <v>-3105786.284295399</v>
      </c>
      <c r="L22" s="31" t="n">
        <v>-0.01654373015886241</v>
      </c>
    </row>
    <row r="23">
      <c r="D23" s="13" t="n">
        <v>21</v>
      </c>
      <c r="E23" s="19" t="n">
        <v>51.12044347919301</v>
      </c>
      <c r="F23" s="51" t="n">
        <v>319004.6380496926</v>
      </c>
      <c r="G23" s="28" t="n">
        <v>0.2765005331479928</v>
      </c>
      <c r="H23" s="22" t="n">
        <v>60891.81748948868</v>
      </c>
      <c r="I23" s="22" t="n">
        <v>-2793812.07626705</v>
      </c>
      <c r="L23" s="31" t="n">
        <v>-0.01920380707101406</v>
      </c>
    </row>
    <row r="24">
      <c r="D24" s="13" t="n">
        <v>22</v>
      </c>
      <c r="E24" s="19" t="n">
        <v>50.343305755812</v>
      </c>
      <c r="F24" s="51" t="n">
        <v>271403.914456227</v>
      </c>
      <c r="G24" s="28" t="n">
        <v>0.1420284207853652</v>
      </c>
      <c r="H24" s="22" t="n">
        <v>55647.12216491104</v>
      </c>
      <c r="I24" s="22" t="n">
        <v>-2530056.171122913</v>
      </c>
      <c r="L24" s="31" t="n">
        <v>-0.01531882916868074</v>
      </c>
    </row>
    <row r="25">
      <c r="D25" s="13" t="n">
        <v>23</v>
      </c>
      <c r="E25" s="19" t="n">
        <v>51.90138090628442</v>
      </c>
      <c r="F25" s="51" t="n">
        <v>357853.2944288629</v>
      </c>
      <c r="G25" s="28" t="n">
        <v>0.4182040278484158</v>
      </c>
      <c r="H25" s="22" t="n">
        <v>66210.10244406215</v>
      </c>
      <c r="I25" s="22" t="n">
        <v>-3078542.45236452</v>
      </c>
      <c r="L25" s="31" t="n">
        <v>0.03047974075433686</v>
      </c>
    </row>
    <row r="26">
      <c r="D26" s="13" t="n">
        <v>24</v>
      </c>
      <c r="E26" s="19" t="n">
        <v>51.18309714223273</v>
      </c>
      <c r="F26" s="51" t="n">
        <v>309987.7831886315</v>
      </c>
      <c r="G26" s="28" t="n">
        <v>0.2943270505030333</v>
      </c>
      <c r="H26" s="22" t="n">
        <v>61574.59978541225</v>
      </c>
      <c r="I26" s="22" t="n">
        <v>-2841590.939122227</v>
      </c>
      <c r="L26" s="31" t="n">
        <v>-0.01393605327689574</v>
      </c>
    </row>
    <row r="27">
      <c r="D27" s="13" t="n">
        <v>25</v>
      </c>
      <c r="E27" s="19" t="n">
        <v>50.46946113783489</v>
      </c>
      <c r="F27" s="51" t="n">
        <v>265761.7585230335</v>
      </c>
      <c r="G27" s="28" t="n">
        <v>0.1647126803779806</v>
      </c>
      <c r="H27" s="22" t="n">
        <v>56541.49320945012</v>
      </c>
      <c r="I27" s="22" t="n">
        <v>-2587856.935686465</v>
      </c>
      <c r="L27" s="31" t="n">
        <v>-0.01404092018394067</v>
      </c>
    </row>
    <row r="28">
      <c r="D28" s="13" t="n">
        <v>26</v>
      </c>
      <c r="E28" s="19" t="n">
        <v>51.0732836255571</v>
      </c>
      <c r="F28" s="51" t="n">
        <v>299643.9849790075</v>
      </c>
      <c r="G28" s="28" t="n">
        <v>0.2794233825997286</v>
      </c>
      <c r="H28" s="22" t="n">
        <v>61004.00356479773</v>
      </c>
      <c r="I28" s="22" t="n">
        <v>-2816030.791380404</v>
      </c>
      <c r="L28" s="31" t="n">
        <v>0.01189311174272699</v>
      </c>
    </row>
    <row r="29">
      <c r="D29" s="13" t="n">
        <v>27</v>
      </c>
      <c r="E29" s="19" t="n">
        <v>51.53025060303538</v>
      </c>
      <c r="F29" s="51" t="n">
        <v>327239.1829423258</v>
      </c>
      <c r="G29" s="28" t="n">
        <v>0.369794453520276</v>
      </c>
      <c r="H29" s="22" t="n">
        <v>64423.21758935568</v>
      </c>
      <c r="I29" s="22" t="n">
        <v>-2992505.364091049</v>
      </c>
      <c r="L29" s="31" t="n">
        <v>0.008907490416430436</v>
      </c>
    </row>
    <row r="30">
      <c r="D30" s="13" t="n">
        <v>28</v>
      </c>
      <c r="E30" s="19" t="n">
        <v>52.3483007529206</v>
      </c>
      <c r="F30" s="51" t="n">
        <v>379641.3402479513</v>
      </c>
      <c r="G30" s="28" t="n">
        <v>0.5331371033567857</v>
      </c>
      <c r="H30" s="22" t="n">
        <v>70303.06616957259</v>
      </c>
      <c r="I30" s="22" t="n">
        <v>-3300604.711449312</v>
      </c>
      <c r="L30" s="31" t="n">
        <v>0.01575045186398183</v>
      </c>
    </row>
    <row r="31">
      <c r="D31" s="13" t="n">
        <v>29</v>
      </c>
      <c r="E31" s="19" t="n">
        <v>53.12771676647662</v>
      </c>
      <c r="F31" s="51" t="n">
        <v>434106.5988478857</v>
      </c>
      <c r="G31" s="28" t="n">
        <v>0.6943728891887776</v>
      </c>
      <c r="H31" s="22" t="n">
        <v>75627.58044806063</v>
      </c>
      <c r="I31" s="22" t="n">
        <v>-3583814.074930605</v>
      </c>
      <c r="L31" s="31" t="n">
        <v>0.01477928763300985</v>
      </c>
    </row>
    <row r="32">
      <c r="D32" s="13" t="n">
        <v>30</v>
      </c>
      <c r="E32" s="19" t="n">
        <v>52.56039142655997</v>
      </c>
      <c r="F32" s="51" t="n">
        <v>390842.7567359555</v>
      </c>
      <c r="G32" s="28" t="n">
        <v>0.594927897111028</v>
      </c>
      <c r="H32" s="22" t="n">
        <v>72405.41656478561</v>
      </c>
      <c r="I32" s="22" t="n">
        <v>-3414814.279312306</v>
      </c>
      <c r="L32" s="31" t="n">
        <v>-0.01073594368919671</v>
      </c>
    </row>
    <row r="33">
      <c r="D33" s="13" t="n">
        <v>31</v>
      </c>
      <c r="E33" s="19" t="n">
        <v>53.60430062157875</v>
      </c>
      <c r="F33" s="51" t="n">
        <v>466085.9383545282</v>
      </c>
      <c r="G33" s="28" t="n">
        <v>0.8195566236642912</v>
      </c>
      <c r="H33" s="22" t="n">
        <v>79376.55450657693</v>
      </c>
      <c r="I33" s="22" t="n">
        <v>-3788838.751721154</v>
      </c>
      <c r="L33" s="31" t="n">
        <v>0.0196664789537773</v>
      </c>
    </row>
    <row r="34">
      <c r="D34" s="13" t="n">
        <v>32</v>
      </c>
      <c r="E34" s="19" t="n">
        <v>54.26026846154561</v>
      </c>
      <c r="F34" s="51" t="n">
        <v>517775.5025382213</v>
      </c>
      <c r="G34" s="28" t="n">
        <v>0.9735472164255844</v>
      </c>
      <c r="H34" s="22" t="n">
        <v>83485.9297308376</v>
      </c>
      <c r="I34" s="22" t="n">
        <v>-4012193.457418759</v>
      </c>
      <c r="L34" s="31" t="n">
        <v>0.01216295457117063</v>
      </c>
    </row>
    <row r="35">
      <c r="D35" s="13" t="n">
        <v>33</v>
      </c>
      <c r="E35" s="19" t="n">
        <v>55.72188371649206</v>
      </c>
      <c r="F35" s="51" t="n">
        <v>639398.5715988231</v>
      </c>
      <c r="G35" s="28" t="n">
        <v>1.301959517579893</v>
      </c>
      <c r="H35" s="22" t="n">
        <v>90353.48876279983</v>
      </c>
      <c r="I35" s="22" t="n">
        <v>-4395268.022621281</v>
      </c>
      <c r="L35" s="31" t="n">
        <v>0.02658070026236254</v>
      </c>
    </row>
    <row r="36">
      <c r="D36" s="13" t="n">
        <v>34</v>
      </c>
      <c r="E36" s="19" t="n">
        <v>54.81961529576448</v>
      </c>
      <c r="F36" s="51" t="n">
        <v>557435.9232062495</v>
      </c>
      <c r="G36" s="28" t="n">
        <v>1.145808412764338</v>
      </c>
      <c r="H36" s="22" t="n">
        <v>87406.27832654609</v>
      </c>
      <c r="I36" s="22" t="n">
        <v>-4234142.629089524</v>
      </c>
      <c r="L36" s="31" t="n">
        <v>-0.01632488190791423</v>
      </c>
    </row>
    <row r="37">
      <c r="D37" s="13" t="n">
        <v>35</v>
      </c>
      <c r="E37" s="19" t="n">
        <v>54.38539043060138</v>
      </c>
      <c r="F37" s="51" t="n">
        <v>519058.5083511691</v>
      </c>
      <c r="G37" s="28" t="n">
        <v>1.082635151510145</v>
      </c>
      <c r="H37" s="22" t="n">
        <v>86051.48008285764</v>
      </c>
      <c r="I37" s="22" t="n">
        <v>-4160884.833086162</v>
      </c>
      <c r="L37" s="31" t="n">
        <v>-0.007952513728231584</v>
      </c>
    </row>
    <row r="38">
      <c r="D38" s="13" t="n">
        <v>36</v>
      </c>
      <c r="E38" s="19" t="n">
        <v>54.53339761297477</v>
      </c>
      <c r="F38" s="51" t="n">
        <v>531378.6361688657</v>
      </c>
      <c r="G38" s="28" t="n">
        <v>1.150779722590708</v>
      </c>
      <c r="H38" s="22" t="n">
        <v>87508.85655376207</v>
      </c>
      <c r="I38" s="22" t="n">
        <v>-4240776.632934215</v>
      </c>
      <c r="L38" s="31" t="n">
        <v>0.002717754689207992</v>
      </c>
    </row>
    <row r="39">
      <c r="D39" s="13" t="n">
        <v>37</v>
      </c>
      <c r="E39" s="19" t="n">
        <v>54.09993332774624</v>
      </c>
      <c r="F39" s="51" t="n">
        <v>493022.5733437396</v>
      </c>
      <c r="G39" s="28" t="n">
        <v>1.085632872659993</v>
      </c>
      <c r="H39" s="22" t="n">
        <v>86117.92749391608</v>
      </c>
      <c r="I39" s="22" t="n">
        <v>-4165951.562400805</v>
      </c>
      <c r="L39" s="31" t="n">
        <v>-0.00798036075936083</v>
      </c>
    </row>
    <row r="40">
      <c r="D40" s="13" t="n">
        <v>38</v>
      </c>
      <c r="E40" s="19" t="n">
        <v>53.15321737152712</v>
      </c>
      <c r="F40" s="51" t="n">
        <v>411076.7412820359</v>
      </c>
      <c r="G40" s="28" t="n">
        <v>0.8852950091675135</v>
      </c>
      <c r="H40" s="22" t="n">
        <v>81200.12294741702</v>
      </c>
      <c r="I40" s="22" t="n">
        <v>-3904971.044336749</v>
      </c>
      <c r="L40" s="31" t="n">
        <v>-0.01765431670557753</v>
      </c>
    </row>
    <row r="41">
      <c r="D41" s="13" t="n">
        <v>39</v>
      </c>
      <c r="E41" s="19" t="n">
        <v>53.37166296690396</v>
      </c>
      <c r="F41" s="51" t="n">
        <v>428424.0338540173</v>
      </c>
      <c r="G41" s="28" t="n">
        <v>0.9783346461431067</v>
      </c>
      <c r="H41" s="22" t="n">
        <v>83604.558013683</v>
      </c>
      <c r="I41" s="22" t="n">
        <v>-4033690.258949241</v>
      </c>
      <c r="L41" s="31" t="n">
        <v>0.004101312310974569</v>
      </c>
    </row>
    <row r="42">
      <c r="D42" s="13" t="n">
        <v>40</v>
      </c>
      <c r="E42" s="19" t="n">
        <v>53.7419512390837</v>
      </c>
      <c r="F42" s="51" t="n">
        <v>458978.4319922364</v>
      </c>
      <c r="G42" s="28" t="n">
        <v>1.124308484604682</v>
      </c>
      <c r="H42" s="22" t="n">
        <v>86955.89099062316</v>
      </c>
      <c r="I42" s="22" t="n">
        <v>-4214200.821576911</v>
      </c>
      <c r="L42" s="31" t="n">
        <v>0.006913962337911747</v>
      </c>
    </row>
    <row r="43">
      <c r="D43" s="13" t="n">
        <v>41</v>
      </c>
      <c r="E43" s="19" t="n">
        <v>52.51496827328215</v>
      </c>
      <c r="F43" s="51" t="n">
        <v>351863.5938167805</v>
      </c>
      <c r="G43" s="28" t="n">
        <v>0.8171048384788803</v>
      </c>
      <c r="H43" s="22" t="n">
        <v>79306.57409392283</v>
      </c>
      <c r="I43" s="22" t="n">
        <v>-3812918.628588277</v>
      </c>
      <c r="L43" s="31" t="n">
        <v>-0.02309567247708736</v>
      </c>
    </row>
    <row r="44">
      <c r="D44" s="13" t="n">
        <v>42</v>
      </c>
      <c r="E44" s="19" t="n">
        <v>50.81361171425203</v>
      </c>
      <c r="F44" s="51" t="n">
        <v>216553.5228797888</v>
      </c>
      <c r="G44" s="28" t="n">
        <v>0.3123543399302378</v>
      </c>
      <c r="H44" s="22" t="n">
        <v>62261.43764922092</v>
      </c>
      <c r="I44" s="22" t="n">
        <v>-2947174.994598836</v>
      </c>
      <c r="L44" s="31" t="n">
        <v>-0.03293397310477375</v>
      </c>
    </row>
    <row r="45">
      <c r="D45" s="13" t="n">
        <v>43</v>
      </c>
      <c r="E45" s="19" t="n">
        <v>51.17826050204161</v>
      </c>
      <c r="F45" s="51" t="n">
        <v>238962.3484087877</v>
      </c>
      <c r="G45" s="28" t="n">
        <v>0.4555349717528658</v>
      </c>
      <c r="H45" s="22" t="n">
        <v>67563.77930161885</v>
      </c>
      <c r="I45" s="22" t="n">
        <v>-3218834.349191909</v>
      </c>
      <c r="L45" s="31" t="n">
        <v>0.007150576484080338</v>
      </c>
    </row>
    <row r="46">
      <c r="D46" s="13" t="n">
        <v>44</v>
      </c>
      <c r="E46" s="19" t="n">
        <v>52.25628305963131</v>
      </c>
      <c r="F46" s="51" t="n">
        <v>311475.7270423172</v>
      </c>
      <c r="G46" s="28" t="n">
        <v>0.8869471944477633</v>
      </c>
      <c r="H46" s="22" t="n">
        <v>81244.63344885691</v>
      </c>
      <c r="I46" s="22" t="n">
        <v>-3934066.835537139</v>
      </c>
      <c r="L46" s="31" t="n">
        <v>0.02084529125253146</v>
      </c>
    </row>
    <row r="47">
      <c r="D47" s="13" t="n">
        <v>45</v>
      </c>
      <c r="E47" s="19" t="n">
        <v>52.65133301476382</v>
      </c>
      <c r="F47" s="51" t="n">
        <v>343177.9894865018</v>
      </c>
      <c r="G47" s="28" t="n">
        <v>1.123526710334496</v>
      </c>
      <c r="H47" s="22" t="n">
        <v>86939.30684693471</v>
      </c>
      <c r="I47" s="22" t="n">
        <v>-4234292.407384194</v>
      </c>
      <c r="K47" s="23" t="n"/>
      <c r="L47" s="31" t="n">
        <v>0.007531423117972553</v>
      </c>
    </row>
    <row r="48">
      <c r="D48" s="13" t="n">
        <v>46</v>
      </c>
      <c r="E48" s="19" t="n">
        <v>52.43377334553748</v>
      </c>
      <c r="F48" s="51" t="n">
        <v>323840.0522332091</v>
      </c>
      <c r="G48" s="28" t="n">
        <v>1.15088482326949</v>
      </c>
      <c r="H48" s="22" t="n">
        <v>87511.01888658611</v>
      </c>
      <c r="I48" s="22" t="n">
        <v>-4264692.877303097</v>
      </c>
      <c r="L48" s="31" t="n">
        <v>-0.004140643476486345</v>
      </c>
    </row>
    <row r="49">
      <c r="D49" s="13" t="n">
        <v>47</v>
      </c>
      <c r="E49" s="19" t="n">
        <v>51.44821448277328</v>
      </c>
      <c r="F49" s="51" t="n">
        <v>237166.3013681032</v>
      </c>
      <c r="G49" s="28" t="n">
        <v>0.8036436270360665</v>
      </c>
      <c r="H49" s="22" t="n">
        <v>78919.85901734837</v>
      </c>
      <c r="I49" s="22" t="n">
        <v>-3823119.532306665</v>
      </c>
      <c r="L49" s="31" t="n">
        <v>-0.01897515545474346</v>
      </c>
    </row>
    <row r="50">
      <c r="D50" s="13" t="n">
        <v>48</v>
      </c>
      <c r="E50" s="19" t="n">
        <v>51.4294257207496</v>
      </c>
      <c r="F50" s="51" t="n">
        <v>235301.163848618</v>
      </c>
      <c r="G50" s="28" t="n">
        <v>0.9612496021843006</v>
      </c>
      <c r="H50" s="22" t="n">
        <v>83178.6659231955</v>
      </c>
      <c r="I50" s="22" t="n">
        <v>-4042529.856799411</v>
      </c>
      <c r="L50" s="31" t="n">
        <v>-0.0003652642536397429</v>
      </c>
    </row>
    <row r="51">
      <c r="D51" s="13" t="n">
        <v>49</v>
      </c>
      <c r="E51" s="19" t="n">
        <v>53.57082143608993</v>
      </c>
      <c r="F51" s="51" t="n">
        <v>413015.3294652703</v>
      </c>
      <c r="G51" s="28" t="n">
        <v>3.267141544187703</v>
      </c>
      <c r="H51" s="22" t="n">
        <v>99945.68032586625</v>
      </c>
      <c r="I51" s="22" t="n">
        <v>-4941156.864580237</v>
      </c>
      <c r="L51" s="31" t="n">
        <v>0.04079405016421327</v>
      </c>
    </row>
    <row r="52">
      <c r="D52" s="13" t="n">
        <v>50</v>
      </c>
      <c r="E52" s="19" t="n">
        <v>54.40787270351601</v>
      </c>
      <c r="F52" s="54" t="n">
        <v>496180.8474627321</v>
      </c>
      <c r="G52" s="28" t="n"/>
      <c r="H52" s="55" t="n"/>
      <c r="L52" s="31" t="n">
        <v>0.01550431854788359</v>
      </c>
    </row>
    <row r="53">
      <c r="D53" s="13" t="n"/>
    </row>
  </sheetData>
  <mergeCells count="1">
    <mergeCell ref="A1:B1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tabSelected="1" workbookViewId="0">
      <pane ySplit="1" topLeftCell="A2" activePane="bottomLeft" state="frozen"/>
      <selection pane="bottomLeft" activeCell="C10" sqref="C10"/>
    </sheetView>
  </sheetViews>
  <sheetFormatPr baseColWidth="8" defaultRowHeight="15"/>
  <cols>
    <col width="11" bestFit="1" customWidth="1" style="30" min="2" max="5"/>
  </cols>
  <sheetData>
    <row r="1" ht="15.75" customHeight="1" s="30" thickBot="1">
      <c r="A1" s="14" t="inlineStr">
        <is>
          <t>Period</t>
        </is>
      </c>
      <c r="B1" s="15" t="inlineStr">
        <is>
          <t>Stock Path # 1</t>
        </is>
      </c>
      <c r="C1" s="15" t="inlineStr">
        <is>
          <t>Stock Path # 2</t>
        </is>
      </c>
      <c r="D1" s="15" t="inlineStr">
        <is>
          <t>Stock Path # 3</t>
        </is>
      </c>
      <c r="E1" s="15" t="inlineStr">
        <is>
          <t>Stock Path # 4</t>
        </is>
      </c>
    </row>
    <row r="2">
      <c r="A2" s="13" t="n">
        <v>0</v>
      </c>
      <c r="B2" s="39" t="n">
        <v>50</v>
      </c>
      <c r="C2" s="39" t="n">
        <v>50</v>
      </c>
      <c r="D2" s="39" t="n">
        <v>50</v>
      </c>
      <c r="E2" s="19">
        <f>B2</f>
        <v/>
      </c>
    </row>
    <row r="3">
      <c r="A3" s="13">
        <f>A2+1</f>
        <v/>
      </c>
      <c r="B3" s="39" t="n">
        <v>49.672465715245</v>
      </c>
      <c r="C3" s="39" t="n">
        <v>49.17720338373121</v>
      </c>
      <c r="D3" s="39" t="n">
        <v>48.66990955473602</v>
      </c>
      <c r="E3" s="19" t="n">
        <v>47.64062831369759</v>
      </c>
    </row>
    <row r="4">
      <c r="A4" s="13">
        <f>A3+1</f>
        <v/>
      </c>
      <c r="B4" s="39" t="n">
        <v>49.62561447317236</v>
      </c>
      <c r="C4" s="39" t="n">
        <v>49.81807610640443</v>
      </c>
      <c r="D4" s="39" t="n">
        <v>46.1693369564907</v>
      </c>
      <c r="E4" s="19" t="n">
        <v>49.44965647796759</v>
      </c>
    </row>
    <row r="5">
      <c r="A5" s="13">
        <f>A4+1</f>
        <v/>
      </c>
      <c r="B5" s="39" t="n">
        <v>49.74389303216166</v>
      </c>
      <c r="C5" s="39" t="n">
        <v>51.17905475827919</v>
      </c>
      <c r="D5" s="39" t="n">
        <v>47.48101536952507</v>
      </c>
      <c r="E5" s="19" t="n">
        <v>49.37270539766194</v>
      </c>
    </row>
    <row r="6">
      <c r="A6" s="13">
        <f>A5+1</f>
        <v/>
      </c>
      <c r="B6" s="39" t="n">
        <v>50.2156415219809</v>
      </c>
      <c r="C6" s="39" t="n">
        <v>50.33276668003755</v>
      </c>
      <c r="D6" s="39" t="n">
        <v>49.03429518221753</v>
      </c>
      <c r="E6" s="19" t="n">
        <v>49.9475892152001</v>
      </c>
    </row>
    <row r="7">
      <c r="A7" s="13">
        <f>A6+1</f>
        <v/>
      </c>
      <c r="B7" s="39" t="n">
        <v>48.35697199572109</v>
      </c>
      <c r="C7" s="39" t="n">
        <v>52.61925563338847</v>
      </c>
      <c r="D7" s="39" t="n">
        <v>48.26327388804518</v>
      </c>
      <c r="E7" s="19" t="n">
        <v>47.81947512309303</v>
      </c>
    </row>
    <row r="8">
      <c r="A8" s="13">
        <f>A7+1</f>
        <v/>
      </c>
      <c r="B8" s="39" t="n">
        <v>48.74161440765533</v>
      </c>
      <c r="C8" s="39" t="n">
        <v>54.68527228382641</v>
      </c>
      <c r="D8" s="39" t="n">
        <v>47.89476089966625</v>
      </c>
      <c r="E8" s="19" t="n">
        <v>44.88372867132583</v>
      </c>
    </row>
    <row r="9">
      <c r="A9" s="13">
        <f>A8+1</f>
        <v/>
      </c>
      <c r="B9" s="39" t="n">
        <v>50.07553332471116</v>
      </c>
      <c r="C9" s="39" t="n">
        <v>56.00834059092014</v>
      </c>
      <c r="D9" s="39" t="n">
        <v>52.30994662914881</v>
      </c>
      <c r="E9" s="19" t="n">
        <v>47.05801754039981</v>
      </c>
    </row>
    <row r="10">
      <c r="A10" s="13">
        <f>A9+1</f>
        <v/>
      </c>
      <c r="B10" s="39" t="n">
        <v>49.63421214849618</v>
      </c>
      <c r="C10" s="39" t="n">
        <v>56.06932498031684</v>
      </c>
      <c r="D10" s="39" t="n">
        <v>53.25540842517118</v>
      </c>
      <c r="E10" s="19" t="n">
        <v>45.95504277080334</v>
      </c>
    </row>
    <row r="11">
      <c r="A11" s="13">
        <f>A10+1</f>
        <v/>
      </c>
      <c r="B11" s="39" t="n">
        <v>48.39204208630683</v>
      </c>
      <c r="C11" s="39" t="n">
        <v>56.52544802711809</v>
      </c>
      <c r="D11" s="39" t="n">
        <v>53.18281242269162</v>
      </c>
      <c r="E11" s="19" t="n">
        <v>47.55576980144096</v>
      </c>
    </row>
    <row r="12">
      <c r="A12" s="13">
        <f>A11+1</f>
        <v/>
      </c>
      <c r="B12" s="39" t="n">
        <v>48.19366029137929</v>
      </c>
      <c r="C12" s="39" t="n">
        <v>56.38809033368914</v>
      </c>
      <c r="D12" s="39" t="n">
        <v>55.00476299580711</v>
      </c>
      <c r="E12" s="19" t="n">
        <v>47.32945977971937</v>
      </c>
    </row>
    <row r="13">
      <c r="A13" s="13">
        <f>A12+1</f>
        <v/>
      </c>
      <c r="B13" s="39" t="n">
        <v>48.95431626609653</v>
      </c>
      <c r="C13" s="39" t="n">
        <v>55.18738201940045</v>
      </c>
      <c r="D13" s="39" t="n">
        <v>54.17970561166018</v>
      </c>
      <c r="E13" s="19" t="n">
        <v>46.02751759787616</v>
      </c>
    </row>
    <row r="14">
      <c r="A14" s="13">
        <f>A13+1</f>
        <v/>
      </c>
      <c r="B14" s="39" t="n">
        <v>48.57217765258998</v>
      </c>
      <c r="C14" s="39" t="n">
        <v>55.61135687978656</v>
      </c>
      <c r="D14" s="39" t="n">
        <v>52.22224720617914</v>
      </c>
      <c r="E14" s="19" t="n">
        <v>45.26277946256945</v>
      </c>
    </row>
    <row r="15">
      <c r="A15" s="13">
        <f>A14+1</f>
        <v/>
      </c>
      <c r="B15" s="39" t="n">
        <v>48.33750775634121</v>
      </c>
      <c r="C15" s="39" t="n">
        <v>55.94307853737427</v>
      </c>
      <c r="D15" s="39" t="n">
        <v>54.67904742712319</v>
      </c>
      <c r="E15" s="19" t="n">
        <v>46.09349204394383</v>
      </c>
    </row>
    <row r="16">
      <c r="A16" s="13">
        <f>A15+1</f>
        <v/>
      </c>
      <c r="B16" s="39" t="n">
        <v>49.02004551466403</v>
      </c>
      <c r="C16" s="39" t="n">
        <v>57.20034488280235</v>
      </c>
      <c r="D16" s="39" t="n">
        <v>54.70252699636859</v>
      </c>
      <c r="E16" s="19" t="n">
        <v>47.44439265589326</v>
      </c>
    </row>
    <row r="17">
      <c r="A17" s="13">
        <f>A16+1</f>
        <v/>
      </c>
      <c r="B17" s="39" t="n">
        <v>48.84821732527264</v>
      </c>
      <c r="C17" s="39" t="n">
        <v>56.78329962879747</v>
      </c>
      <c r="D17" s="39" t="n">
        <v>56.24461167908349</v>
      </c>
      <c r="E17" s="19" t="n">
        <v>46.53033450492541</v>
      </c>
    </row>
    <row r="18">
      <c r="A18" s="13">
        <f>A17+1</f>
        <v/>
      </c>
      <c r="B18" s="39" t="n">
        <v>49.44922109493329</v>
      </c>
      <c r="C18" s="39" t="n">
        <v>54.86352939967004</v>
      </c>
      <c r="D18" s="39" t="n">
        <v>56.79763489817402</v>
      </c>
      <c r="E18" s="19" t="n">
        <v>45.97499390421887</v>
      </c>
    </row>
    <row r="19">
      <c r="A19" s="13">
        <f>A18+1</f>
        <v/>
      </c>
      <c r="B19" s="39" t="n">
        <v>49.46076809845854</v>
      </c>
      <c r="C19" s="39" t="n">
        <v>54.87363939065393</v>
      </c>
      <c r="D19" s="39" t="n">
        <v>55.9753417683587</v>
      </c>
      <c r="E19" s="19" t="n">
        <v>47.40840026864494</v>
      </c>
    </row>
    <row r="20">
      <c r="A20" s="13">
        <f>A19+1</f>
        <v/>
      </c>
      <c r="B20" s="39" t="n">
        <v>48.4779456956948</v>
      </c>
      <c r="C20" s="39" t="n">
        <v>53.03392968175348</v>
      </c>
      <c r="D20" s="39" t="n">
        <v>59.58011840480998</v>
      </c>
      <c r="E20" s="19" t="n">
        <v>48.8268341095341</v>
      </c>
    </row>
    <row r="21">
      <c r="A21" s="13">
        <f>A20+1</f>
        <v/>
      </c>
      <c r="B21" s="39" t="n">
        <v>47.87040150506441</v>
      </c>
      <c r="C21" s="39" t="n">
        <v>52.66993391383673</v>
      </c>
      <c r="D21" s="39" t="n">
        <v>58.86041453334636</v>
      </c>
      <c r="E21" s="19" t="n">
        <v>48.49007529625055</v>
      </c>
    </row>
    <row r="22">
      <c r="A22" s="13">
        <f>A21+1</f>
        <v/>
      </c>
      <c r="B22" s="39" t="n">
        <v>46.50539258383875</v>
      </c>
      <c r="C22" s="39" t="n">
        <v>52.52664241485078</v>
      </c>
      <c r="D22" s="39" t="n">
        <v>57.76969251766814</v>
      </c>
      <c r="E22" s="19" t="n">
        <v>48.77942566398016</v>
      </c>
    </row>
    <row r="23">
      <c r="A23" s="13">
        <f>A22+1</f>
        <v/>
      </c>
      <c r="B23" s="39" t="n">
        <v>48.54795342434831</v>
      </c>
      <c r="C23" s="39" t="n">
        <v>51.93271063820522</v>
      </c>
      <c r="D23" s="39" t="n">
        <v>56.1747926919466</v>
      </c>
      <c r="E23" s="19" t="n">
        <v>47.5379361654902</v>
      </c>
    </row>
    <row r="24">
      <c r="A24" s="13">
        <f>A23+1</f>
        <v/>
      </c>
      <c r="B24" s="39" t="n">
        <v>47.95620894064681</v>
      </c>
      <c r="C24" s="39" t="n">
        <v>54.01279574945497</v>
      </c>
      <c r="D24" s="39" t="n">
        <v>57.65820282405175</v>
      </c>
      <c r="E24" s="19" t="n">
        <v>49.68253369277322</v>
      </c>
    </row>
    <row r="25">
      <c r="A25" s="13">
        <f>A24+1</f>
        <v/>
      </c>
      <c r="B25" s="39" t="n">
        <v>48.25684858520722</v>
      </c>
      <c r="C25" s="39" t="n">
        <v>51.5107697024635</v>
      </c>
      <c r="D25" s="39" t="n">
        <v>60.22573209185764</v>
      </c>
      <c r="E25" s="19" t="n">
        <v>48.73649899274497</v>
      </c>
    </row>
    <row r="26">
      <c r="A26" s="13">
        <f>A25+1</f>
        <v/>
      </c>
      <c r="B26" s="39" t="n">
        <v>47.73624811681634</v>
      </c>
      <c r="C26" s="39" t="n">
        <v>51.92709992353214</v>
      </c>
      <c r="D26" s="39" t="n">
        <v>57.67841283198238</v>
      </c>
      <c r="E26" s="19" t="n">
        <v>45.8790683736943</v>
      </c>
    </row>
    <row r="27">
      <c r="A27" s="13">
        <f>A26+1</f>
        <v/>
      </c>
      <c r="B27" s="39" t="n">
        <v>48.8016110412341</v>
      </c>
      <c r="C27" s="39" t="n">
        <v>52.24077630630718</v>
      </c>
      <c r="D27" s="39" t="n">
        <v>60.36803067061155</v>
      </c>
      <c r="E27" s="19" t="n">
        <v>45.24328232227332</v>
      </c>
    </row>
    <row r="28">
      <c r="A28" s="13">
        <f>A27+1</f>
        <v/>
      </c>
      <c r="B28" s="39" t="n">
        <v>48.31082516232276</v>
      </c>
      <c r="C28" s="39" t="n">
        <v>52.32676729954716</v>
      </c>
      <c r="D28" s="39" t="n">
        <v>61.00098974711723</v>
      </c>
      <c r="E28" s="19" t="n">
        <v>45.52837258002891</v>
      </c>
    </row>
    <row r="29">
      <c r="A29" s="13">
        <f>A28+1</f>
        <v/>
      </c>
      <c r="B29" s="39" t="n">
        <v>49.15790979236899</v>
      </c>
      <c r="C29" s="39" t="n">
        <v>50.26442660092926</v>
      </c>
      <c r="D29" s="39" t="n">
        <v>63.67223863409829</v>
      </c>
      <c r="E29" s="19" t="n">
        <v>45.09239909227301</v>
      </c>
    </row>
    <row r="30">
      <c r="A30" s="13">
        <f>A29+1</f>
        <v/>
      </c>
      <c r="B30" s="39" t="n">
        <v>48.18450298863247</v>
      </c>
      <c r="C30" s="39" t="n">
        <v>50.8734379713611</v>
      </c>
      <c r="D30" s="39" t="n">
        <v>65.22476838750549</v>
      </c>
      <c r="E30" s="19" t="n">
        <v>45.51832898809175</v>
      </c>
    </row>
    <row r="31">
      <c r="A31" s="13">
        <f>A30+1</f>
        <v/>
      </c>
      <c r="B31" s="39" t="n">
        <v>47.64559645902416</v>
      </c>
      <c r="C31" s="39" t="n">
        <v>50.34702663756818</v>
      </c>
      <c r="D31" s="39" t="n">
        <v>64.17136745504784</v>
      </c>
      <c r="E31" s="19" t="n">
        <v>46.32054563194599</v>
      </c>
    </row>
    <row r="32">
      <c r="A32" s="13">
        <f>A31+1</f>
        <v/>
      </c>
      <c r="B32" s="39" t="n">
        <v>46.19090701837791</v>
      </c>
      <c r="C32" s="39" t="n">
        <v>52.61232816791572</v>
      </c>
      <c r="D32" s="39" t="n">
        <v>64.35593114895588</v>
      </c>
      <c r="E32" s="19" t="n">
        <v>47.01361004222156</v>
      </c>
    </row>
    <row r="33">
      <c r="A33" s="13">
        <f>A32+1</f>
        <v/>
      </c>
      <c r="B33" s="39" t="n">
        <v>46.1688250799533</v>
      </c>
      <c r="C33" s="39" t="n">
        <v>51.99520731033372</v>
      </c>
      <c r="D33" s="39" t="n">
        <v>66.4751182352958</v>
      </c>
      <c r="E33" s="19" t="n">
        <v>45.79458037387119</v>
      </c>
    </row>
    <row r="34">
      <c r="A34" s="13">
        <f>A33+1</f>
        <v/>
      </c>
      <c r="B34" s="39" t="n">
        <v>46.04713832855795</v>
      </c>
      <c r="C34" s="39" t="n">
        <v>51.60889802577123</v>
      </c>
      <c r="D34" s="39" t="n">
        <v>64.08115523685154</v>
      </c>
      <c r="E34" s="19" t="n">
        <v>43.75891065666178</v>
      </c>
    </row>
    <row r="35">
      <c r="A35" s="13">
        <f>A34+1</f>
        <v/>
      </c>
      <c r="B35" s="39" t="n">
        <v>46.28389036606959</v>
      </c>
      <c r="C35" s="39" t="n">
        <v>51.09820491814621</v>
      </c>
      <c r="D35" s="39" t="n">
        <v>65.92626030786656</v>
      </c>
      <c r="E35" s="19" t="n">
        <v>42.87835200033872</v>
      </c>
    </row>
    <row r="36">
      <c r="A36" s="13">
        <f>A35+1</f>
        <v/>
      </c>
      <c r="B36" s="39" t="n">
        <v>44.47171595340927</v>
      </c>
      <c r="C36" s="39" t="n">
        <v>50.68745061805911</v>
      </c>
      <c r="D36" s="39" t="n">
        <v>65.47408755971291</v>
      </c>
      <c r="E36" s="19" t="n">
        <v>41.82447328463913</v>
      </c>
    </row>
    <row r="37">
      <c r="A37" s="13">
        <f>A36+1</f>
        <v/>
      </c>
      <c r="B37" s="39" t="n">
        <v>44.02258650129088</v>
      </c>
      <c r="C37" s="39" t="n">
        <v>49.91245414442521</v>
      </c>
      <c r="D37" s="39" t="n">
        <v>65.69514201062042</v>
      </c>
      <c r="E37" s="19" t="n">
        <v>44.19081452511045</v>
      </c>
    </row>
    <row r="38">
      <c r="A38" s="13">
        <f>A37+1</f>
        <v/>
      </c>
      <c r="B38" s="39" t="n">
        <v>43.00173280721741</v>
      </c>
      <c r="C38" s="39" t="n">
        <v>50.15547715312552</v>
      </c>
      <c r="D38" s="39" t="n">
        <v>62.34601459420909</v>
      </c>
      <c r="E38" s="19" t="n">
        <v>43.01085657561013</v>
      </c>
    </row>
    <row r="39">
      <c r="A39" s="13">
        <f>A38+1</f>
        <v/>
      </c>
      <c r="B39" s="39" t="n">
        <v>42.58938203396782</v>
      </c>
      <c r="C39" s="39" t="n">
        <v>50.717291350045</v>
      </c>
      <c r="D39" s="39" t="n">
        <v>58.91822025250585</v>
      </c>
      <c r="E39" s="19" t="n">
        <v>43.46319214914295</v>
      </c>
    </row>
    <row r="40">
      <c r="A40" s="13">
        <f>A39+1</f>
        <v/>
      </c>
      <c r="B40" s="39" t="n">
        <v>43.22692742950674</v>
      </c>
      <c r="C40" s="39" t="n">
        <v>50.05010911006966</v>
      </c>
      <c r="D40" s="39" t="n">
        <v>60.95368079872188</v>
      </c>
      <c r="E40" s="19" t="n">
        <v>45.09441434575368</v>
      </c>
    </row>
    <row r="41">
      <c r="A41" s="13">
        <f>A40+1</f>
        <v/>
      </c>
      <c r="B41" s="39" t="n">
        <v>43.52026539833895</v>
      </c>
      <c r="C41" s="39" t="n">
        <v>50.24597094006054</v>
      </c>
      <c r="D41" s="39" t="n">
        <v>65.73122076999661</v>
      </c>
      <c r="E41" s="19" t="n">
        <v>44.28617459254448</v>
      </c>
    </row>
    <row r="42">
      <c r="A42" s="13">
        <f>A41+1</f>
        <v/>
      </c>
      <c r="B42" s="39" t="n">
        <v>45.20290304560199</v>
      </c>
      <c r="C42" s="39" t="n">
        <v>50.44670943754675</v>
      </c>
      <c r="D42" s="39" t="n">
        <v>61.06263648321499</v>
      </c>
      <c r="E42" s="19" t="n">
        <v>43.43482751838761</v>
      </c>
    </row>
    <row r="43">
      <c r="A43" s="13">
        <f>A42+1</f>
        <v/>
      </c>
      <c r="B43" s="39" t="n">
        <v>46.11244471509714</v>
      </c>
      <c r="C43" s="39" t="n">
        <v>53.02413652981978</v>
      </c>
      <c r="D43" s="39" t="n">
        <v>61.90703185617911</v>
      </c>
      <c r="E43" s="19" t="n">
        <v>44.31647515336032</v>
      </c>
    </row>
    <row r="44">
      <c r="A44" s="13">
        <f>A43+1</f>
        <v/>
      </c>
      <c r="B44" s="39" t="n">
        <v>46.23970623036869</v>
      </c>
      <c r="C44" s="39" t="n">
        <v>54.71573018153395</v>
      </c>
      <c r="D44" s="39" t="n">
        <v>65.67762090711739</v>
      </c>
      <c r="E44" s="19" t="n">
        <v>45.164168714234</v>
      </c>
    </row>
    <row r="45">
      <c r="A45" s="13">
        <f>A44+1</f>
        <v/>
      </c>
      <c r="B45" s="39" t="n">
        <v>46.50061507014102</v>
      </c>
      <c r="C45" s="39" t="n">
        <v>53.93158857163919</v>
      </c>
      <c r="D45" s="39" t="n">
        <v>62.9721885534622</v>
      </c>
      <c r="E45" s="19" t="n">
        <v>44.76575281133398</v>
      </c>
    </row>
    <row r="46">
      <c r="A46" s="13">
        <f>A45+1</f>
        <v/>
      </c>
      <c r="B46" s="39" t="n">
        <v>45.6377052875489</v>
      </c>
      <c r="C46" s="39" t="n">
        <v>54.93875210275017</v>
      </c>
      <c r="D46" s="39" t="n">
        <v>62.2890913598583</v>
      </c>
      <c r="E46" s="19" t="n">
        <v>43.46074845187604</v>
      </c>
    </row>
    <row r="47">
      <c r="A47" s="13">
        <f>A46+1</f>
        <v/>
      </c>
      <c r="B47" s="39" t="n">
        <v>46.90095995875152</v>
      </c>
      <c r="C47" s="39" t="n">
        <v>55.79915455516065</v>
      </c>
      <c r="D47" s="39" t="n">
        <v>62.21667239270602</v>
      </c>
      <c r="E47" s="19" t="n">
        <v>43.64148883384478</v>
      </c>
    </row>
    <row r="48">
      <c r="A48" s="13">
        <f>A47+1</f>
        <v/>
      </c>
      <c r="B48" s="39" t="n">
        <v>46.42824471330404</v>
      </c>
      <c r="C48" s="39" t="n">
        <v>55.51653391361491</v>
      </c>
      <c r="D48" s="39" t="n">
        <v>65.06723200895699</v>
      </c>
      <c r="E48" s="19" t="n">
        <v>42.17771866878238</v>
      </c>
    </row>
    <row r="49">
      <c r="A49" s="13">
        <f>A48+1</f>
        <v/>
      </c>
      <c r="B49" s="39" t="n">
        <v>46.67385106218964</v>
      </c>
      <c r="C49" s="39" t="n">
        <v>55.90150413688726</v>
      </c>
      <c r="D49" s="39" t="n">
        <v>62.87061208424777</v>
      </c>
      <c r="E49" s="19" t="n">
        <v>41.42121158405762</v>
      </c>
    </row>
    <row r="50">
      <c r="A50" s="13">
        <f>A49+1</f>
        <v/>
      </c>
      <c r="B50" s="39" t="n">
        <v>46.91245141395905</v>
      </c>
      <c r="C50" s="39" t="n">
        <v>55.87577411017683</v>
      </c>
      <c r="D50" s="39" t="n">
        <v>64.95243674688827</v>
      </c>
      <c r="E50" s="19" t="n">
        <v>42.6516752904467</v>
      </c>
    </row>
    <row r="51">
      <c r="A51" s="13">
        <f>A50+1</f>
        <v/>
      </c>
      <c r="B51" s="39" t="n">
        <v>47.63772878648964</v>
      </c>
      <c r="C51" s="39" t="n">
        <v>55.86438278341691</v>
      </c>
      <c r="D51" s="39" t="n">
        <v>65.82594192430598</v>
      </c>
      <c r="E51" s="19" t="n">
        <v>43.14370672170526</v>
      </c>
    </row>
    <row r="52">
      <c r="A52" s="13">
        <f>A51+1</f>
        <v/>
      </c>
      <c r="B52" s="39" t="n">
        <v>48.20899898901672</v>
      </c>
      <c r="C52" s="39" t="n">
        <v>54.55565769867185</v>
      </c>
      <c r="D52" s="39" t="n">
        <v>64.03690887362868</v>
      </c>
      <c r="E52" s="19" t="n">
        <v>42.99905188962221</v>
      </c>
    </row>
    <row r="53">
      <c r="A53" s="1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style="30" min="1" max="1"/>
    <col width="16" customWidth="1" style="30" min="2" max="2"/>
    <col width="20" customWidth="1" style="30" min="3" max="3"/>
    <col width="11" customWidth="1" style="30" min="4" max="4"/>
    <col width="13" customWidth="1" style="30" min="5" max="5"/>
    <col width="17" customWidth="1" style="30" min="6" max="6"/>
    <col width="24" customWidth="1" style="30" min="7" max="7"/>
    <col width="20" customWidth="1" style="30" min="8" max="8"/>
    <col width="22" customWidth="1" style="30" min="9" max="9"/>
    <col width="42" customWidth="1" style="30" min="11" max="11"/>
    <col width="18" customWidth="1" style="30" min="12" max="12"/>
  </cols>
  <sheetData>
    <row r="1">
      <c r="A1" s="56" t="inlineStr">
        <is>
          <t>Period t</t>
        </is>
      </c>
      <c r="B1" s="56" t="inlineStr">
        <is>
          <t>Stock Price S_t</t>
        </is>
      </c>
      <c r="C1" s="56" t="inlineStr">
        <is>
          <t>Time to maturity (T-t)</t>
        </is>
      </c>
      <c r="D1" s="56" t="inlineStr">
        <is>
          <t>d1</t>
        </is>
      </c>
      <c r="E1" s="56" t="inlineStr">
        <is>
          <t>Delta = N(d1)</t>
        </is>
      </c>
      <c r="F1" s="56" t="inlineStr">
        <is>
          <t># Stocks held x_t</t>
        </is>
      </c>
      <c r="G1" s="56" t="inlineStr">
        <is>
          <t>S.F. Portfolio Value V_t</t>
        </is>
      </c>
      <c r="H1" s="56" t="inlineStr">
        <is>
          <t>Cash Account $ c_t</t>
        </is>
      </c>
      <c r="I1" s="56" t="inlineStr">
        <is>
          <t>Log-return ln(S_t/S_t-1)</t>
        </is>
      </c>
      <c r="K1" s="57" t="inlineStr">
        <is>
          <t>Parameter</t>
        </is>
      </c>
      <c r="L1" s="57" t="inlineStr">
        <is>
          <t>Value</t>
        </is>
      </c>
    </row>
    <row r="2">
      <c r="A2" t="n">
        <v>0</v>
      </c>
      <c r="B2" s="65">
        <f>StockPricePaths!B2</f>
        <v/>
      </c>
      <c r="C2" s="59">
        <f>$L$3-A2*$L$9</f>
        <v/>
      </c>
      <c r="D2" s="66">
        <f>(LN(B2/$L$6)+($L$5+0.5*$L$4^2)*C2)/($L$4*SQRT(C2))</f>
        <v/>
      </c>
      <c r="E2" s="66">
        <f>NORMSDIST(D2)</f>
        <v/>
      </c>
      <c r="F2" s="61">
        <f>E2*$L$7</f>
        <v/>
      </c>
      <c r="G2" s="61">
        <f>$L$7*(B2*NORMSDIST(D2)-$L$6*EXP(-$L$5*C2)*NORMSDIST(D2-$L$4*SQRT(C2)))</f>
        <v/>
      </c>
      <c r="H2" s="61">
        <f>G2-F2*B2</f>
        <v/>
      </c>
      <c r="K2" t="inlineStr">
        <is>
          <t>Initial stock price S0</t>
        </is>
      </c>
      <c r="L2">
        <f>DemoSheet!$B$2</f>
        <v/>
      </c>
    </row>
    <row r="3">
      <c r="A3">
        <f>A2+1</f>
        <v/>
      </c>
      <c r="B3" s="65">
        <f>StockPricePaths!B3</f>
        <v/>
      </c>
      <c r="C3" s="59">
        <f>$L$3-A3*$L$9</f>
        <v/>
      </c>
      <c r="D3" s="66">
        <f>(LN(B3/$L$6)+($L$5+0.5*$L$4^2)*C3)/($L$4*SQRT(C3))</f>
        <v/>
      </c>
      <c r="E3" s="66">
        <f>NORMSDIST(D3)</f>
        <v/>
      </c>
      <c r="F3" s="61">
        <f>E3*$L$7</f>
        <v/>
      </c>
      <c r="G3" s="61">
        <f>F2*B3+H2*EXP($L$5*$L$9)</f>
        <v/>
      </c>
      <c r="H3" s="61">
        <f>G3-F3*B3</f>
        <v/>
      </c>
      <c r="I3" s="66">
        <f>LN(B3/B2)</f>
        <v/>
      </c>
      <c r="K3" t="inlineStr">
        <is>
          <t>Expiration T (years)</t>
        </is>
      </c>
      <c r="L3">
        <f>DemoSheet!$B$3</f>
        <v/>
      </c>
    </row>
    <row r="4">
      <c r="A4">
        <f>A3+1</f>
        <v/>
      </c>
      <c r="B4" s="65">
        <f>StockPricePaths!B4</f>
        <v/>
      </c>
      <c r="C4" s="59">
        <f>$L$3-A4*$L$9</f>
        <v/>
      </c>
      <c r="D4" s="66">
        <f>(LN(B4/$L$6)+($L$5+0.5*$L$4^2)*C4)/($L$4*SQRT(C4))</f>
        <v/>
      </c>
      <c r="E4" s="66">
        <f>NORMSDIST(D4)</f>
        <v/>
      </c>
      <c r="F4" s="61">
        <f>E4*$L$7</f>
        <v/>
      </c>
      <c r="G4" s="61">
        <f>F3*B4+H3*EXP($L$5*$L$9)</f>
        <v/>
      </c>
      <c r="H4" s="61">
        <f>G4-F4*B4</f>
        <v/>
      </c>
      <c r="I4" s="66">
        <f>LN(B4/B3)</f>
        <v/>
      </c>
      <c r="K4" t="inlineStr">
        <is>
          <t>Implied volatility</t>
        </is>
      </c>
      <c r="L4">
        <f>DemoSheet!$B$4</f>
        <v/>
      </c>
    </row>
    <row r="5">
      <c r="A5">
        <f>A4+1</f>
        <v/>
      </c>
      <c r="B5" s="65">
        <f>StockPricePaths!B5</f>
        <v/>
      </c>
      <c r="C5" s="59">
        <f>$L$3-A5*$L$9</f>
        <v/>
      </c>
      <c r="D5" s="66">
        <f>(LN(B5/$L$6)+($L$5+0.5*$L$4^2)*C5)/($L$4*SQRT(C5))</f>
        <v/>
      </c>
      <c r="E5" s="66">
        <f>NORMSDIST(D5)</f>
        <v/>
      </c>
      <c r="F5" s="61">
        <f>E5*$L$7</f>
        <v/>
      </c>
      <c r="G5" s="61">
        <f>F4*B5+H4*EXP($L$5*$L$9)</f>
        <v/>
      </c>
      <c r="H5" s="61">
        <f>G5-F5*B5</f>
        <v/>
      </c>
      <c r="I5" s="66">
        <f>LN(B5/B4)</f>
        <v/>
      </c>
      <c r="K5" t="inlineStr">
        <is>
          <t>Risk-free rate r</t>
        </is>
      </c>
      <c r="L5">
        <f>DemoSheet!$B$5</f>
        <v/>
      </c>
    </row>
    <row r="6">
      <c r="A6">
        <f>A5+1</f>
        <v/>
      </c>
      <c r="B6" s="65">
        <f>StockPricePaths!B6</f>
        <v/>
      </c>
      <c r="C6" s="59">
        <f>$L$3-A6*$L$9</f>
        <v/>
      </c>
      <c r="D6" s="66">
        <f>(LN(B6/$L$6)+($L$5+0.5*$L$4^2)*C6)/($L$4*SQRT(C6))</f>
        <v/>
      </c>
      <c r="E6" s="66">
        <f>NORMSDIST(D6)</f>
        <v/>
      </c>
      <c r="F6" s="61">
        <f>E6*$L$7</f>
        <v/>
      </c>
      <c r="G6" s="61">
        <f>F5*B6+H5*EXP($L$5*$L$9)</f>
        <v/>
      </c>
      <c r="H6" s="61">
        <f>G6-F6*B6</f>
        <v/>
      </c>
      <c r="I6" s="66">
        <f>LN(B6/B5)</f>
        <v/>
      </c>
      <c r="K6" t="inlineStr">
        <is>
          <t>Strike K</t>
        </is>
      </c>
      <c r="L6">
        <f>DemoSheet!$B$6</f>
        <v/>
      </c>
    </row>
    <row r="7">
      <c r="A7">
        <f>A6+1</f>
        <v/>
      </c>
      <c r="B7" s="65">
        <f>StockPricePaths!B7</f>
        <v/>
      </c>
      <c r="C7" s="59">
        <f>$L$3-A7*$L$9</f>
        <v/>
      </c>
      <c r="D7" s="66">
        <f>(LN(B7/$L$6)+($L$5+0.5*$L$4^2)*C7)/($L$4*SQRT(C7))</f>
        <v/>
      </c>
      <c r="E7" s="66">
        <f>NORMSDIST(D7)</f>
        <v/>
      </c>
      <c r="F7" s="61">
        <f>E7*$L$7</f>
        <v/>
      </c>
      <c r="G7" s="61">
        <f>F6*B7+H6*EXP($L$5*$L$9)</f>
        <v/>
      </c>
      <c r="H7" s="61">
        <f>G7-F7*B7</f>
        <v/>
      </c>
      <c r="I7" s="66">
        <f>LN(B7/B6)</f>
        <v/>
      </c>
      <c r="K7" t="inlineStr">
        <is>
          <t># of options sold</t>
        </is>
      </c>
      <c r="L7">
        <f>DemoSheet!$B$7</f>
        <v/>
      </c>
    </row>
    <row r="8">
      <c r="A8">
        <f>A7+1</f>
        <v/>
      </c>
      <c r="B8" s="65">
        <f>StockPricePaths!B8</f>
        <v/>
      </c>
      <c r="C8" s="59">
        <f>$L$3-A8*$L$9</f>
        <v/>
      </c>
      <c r="D8" s="66">
        <f>(LN(B8/$L$6)+($L$5+0.5*$L$4^2)*C8)/($L$4*SQRT(C8))</f>
        <v/>
      </c>
      <c r="E8" s="66">
        <f>NORMSDIST(D8)</f>
        <v/>
      </c>
      <c r="F8" s="61">
        <f>E8*$L$7</f>
        <v/>
      </c>
      <c r="G8" s="61">
        <f>F7*B8+H7*EXP($L$5*$L$9)</f>
        <v/>
      </c>
      <c r="H8" s="61">
        <f>G8-F8*B8</f>
        <v/>
      </c>
      <c r="I8" s="66">
        <f>LN(B8/B7)</f>
        <v/>
      </c>
      <c r="K8" t="inlineStr">
        <is>
          <t># of hedging periods</t>
        </is>
      </c>
      <c r="L8">
        <f>DemoSheet!$B$8</f>
        <v/>
      </c>
    </row>
    <row r="9">
      <c r="A9">
        <f>A8+1</f>
        <v/>
      </c>
      <c r="B9" s="65">
        <f>StockPricePaths!B9</f>
        <v/>
      </c>
      <c r="C9" s="59">
        <f>$L$3-A9*$L$9</f>
        <v/>
      </c>
      <c r="D9" s="66">
        <f>(LN(B9/$L$6)+($L$5+0.5*$L$4^2)*C9)/($L$4*SQRT(C9))</f>
        <v/>
      </c>
      <c r="E9" s="66">
        <f>NORMSDIST(D9)</f>
        <v/>
      </c>
      <c r="F9" s="61">
        <f>E9*$L$7</f>
        <v/>
      </c>
      <c r="G9" s="61">
        <f>F8*B9+H8*EXP($L$5*$L$9)</f>
        <v/>
      </c>
      <c r="H9" s="61">
        <f>G9-F9*B9</f>
        <v/>
      </c>
      <c r="I9" s="66">
        <f>LN(B9/B8)</f>
        <v/>
      </c>
      <c r="K9" t="inlineStr">
        <is>
          <t>dt = T / # periods</t>
        </is>
      </c>
      <c r="L9">
        <f>L3/L8</f>
        <v/>
      </c>
    </row>
    <row r="10">
      <c r="A10">
        <f>A9+1</f>
        <v/>
      </c>
      <c r="B10" s="65">
        <f>StockPricePaths!B10</f>
        <v/>
      </c>
      <c r="C10" s="59">
        <f>$L$3-A10*$L$9</f>
        <v/>
      </c>
      <c r="D10" s="66">
        <f>(LN(B10/$L$6)+($L$5+0.5*$L$4^2)*C10)/($L$4*SQRT(C10))</f>
        <v/>
      </c>
      <c r="E10" s="66">
        <f>NORMSDIST(D10)</f>
        <v/>
      </c>
      <c r="F10" s="61">
        <f>E10*$L$7</f>
        <v/>
      </c>
      <c r="G10" s="61">
        <f>F9*B10+H9*EXP($L$5*$L$9)</f>
        <v/>
      </c>
      <c r="H10" s="61">
        <f>G10-F10*B10</f>
        <v/>
      </c>
      <c r="I10" s="66">
        <f>LN(B10/B9)</f>
        <v/>
      </c>
    </row>
    <row r="11">
      <c r="A11">
        <f>A10+1</f>
        <v/>
      </c>
      <c r="B11" s="65">
        <f>StockPricePaths!B11</f>
        <v/>
      </c>
      <c r="C11" s="59">
        <f>$L$3-A11*$L$9</f>
        <v/>
      </c>
      <c r="D11" s="66">
        <f>(LN(B11/$L$6)+($L$5+0.5*$L$4^2)*C11)/($L$4*SQRT(C11))</f>
        <v/>
      </c>
      <c r="E11" s="66">
        <f>NORMSDIST(D11)</f>
        <v/>
      </c>
      <c r="F11" s="61">
        <f>E11*$L$7</f>
        <v/>
      </c>
      <c r="G11" s="61">
        <f>F10*B11+H10*EXP($L$5*$L$9)</f>
        <v/>
      </c>
      <c r="H11" s="61">
        <f>G11-F11*B11</f>
        <v/>
      </c>
      <c r="I11" s="66">
        <f>LN(B11/B10)</f>
        <v/>
      </c>
      <c r="K11" s="40" t="inlineStr">
        <is>
          <t>RESULTS</t>
        </is>
      </c>
    </row>
    <row r="12">
      <c r="A12">
        <f>A11+1</f>
        <v/>
      </c>
      <c r="B12" s="65">
        <f>StockPricePaths!B12</f>
        <v/>
      </c>
      <c r="C12" s="59">
        <f>$L$3-A12*$L$9</f>
        <v/>
      </c>
      <c r="D12" s="66">
        <f>(LN(B12/$L$6)+($L$5+0.5*$L$4^2)*C12)/($L$4*SQRT(C12))</f>
        <v/>
      </c>
      <c r="E12" s="66">
        <f>NORMSDIST(D12)</f>
        <v/>
      </c>
      <c r="F12" s="61">
        <f>E12*$L$7</f>
        <v/>
      </c>
      <c r="G12" s="61">
        <f>F11*B12+H11*EXP($L$5*$L$9)</f>
        <v/>
      </c>
      <c r="H12" s="61">
        <f>G12-F12*B12</f>
        <v/>
      </c>
      <c r="I12" s="66">
        <f>LN(B12/B11)</f>
        <v/>
      </c>
      <c r="K12" s="62" t="inlineStr">
        <is>
          <t>Mean log-return (annualized)</t>
        </is>
      </c>
      <c r="L12" s="59">
        <f>AVERAGE(I3:I52)/$L$9</f>
        <v/>
      </c>
    </row>
    <row r="13">
      <c r="A13">
        <f>A12+1</f>
        <v/>
      </c>
      <c r="B13" s="65">
        <f>StockPricePaths!B13</f>
        <v/>
      </c>
      <c r="C13" s="59">
        <f>$L$3-A13*$L$9</f>
        <v/>
      </c>
      <c r="D13" s="66">
        <f>(LN(B13/$L$6)+($L$5+0.5*$L$4^2)*C13)/($L$4*SQRT(C13))</f>
        <v/>
      </c>
      <c r="E13" s="66">
        <f>NORMSDIST(D13)</f>
        <v/>
      </c>
      <c r="F13" s="61">
        <f>E13*$L$7</f>
        <v/>
      </c>
      <c r="G13" s="61">
        <f>F12*B13+H12*EXP($L$5*$L$9)</f>
        <v/>
      </c>
      <c r="H13" s="61">
        <f>G13-F13*B13</f>
        <v/>
      </c>
      <c r="I13" s="66">
        <f>LN(B13/B12)</f>
        <v/>
      </c>
      <c r="K13" s="62" t="inlineStr">
        <is>
          <t>Realized volatility (annualized)</t>
        </is>
      </c>
      <c r="L13" s="66">
        <f>STDEV(I3:I52)/SQRT($L$9)</f>
        <v/>
      </c>
    </row>
    <row r="14">
      <c r="A14">
        <f>A13+1</f>
        <v/>
      </c>
      <c r="B14" s="65">
        <f>StockPricePaths!B14</f>
        <v/>
      </c>
      <c r="C14" s="59">
        <f>$L$3-A14*$L$9</f>
        <v/>
      </c>
      <c r="D14" s="66">
        <f>(LN(B14/$L$6)+($L$5+0.5*$L$4^2)*C14)/($L$4*SQRT(C14))</f>
        <v/>
      </c>
      <c r="E14" s="66">
        <f>NORMSDIST(D14)</f>
        <v/>
      </c>
      <c r="F14" s="61">
        <f>E14*$L$7</f>
        <v/>
      </c>
      <c r="G14" s="61">
        <f>F13*B14+H13*EXP($L$5*$L$9)</f>
        <v/>
      </c>
      <c r="H14" s="61">
        <f>G14-F14*B14</f>
        <v/>
      </c>
      <c r="I14" s="66">
        <f>LN(B14/B13)</f>
        <v/>
      </c>
      <c r="K14" s="62" t="inlineStr">
        <is>
          <t>ANSWER - realized vol in %, 2 dp</t>
        </is>
      </c>
      <c r="L14" s="43">
        <f>ROUND(L13*100,2)</f>
        <v/>
      </c>
    </row>
    <row r="15">
      <c r="A15">
        <f>A14+1</f>
        <v/>
      </c>
      <c r="B15" s="65">
        <f>StockPricePaths!B15</f>
        <v/>
      </c>
      <c r="C15" s="59">
        <f>$L$3-A15*$L$9</f>
        <v/>
      </c>
      <c r="D15" s="66">
        <f>(LN(B15/$L$6)+($L$5+0.5*$L$4^2)*C15)/($L$4*SQRT(C15))</f>
        <v/>
      </c>
      <c r="E15" s="66">
        <f>NORMSDIST(D15)</f>
        <v/>
      </c>
      <c r="F15" s="61">
        <f>E15*$L$7</f>
        <v/>
      </c>
      <c r="G15" s="61">
        <f>F14*B15+H14*EXP($L$5*$L$9)</f>
        <v/>
      </c>
      <c r="H15" s="61">
        <f>G15-F15*B15</f>
        <v/>
      </c>
      <c r="I15" s="66">
        <f>LN(B15/B14)</f>
        <v/>
      </c>
      <c r="K15" s="62" t="inlineStr">
        <is>
          <t>Terminal stock price S_T</t>
        </is>
      </c>
      <c r="L15" s="65">
        <f>B52</f>
        <v/>
      </c>
    </row>
    <row r="16">
      <c r="A16">
        <f>A15+1</f>
        <v/>
      </c>
      <c r="B16" s="65">
        <f>StockPricePaths!B16</f>
        <v/>
      </c>
      <c r="C16" s="59">
        <f>$L$3-A16*$L$9</f>
        <v/>
      </c>
      <c r="D16" s="66">
        <f>(LN(B16/$L$6)+($L$5+0.5*$L$4^2)*C16)/($L$4*SQRT(C16))</f>
        <v/>
      </c>
      <c r="E16" s="66">
        <f>NORMSDIST(D16)</f>
        <v/>
      </c>
      <c r="F16" s="61">
        <f>E16*$L$7</f>
        <v/>
      </c>
      <c r="G16" s="61">
        <f>F15*B16+H15*EXP($L$5*$L$9)</f>
        <v/>
      </c>
      <c r="H16" s="61">
        <f>G16-F16*B16</f>
        <v/>
      </c>
      <c r="I16" s="66">
        <f>LN(B16/B15)</f>
        <v/>
      </c>
      <c r="K16" s="62" t="inlineStr">
        <is>
          <t>Option payoff = # options x MAX(S_T-K,0)</t>
        </is>
      </c>
      <c r="L16" s="61">
        <f>MAX(L15-$L$6,0)*$L$7</f>
        <v/>
      </c>
    </row>
    <row r="17">
      <c r="A17">
        <f>A16+1</f>
        <v/>
      </c>
      <c r="B17" s="65">
        <f>StockPricePaths!B17</f>
        <v/>
      </c>
      <c r="C17" s="59">
        <f>$L$3-A17*$L$9</f>
        <v/>
      </c>
      <c r="D17" s="66">
        <f>(LN(B17/$L$6)+($L$5+0.5*$L$4^2)*C17)/($L$4*SQRT(C17))</f>
        <v/>
      </c>
      <c r="E17" s="66">
        <f>NORMSDIST(D17)</f>
        <v/>
      </c>
      <c r="F17" s="61">
        <f>E17*$L$7</f>
        <v/>
      </c>
      <c r="G17" s="61">
        <f>F16*B17+H16*EXP($L$5*$L$9)</f>
        <v/>
      </c>
      <c r="H17" s="61">
        <f>G17-F17*B17</f>
        <v/>
      </c>
      <c r="I17" s="66">
        <f>LN(B17/B16)</f>
        <v/>
      </c>
      <c r="K17" s="62" t="inlineStr">
        <is>
          <t>Final self-financing portfolio V_T</t>
        </is>
      </c>
      <c r="L17" s="61">
        <f>G52</f>
        <v/>
      </c>
    </row>
    <row r="18">
      <c r="A18">
        <f>A17+1</f>
        <v/>
      </c>
      <c r="B18" s="65">
        <f>StockPricePaths!B18</f>
        <v/>
      </c>
      <c r="C18" s="59">
        <f>$L$3-A18*$L$9</f>
        <v/>
      </c>
      <c r="D18" s="66">
        <f>(LN(B18/$L$6)+($L$5+0.5*$L$4^2)*C18)/($L$4*SQRT(C18))</f>
        <v/>
      </c>
      <c r="E18" s="66">
        <f>NORMSDIST(D18)</f>
        <v/>
      </c>
      <c r="F18" s="61">
        <f>E18*$L$7</f>
        <v/>
      </c>
      <c r="G18" s="61">
        <f>F17*B18+H17*EXP($L$5*$L$9)</f>
        <v/>
      </c>
      <c r="H18" s="61">
        <f>G18-F18*B18</f>
        <v/>
      </c>
      <c r="I18" s="66">
        <f>LN(B18/B17)</f>
        <v/>
      </c>
      <c r="K18" s="62" t="inlineStr">
        <is>
          <t>Total hedging P&amp;L = V_T - payoff</t>
        </is>
      </c>
      <c r="L18" s="61">
        <f>L17-L16</f>
        <v/>
      </c>
    </row>
    <row r="19">
      <c r="A19">
        <f>A18+1</f>
        <v/>
      </c>
      <c r="B19" s="65">
        <f>StockPricePaths!B19</f>
        <v/>
      </c>
      <c r="C19" s="59">
        <f>$L$3-A19*$L$9</f>
        <v/>
      </c>
      <c r="D19" s="66">
        <f>(LN(B19/$L$6)+($L$5+0.5*$L$4^2)*C19)/($L$4*SQRT(C19))</f>
        <v/>
      </c>
      <c r="E19" s="66">
        <f>NORMSDIST(D19)</f>
        <v/>
      </c>
      <c r="F19" s="61">
        <f>E19*$L$7</f>
        <v/>
      </c>
      <c r="G19" s="61">
        <f>F18*B19+H18*EXP($L$5*$L$9)</f>
        <v/>
      </c>
      <c r="H19" s="61">
        <f>G19-F19*B19</f>
        <v/>
      </c>
      <c r="I19" s="66">
        <f>LN(B19/B18)</f>
        <v/>
      </c>
      <c r="K19" s="62" t="inlineStr">
        <is>
          <t>ANSWER - P&amp;L to nearest integer</t>
        </is>
      </c>
      <c r="L19" s="44">
        <f>ROUND(L18,0)</f>
        <v/>
      </c>
    </row>
    <row r="20">
      <c r="A20">
        <f>A19+1</f>
        <v/>
      </c>
      <c r="B20" s="65">
        <f>StockPricePaths!B20</f>
        <v/>
      </c>
      <c r="C20" s="59">
        <f>$L$3-A20*$L$9</f>
        <v/>
      </c>
      <c r="D20" s="66">
        <f>(LN(B20/$L$6)+($L$5+0.5*$L$4^2)*C20)/($L$4*SQRT(C20))</f>
        <v/>
      </c>
      <c r="E20" s="66">
        <f>NORMSDIST(D20)</f>
        <v/>
      </c>
      <c r="F20" s="61">
        <f>E20*$L$7</f>
        <v/>
      </c>
      <c r="G20" s="61">
        <f>F19*B20+H19*EXP($L$5*$L$9)</f>
        <v/>
      </c>
      <c r="H20" s="61">
        <f>G20-F20*B20</f>
        <v/>
      </c>
      <c r="I20" s="66">
        <f>LN(B20/B19)</f>
        <v/>
      </c>
    </row>
    <row r="21">
      <c r="A21">
        <f>A20+1</f>
        <v/>
      </c>
      <c r="B21" s="65">
        <f>StockPricePaths!B21</f>
        <v/>
      </c>
      <c r="C21" s="59">
        <f>$L$3-A21*$L$9</f>
        <v/>
      </c>
      <c r="D21" s="66">
        <f>(LN(B21/$L$6)+($L$5+0.5*$L$4^2)*C21)/($L$4*SQRT(C21))</f>
        <v/>
      </c>
      <c r="E21" s="66">
        <f>NORMSDIST(D21)</f>
        <v/>
      </c>
      <c r="F21" s="61">
        <f>E21*$L$7</f>
        <v/>
      </c>
      <c r="G21" s="61">
        <f>F20*B21+H20*EXP($L$5*$L$9)</f>
        <v/>
      </c>
      <c r="H21" s="61">
        <f>G21-F21*B21</f>
        <v/>
      </c>
      <c r="I21" s="66">
        <f>LN(B21/B20)</f>
        <v/>
      </c>
      <c r="K21" s="57" t="inlineStr">
        <is>
          <t>Prices are linked to StockPricePaths!B. Every other column is a live formula:</t>
        </is>
      </c>
    </row>
    <row r="22">
      <c r="A22">
        <f>A21+1</f>
        <v/>
      </c>
      <c r="B22" s="65">
        <f>StockPricePaths!B22</f>
        <v/>
      </c>
      <c r="C22" s="59">
        <f>$L$3-A22*$L$9</f>
        <v/>
      </c>
      <c r="D22" s="66">
        <f>(LN(B22/$L$6)+($L$5+0.5*$L$4^2)*C22)/($L$4*SQRT(C22))</f>
        <v/>
      </c>
      <c r="E22" s="66">
        <f>NORMSDIST(D22)</f>
        <v/>
      </c>
      <c r="F22" s="61">
        <f>E22*$L$7</f>
        <v/>
      </c>
      <c r="G22" s="61">
        <f>F21*B22+H21*EXP($L$5*$L$9)</f>
        <v/>
      </c>
      <c r="H22" s="61">
        <f>G22-F22*B22</f>
        <v/>
      </c>
      <c r="I22" s="66">
        <f>LN(B22/B21)</f>
        <v/>
      </c>
      <c r="K22" t="inlineStr">
        <is>
          <t>A  Period t = 0..50.</t>
        </is>
      </c>
    </row>
    <row r="23">
      <c r="A23">
        <f>A22+1</f>
        <v/>
      </c>
      <c r="B23" s="65">
        <f>StockPricePaths!B23</f>
        <v/>
      </c>
      <c r="C23" s="59">
        <f>$L$3-A23*$L$9</f>
        <v/>
      </c>
      <c r="D23" s="66">
        <f>(LN(B23/$L$6)+($L$5+0.5*$L$4^2)*C23)/($L$4*SQRT(C23))</f>
        <v/>
      </c>
      <c r="E23" s="66">
        <f>NORMSDIST(D23)</f>
        <v/>
      </c>
      <c r="F23" s="61">
        <f>E23*$L$7</f>
        <v/>
      </c>
      <c r="G23" s="61">
        <f>F22*B23+H22*EXP($L$5*$L$9)</f>
        <v/>
      </c>
      <c r="H23" s="61">
        <f>G23-F23*B23</f>
        <v/>
      </c>
      <c r="I23" s="66">
        <f>LN(B23/B22)</f>
        <v/>
      </c>
      <c r="K23" t="inlineStr">
        <is>
          <t>B  Stock price, linked to the price path (this is the only input).</t>
        </is>
      </c>
    </row>
    <row r="24">
      <c r="A24">
        <f>A23+1</f>
        <v/>
      </c>
      <c r="B24" s="65">
        <f>StockPricePaths!B24</f>
        <v/>
      </c>
      <c r="C24" s="59">
        <f>$L$3-A24*$L$9</f>
        <v/>
      </c>
      <c r="D24" s="66">
        <f>(LN(B24/$L$6)+($L$5+0.5*$L$4^2)*C24)/($L$4*SQRT(C24))</f>
        <v/>
      </c>
      <c r="E24" s="66">
        <f>NORMSDIST(D24)</f>
        <v/>
      </c>
      <c r="F24" s="61">
        <f>E24*$L$7</f>
        <v/>
      </c>
      <c r="G24" s="61">
        <f>F23*B24+H23*EXP($L$5*$L$9)</f>
        <v/>
      </c>
      <c r="H24" s="61">
        <f>G24-F24*B24</f>
        <v/>
      </c>
      <c r="I24" s="66">
        <f>LN(B24/B23)</f>
        <v/>
      </c>
      <c r="K24" t="inlineStr">
        <is>
          <t>C  Time to maturity tau = T - t*dt, dt = T/50 = 0.005 years.</t>
        </is>
      </c>
    </row>
    <row r="25">
      <c r="A25">
        <f>A24+1</f>
        <v/>
      </c>
      <c r="B25" s="65">
        <f>StockPricePaths!B25</f>
        <v/>
      </c>
      <c r="C25" s="59">
        <f>$L$3-A25*$L$9</f>
        <v/>
      </c>
      <c r="D25" s="66">
        <f>(LN(B25/$L$6)+($L$5+0.5*$L$4^2)*C25)/($L$4*SQRT(C25))</f>
        <v/>
      </c>
      <c r="E25" s="66">
        <f>NORMSDIST(D25)</f>
        <v/>
      </c>
      <c r="F25" s="61">
        <f>E25*$L$7</f>
        <v/>
      </c>
      <c r="G25" s="61">
        <f>F24*B25+H24*EXP($L$5*$L$9)</f>
        <v/>
      </c>
      <c r="H25" s="61">
        <f>G25-F25*B25</f>
        <v/>
      </c>
      <c r="I25" s="66">
        <f>LN(B25/B24)</f>
        <v/>
      </c>
      <c r="K25" t="inlineStr">
        <is>
          <t>D  d1 = (LN(S/K) + (r + 0.5*sigma^2)*tau) / (sigma*SQRT(tau)), sigma = IMPLIED vol 30%.</t>
        </is>
      </c>
    </row>
    <row r="26">
      <c r="A26">
        <f>A25+1</f>
        <v/>
      </c>
      <c r="B26" s="65">
        <f>StockPricePaths!B26</f>
        <v/>
      </c>
      <c r="C26" s="59">
        <f>$L$3-A26*$L$9</f>
        <v/>
      </c>
      <c r="D26" s="66">
        <f>(LN(B26/$L$6)+($L$5+0.5*$L$4^2)*C26)/($L$4*SQRT(C26))</f>
        <v/>
      </c>
      <c r="E26" s="66">
        <f>NORMSDIST(D26)</f>
        <v/>
      </c>
      <c r="F26" s="61">
        <f>E26*$L$7</f>
        <v/>
      </c>
      <c r="G26" s="61">
        <f>F25*B26+H25*EXP($L$5*$L$9)</f>
        <v/>
      </c>
      <c r="H26" s="61">
        <f>G26-F26*B26</f>
        <v/>
      </c>
      <c r="I26" s="66">
        <f>LN(B26/B25)</f>
        <v/>
      </c>
      <c r="K26" t="inlineStr">
        <is>
          <t>E  Delta = N(d1) = NORMSDIST(d1): shares to hold per option.</t>
        </is>
      </c>
    </row>
    <row r="27">
      <c r="A27">
        <f>A26+1</f>
        <v/>
      </c>
      <c r="B27" s="65">
        <f>StockPricePaths!B27</f>
        <v/>
      </c>
      <c r="C27" s="59">
        <f>$L$3-A27*$L$9</f>
        <v/>
      </c>
      <c r="D27" s="66">
        <f>(LN(B27/$L$6)+($L$5+0.5*$L$4^2)*C27)/($L$4*SQRT(C27))</f>
        <v/>
      </c>
      <c r="E27" s="66">
        <f>NORMSDIST(D27)</f>
        <v/>
      </c>
      <c r="F27" s="61">
        <f>E27*$L$7</f>
        <v/>
      </c>
      <c r="G27" s="61">
        <f>F26*B27+H26*EXP($L$5*$L$9)</f>
        <v/>
      </c>
      <c r="H27" s="61">
        <f>G27-F27*B27</f>
        <v/>
      </c>
      <c r="I27" s="66">
        <f>LN(B27/B26)</f>
        <v/>
      </c>
      <c r="K27" t="inlineStr">
        <is>
          <t>F  # stocks held x_t = Delta * 100,000 options.</t>
        </is>
      </c>
    </row>
    <row r="28">
      <c r="A28">
        <f>A27+1</f>
        <v/>
      </c>
      <c r="B28" s="65">
        <f>StockPricePaths!B28</f>
        <v/>
      </c>
      <c r="C28" s="59">
        <f>$L$3-A28*$L$9</f>
        <v/>
      </c>
      <c r="D28" s="66">
        <f>(LN(B28/$L$6)+($L$5+0.5*$L$4^2)*C28)/($L$4*SQRT(C28))</f>
        <v/>
      </c>
      <c r="E28" s="66">
        <f>NORMSDIST(D28)</f>
        <v/>
      </c>
      <c r="F28" s="61">
        <f>E28*$L$7</f>
        <v/>
      </c>
      <c r="G28" s="61">
        <f>F27*B28+H27*EXP($L$5*$L$9)</f>
        <v/>
      </c>
      <c r="H28" s="61">
        <f>G28-F28*B28</f>
        <v/>
      </c>
      <c r="I28" s="66">
        <f>LN(B28/B27)</f>
        <v/>
      </c>
      <c r="K28" t="inlineStr">
        <is>
          <t>G  Self-financing portfolio. Row 2 = Black-Scholes premium received;</t>
        </is>
      </c>
    </row>
    <row r="29">
      <c r="A29">
        <f>A28+1</f>
        <v/>
      </c>
      <c r="B29" s="65">
        <f>StockPricePaths!B29</f>
        <v/>
      </c>
      <c r="C29" s="59">
        <f>$L$3-A29*$L$9</f>
        <v/>
      </c>
      <c r="D29" s="66">
        <f>(LN(B29/$L$6)+($L$5+0.5*$L$4^2)*C29)/($L$4*SQRT(C29))</f>
        <v/>
      </c>
      <c r="E29" s="66">
        <f>NORMSDIST(D29)</f>
        <v/>
      </c>
      <c r="F29" s="61">
        <f>E29*$L$7</f>
        <v/>
      </c>
      <c r="G29" s="61">
        <f>F28*B29+H28*EXP($L$5*$L$9)</f>
        <v/>
      </c>
      <c r="H29" s="61">
        <f>G29-F29*B29</f>
        <v/>
      </c>
      <c r="I29" s="66">
        <f>LN(B29/B28)</f>
        <v/>
      </c>
      <c r="K29" t="inlineStr">
        <is>
          <t xml:space="preserve">   afterwards V_t+1 = x_t*S_t+1 + c_t*EXP(r*dt)  (no cash added or withdrawn).</t>
        </is>
      </c>
    </row>
    <row r="30">
      <c r="A30">
        <f>A29+1</f>
        <v/>
      </c>
      <c r="B30" s="65">
        <f>StockPricePaths!B30</f>
        <v/>
      </c>
      <c r="C30" s="59">
        <f>$L$3-A30*$L$9</f>
        <v/>
      </c>
      <c r="D30" s="66">
        <f>(LN(B30/$L$6)+($L$5+0.5*$L$4^2)*C30)/($L$4*SQRT(C30))</f>
        <v/>
      </c>
      <c r="E30" s="66">
        <f>NORMSDIST(D30)</f>
        <v/>
      </c>
      <c r="F30" s="61">
        <f>E30*$L$7</f>
        <v/>
      </c>
      <c r="G30" s="61">
        <f>F29*B30+H29*EXP($L$5*$L$9)</f>
        <v/>
      </c>
      <c r="H30" s="61">
        <f>G30-F30*B30</f>
        <v/>
      </c>
      <c r="I30" s="66">
        <f>LN(B30/B29)</f>
        <v/>
      </c>
      <c r="K30" t="inlineStr">
        <is>
          <t>H  Cash account c_t = V_t - x_t*S_t (negative: we borrow to buy the hedge).</t>
        </is>
      </c>
    </row>
    <row r="31">
      <c r="A31">
        <f>A30+1</f>
        <v/>
      </c>
      <c r="B31" s="65">
        <f>StockPricePaths!B31</f>
        <v/>
      </c>
      <c r="C31" s="59">
        <f>$L$3-A31*$L$9</f>
        <v/>
      </c>
      <c r="D31" s="66">
        <f>(LN(B31/$L$6)+($L$5+0.5*$L$4^2)*C31)/($L$4*SQRT(C31))</f>
        <v/>
      </c>
      <c r="E31" s="66">
        <f>NORMSDIST(D31)</f>
        <v/>
      </c>
      <c r="F31" s="61">
        <f>E31*$L$7</f>
        <v/>
      </c>
      <c r="G31" s="61">
        <f>F30*B31+H30*EXP($L$5*$L$9)</f>
        <v/>
      </c>
      <c r="H31" s="61">
        <f>G31-F31*B31</f>
        <v/>
      </c>
      <c r="I31" s="66">
        <f>LN(B31/B30)</f>
        <v/>
      </c>
      <c r="K31" t="inlineStr">
        <is>
          <t>I  Log-returns used for the realized-volatility answer.</t>
        </is>
      </c>
    </row>
    <row r="32">
      <c r="A32">
        <f>A31+1</f>
        <v/>
      </c>
      <c r="B32" s="65">
        <f>StockPricePaths!B32</f>
        <v/>
      </c>
      <c r="C32" s="59">
        <f>$L$3-A32*$L$9</f>
        <v/>
      </c>
      <c r="D32" s="66">
        <f>(LN(B32/$L$6)+($L$5+0.5*$L$4^2)*C32)/($L$4*SQRT(C32))</f>
        <v/>
      </c>
      <c r="E32" s="66">
        <f>NORMSDIST(D32)</f>
        <v/>
      </c>
      <c r="F32" s="61">
        <f>E32*$L$7</f>
        <v/>
      </c>
      <c r="G32" s="61">
        <f>F31*B32+H31*EXP($L$5*$L$9)</f>
        <v/>
      </c>
      <c r="H32" s="61">
        <f>G32-F32*B32</f>
        <v/>
      </c>
      <c r="I32" s="66">
        <f>LN(B32/B31)</f>
        <v/>
      </c>
    </row>
    <row r="33">
      <c r="A33">
        <f>A32+1</f>
        <v/>
      </c>
      <c r="B33" s="65">
        <f>StockPricePaths!B33</f>
        <v/>
      </c>
      <c r="C33" s="59">
        <f>$L$3-A33*$L$9</f>
        <v/>
      </c>
      <c r="D33" s="66">
        <f>(LN(B33/$L$6)+($L$5+0.5*$L$4^2)*C33)/($L$4*SQRT(C33))</f>
        <v/>
      </c>
      <c r="E33" s="66">
        <f>NORMSDIST(D33)</f>
        <v/>
      </c>
      <c r="F33" s="61">
        <f>E33*$L$7</f>
        <v/>
      </c>
      <c r="G33" s="61">
        <f>F32*B33+H32*EXP($L$5*$L$9)</f>
        <v/>
      </c>
      <c r="H33" s="61">
        <f>G33-F33*B33</f>
        <v/>
      </c>
      <c r="I33" s="66">
        <f>LN(B33/B32)</f>
        <v/>
      </c>
    </row>
    <row r="34">
      <c r="A34">
        <f>A33+1</f>
        <v/>
      </c>
      <c r="B34" s="65">
        <f>StockPricePaths!B34</f>
        <v/>
      </c>
      <c r="C34" s="59">
        <f>$L$3-A34*$L$9</f>
        <v/>
      </c>
      <c r="D34" s="66">
        <f>(LN(B34/$L$6)+($L$5+0.5*$L$4^2)*C34)/($L$4*SQRT(C34))</f>
        <v/>
      </c>
      <c r="E34" s="66">
        <f>NORMSDIST(D34)</f>
        <v/>
      </c>
      <c r="F34" s="61">
        <f>E34*$L$7</f>
        <v/>
      </c>
      <c r="G34" s="61">
        <f>F33*B34+H33*EXP($L$5*$L$9)</f>
        <v/>
      </c>
      <c r="H34" s="61">
        <f>G34-F34*B34</f>
        <v/>
      </c>
      <c r="I34" s="66">
        <f>LN(B34/B33)</f>
        <v/>
      </c>
    </row>
    <row r="35">
      <c r="A35">
        <f>A34+1</f>
        <v/>
      </c>
      <c r="B35" s="65">
        <f>StockPricePaths!B35</f>
        <v/>
      </c>
      <c r="C35" s="59">
        <f>$L$3-A35*$L$9</f>
        <v/>
      </c>
      <c r="D35" s="66">
        <f>(LN(B35/$L$6)+($L$5+0.5*$L$4^2)*C35)/($L$4*SQRT(C35))</f>
        <v/>
      </c>
      <c r="E35" s="66">
        <f>NORMSDIST(D35)</f>
        <v/>
      </c>
      <c r="F35" s="61">
        <f>E35*$L$7</f>
        <v/>
      </c>
      <c r="G35" s="61">
        <f>F34*B35+H34*EXP($L$5*$L$9)</f>
        <v/>
      </c>
      <c r="H35" s="61">
        <f>G35-F35*B35</f>
        <v/>
      </c>
      <c r="I35" s="66">
        <f>LN(B35/B34)</f>
        <v/>
      </c>
    </row>
    <row r="36">
      <c r="A36">
        <f>A35+1</f>
        <v/>
      </c>
      <c r="B36" s="65">
        <f>StockPricePaths!B36</f>
        <v/>
      </c>
      <c r="C36" s="59">
        <f>$L$3-A36*$L$9</f>
        <v/>
      </c>
      <c r="D36" s="66">
        <f>(LN(B36/$L$6)+($L$5+0.5*$L$4^2)*C36)/($L$4*SQRT(C36))</f>
        <v/>
      </c>
      <c r="E36" s="66">
        <f>NORMSDIST(D36)</f>
        <v/>
      </c>
      <c r="F36" s="61">
        <f>E36*$L$7</f>
        <v/>
      </c>
      <c r="G36" s="61">
        <f>F35*B36+H35*EXP($L$5*$L$9)</f>
        <v/>
      </c>
      <c r="H36" s="61">
        <f>G36-F36*B36</f>
        <v/>
      </c>
      <c r="I36" s="66">
        <f>LN(B36/B35)</f>
        <v/>
      </c>
    </row>
    <row r="37">
      <c r="A37">
        <f>A36+1</f>
        <v/>
      </c>
      <c r="B37" s="65">
        <f>StockPricePaths!B37</f>
        <v/>
      </c>
      <c r="C37" s="59">
        <f>$L$3-A37*$L$9</f>
        <v/>
      </c>
      <c r="D37" s="66">
        <f>(LN(B37/$L$6)+($L$5+0.5*$L$4^2)*C37)/($L$4*SQRT(C37))</f>
        <v/>
      </c>
      <c r="E37" s="66">
        <f>NORMSDIST(D37)</f>
        <v/>
      </c>
      <c r="F37" s="61">
        <f>E37*$L$7</f>
        <v/>
      </c>
      <c r="G37" s="61">
        <f>F36*B37+H36*EXP($L$5*$L$9)</f>
        <v/>
      </c>
      <c r="H37" s="61">
        <f>G37-F37*B37</f>
        <v/>
      </c>
      <c r="I37" s="66">
        <f>LN(B37/B36)</f>
        <v/>
      </c>
    </row>
    <row r="38">
      <c r="A38">
        <f>A37+1</f>
        <v/>
      </c>
      <c r="B38" s="65">
        <f>StockPricePaths!B38</f>
        <v/>
      </c>
      <c r="C38" s="59">
        <f>$L$3-A38*$L$9</f>
        <v/>
      </c>
      <c r="D38" s="66">
        <f>(LN(B38/$L$6)+($L$5+0.5*$L$4^2)*C38)/($L$4*SQRT(C38))</f>
        <v/>
      </c>
      <c r="E38" s="66">
        <f>NORMSDIST(D38)</f>
        <v/>
      </c>
      <c r="F38" s="61">
        <f>E38*$L$7</f>
        <v/>
      </c>
      <c r="G38" s="61">
        <f>F37*B38+H37*EXP($L$5*$L$9)</f>
        <v/>
      </c>
      <c r="H38" s="61">
        <f>G38-F38*B38</f>
        <v/>
      </c>
      <c r="I38" s="66">
        <f>LN(B38/B37)</f>
        <v/>
      </c>
    </row>
    <row r="39">
      <c r="A39">
        <f>A38+1</f>
        <v/>
      </c>
      <c r="B39" s="65">
        <f>StockPricePaths!B39</f>
        <v/>
      </c>
      <c r="C39" s="59">
        <f>$L$3-A39*$L$9</f>
        <v/>
      </c>
      <c r="D39" s="66">
        <f>(LN(B39/$L$6)+($L$5+0.5*$L$4^2)*C39)/($L$4*SQRT(C39))</f>
        <v/>
      </c>
      <c r="E39" s="66">
        <f>NORMSDIST(D39)</f>
        <v/>
      </c>
      <c r="F39" s="61">
        <f>E39*$L$7</f>
        <v/>
      </c>
      <c r="G39" s="61">
        <f>F38*B39+H38*EXP($L$5*$L$9)</f>
        <v/>
      </c>
      <c r="H39" s="61">
        <f>G39-F39*B39</f>
        <v/>
      </c>
      <c r="I39" s="66">
        <f>LN(B39/B38)</f>
        <v/>
      </c>
    </row>
    <row r="40">
      <c r="A40">
        <f>A39+1</f>
        <v/>
      </c>
      <c r="B40" s="65">
        <f>StockPricePaths!B40</f>
        <v/>
      </c>
      <c r="C40" s="59">
        <f>$L$3-A40*$L$9</f>
        <v/>
      </c>
      <c r="D40" s="66">
        <f>(LN(B40/$L$6)+($L$5+0.5*$L$4^2)*C40)/($L$4*SQRT(C40))</f>
        <v/>
      </c>
      <c r="E40" s="66">
        <f>NORMSDIST(D40)</f>
        <v/>
      </c>
      <c r="F40" s="61">
        <f>E40*$L$7</f>
        <v/>
      </c>
      <c r="G40" s="61">
        <f>F39*B40+H39*EXP($L$5*$L$9)</f>
        <v/>
      </c>
      <c r="H40" s="61">
        <f>G40-F40*B40</f>
        <v/>
      </c>
      <c r="I40" s="66">
        <f>LN(B40/B39)</f>
        <v/>
      </c>
    </row>
    <row r="41">
      <c r="A41">
        <f>A40+1</f>
        <v/>
      </c>
      <c r="B41" s="65">
        <f>StockPricePaths!B41</f>
        <v/>
      </c>
      <c r="C41" s="59">
        <f>$L$3-A41*$L$9</f>
        <v/>
      </c>
      <c r="D41" s="66">
        <f>(LN(B41/$L$6)+($L$5+0.5*$L$4^2)*C41)/($L$4*SQRT(C41))</f>
        <v/>
      </c>
      <c r="E41" s="66">
        <f>NORMSDIST(D41)</f>
        <v/>
      </c>
      <c r="F41" s="61">
        <f>E41*$L$7</f>
        <v/>
      </c>
      <c r="G41" s="61">
        <f>F40*B41+H40*EXP($L$5*$L$9)</f>
        <v/>
      </c>
      <c r="H41" s="61">
        <f>G41-F41*B41</f>
        <v/>
      </c>
      <c r="I41" s="66">
        <f>LN(B41/B40)</f>
        <v/>
      </c>
    </row>
    <row r="42">
      <c r="A42">
        <f>A41+1</f>
        <v/>
      </c>
      <c r="B42" s="65">
        <f>StockPricePaths!B42</f>
        <v/>
      </c>
      <c r="C42" s="59">
        <f>$L$3-A42*$L$9</f>
        <v/>
      </c>
      <c r="D42" s="66">
        <f>(LN(B42/$L$6)+($L$5+0.5*$L$4^2)*C42)/($L$4*SQRT(C42))</f>
        <v/>
      </c>
      <c r="E42" s="66">
        <f>NORMSDIST(D42)</f>
        <v/>
      </c>
      <c r="F42" s="61">
        <f>E42*$L$7</f>
        <v/>
      </c>
      <c r="G42" s="61">
        <f>F41*B42+H41*EXP($L$5*$L$9)</f>
        <v/>
      </c>
      <c r="H42" s="61">
        <f>G42-F42*B42</f>
        <v/>
      </c>
      <c r="I42" s="66">
        <f>LN(B42/B41)</f>
        <v/>
      </c>
    </row>
    <row r="43">
      <c r="A43">
        <f>A42+1</f>
        <v/>
      </c>
      <c r="B43" s="65">
        <f>StockPricePaths!B43</f>
        <v/>
      </c>
      <c r="C43" s="59">
        <f>$L$3-A43*$L$9</f>
        <v/>
      </c>
      <c r="D43" s="66">
        <f>(LN(B43/$L$6)+($L$5+0.5*$L$4^2)*C43)/($L$4*SQRT(C43))</f>
        <v/>
      </c>
      <c r="E43" s="66">
        <f>NORMSDIST(D43)</f>
        <v/>
      </c>
      <c r="F43" s="61">
        <f>E43*$L$7</f>
        <v/>
      </c>
      <c r="G43" s="61">
        <f>F42*B43+H42*EXP($L$5*$L$9)</f>
        <v/>
      </c>
      <c r="H43" s="61">
        <f>G43-F43*B43</f>
        <v/>
      </c>
      <c r="I43" s="66">
        <f>LN(B43/B42)</f>
        <v/>
      </c>
    </row>
    <row r="44">
      <c r="A44">
        <f>A43+1</f>
        <v/>
      </c>
      <c r="B44" s="65">
        <f>StockPricePaths!B44</f>
        <v/>
      </c>
      <c r="C44" s="59">
        <f>$L$3-A44*$L$9</f>
        <v/>
      </c>
      <c r="D44" s="66">
        <f>(LN(B44/$L$6)+($L$5+0.5*$L$4^2)*C44)/($L$4*SQRT(C44))</f>
        <v/>
      </c>
      <c r="E44" s="66">
        <f>NORMSDIST(D44)</f>
        <v/>
      </c>
      <c r="F44" s="61">
        <f>E44*$L$7</f>
        <v/>
      </c>
      <c r="G44" s="61">
        <f>F43*B44+H43*EXP($L$5*$L$9)</f>
        <v/>
      </c>
      <c r="H44" s="61">
        <f>G44-F44*B44</f>
        <v/>
      </c>
      <c r="I44" s="66">
        <f>LN(B44/B43)</f>
        <v/>
      </c>
    </row>
    <row r="45">
      <c r="A45">
        <f>A44+1</f>
        <v/>
      </c>
      <c r="B45" s="65">
        <f>StockPricePaths!B45</f>
        <v/>
      </c>
      <c r="C45" s="59">
        <f>$L$3-A45*$L$9</f>
        <v/>
      </c>
      <c r="D45" s="66">
        <f>(LN(B45/$L$6)+($L$5+0.5*$L$4^2)*C45)/($L$4*SQRT(C45))</f>
        <v/>
      </c>
      <c r="E45" s="66">
        <f>NORMSDIST(D45)</f>
        <v/>
      </c>
      <c r="F45" s="61">
        <f>E45*$L$7</f>
        <v/>
      </c>
      <c r="G45" s="61">
        <f>F44*B45+H44*EXP($L$5*$L$9)</f>
        <v/>
      </c>
      <c r="H45" s="61">
        <f>G45-F45*B45</f>
        <v/>
      </c>
      <c r="I45" s="66">
        <f>LN(B45/B44)</f>
        <v/>
      </c>
    </row>
    <row r="46">
      <c r="A46">
        <f>A45+1</f>
        <v/>
      </c>
      <c r="B46" s="65">
        <f>StockPricePaths!B46</f>
        <v/>
      </c>
      <c r="C46" s="59">
        <f>$L$3-A46*$L$9</f>
        <v/>
      </c>
      <c r="D46" s="66">
        <f>(LN(B46/$L$6)+($L$5+0.5*$L$4^2)*C46)/($L$4*SQRT(C46))</f>
        <v/>
      </c>
      <c r="E46" s="66">
        <f>NORMSDIST(D46)</f>
        <v/>
      </c>
      <c r="F46" s="61">
        <f>E46*$L$7</f>
        <v/>
      </c>
      <c r="G46" s="61">
        <f>F45*B46+H45*EXP($L$5*$L$9)</f>
        <v/>
      </c>
      <c r="H46" s="61">
        <f>G46-F46*B46</f>
        <v/>
      </c>
      <c r="I46" s="66">
        <f>LN(B46/B45)</f>
        <v/>
      </c>
    </row>
    <row r="47">
      <c r="A47">
        <f>A46+1</f>
        <v/>
      </c>
      <c r="B47" s="65">
        <f>StockPricePaths!B47</f>
        <v/>
      </c>
      <c r="C47" s="59">
        <f>$L$3-A47*$L$9</f>
        <v/>
      </c>
      <c r="D47" s="66">
        <f>(LN(B47/$L$6)+($L$5+0.5*$L$4^2)*C47)/($L$4*SQRT(C47))</f>
        <v/>
      </c>
      <c r="E47" s="66">
        <f>NORMSDIST(D47)</f>
        <v/>
      </c>
      <c r="F47" s="61">
        <f>E47*$L$7</f>
        <v/>
      </c>
      <c r="G47" s="61">
        <f>F46*B47+H46*EXP($L$5*$L$9)</f>
        <v/>
      </c>
      <c r="H47" s="61">
        <f>G47-F47*B47</f>
        <v/>
      </c>
      <c r="I47" s="66">
        <f>LN(B47/B46)</f>
        <v/>
      </c>
    </row>
    <row r="48">
      <c r="A48">
        <f>A47+1</f>
        <v/>
      </c>
      <c r="B48" s="65">
        <f>StockPricePaths!B48</f>
        <v/>
      </c>
      <c r="C48" s="59">
        <f>$L$3-A48*$L$9</f>
        <v/>
      </c>
      <c r="D48" s="66">
        <f>(LN(B48/$L$6)+($L$5+0.5*$L$4^2)*C48)/($L$4*SQRT(C48))</f>
        <v/>
      </c>
      <c r="E48" s="66">
        <f>NORMSDIST(D48)</f>
        <v/>
      </c>
      <c r="F48" s="61">
        <f>E48*$L$7</f>
        <v/>
      </c>
      <c r="G48" s="61">
        <f>F47*B48+H47*EXP($L$5*$L$9)</f>
        <v/>
      </c>
      <c r="H48" s="61">
        <f>G48-F48*B48</f>
        <v/>
      </c>
      <c r="I48" s="66">
        <f>LN(B48/B47)</f>
        <v/>
      </c>
    </row>
    <row r="49">
      <c r="A49">
        <f>A48+1</f>
        <v/>
      </c>
      <c r="B49" s="65">
        <f>StockPricePaths!B49</f>
        <v/>
      </c>
      <c r="C49" s="59">
        <f>$L$3-A49*$L$9</f>
        <v/>
      </c>
      <c r="D49" s="66">
        <f>(LN(B49/$L$6)+($L$5+0.5*$L$4^2)*C49)/($L$4*SQRT(C49))</f>
        <v/>
      </c>
      <c r="E49" s="66">
        <f>NORMSDIST(D49)</f>
        <v/>
      </c>
      <c r="F49" s="61">
        <f>E49*$L$7</f>
        <v/>
      </c>
      <c r="G49" s="61">
        <f>F48*B49+H48*EXP($L$5*$L$9)</f>
        <v/>
      </c>
      <c r="H49" s="61">
        <f>G49-F49*B49</f>
        <v/>
      </c>
      <c r="I49" s="66">
        <f>LN(B49/B48)</f>
        <v/>
      </c>
    </row>
    <row r="50">
      <c r="A50">
        <f>A49+1</f>
        <v/>
      </c>
      <c r="B50" s="65">
        <f>StockPricePaths!B50</f>
        <v/>
      </c>
      <c r="C50" s="59">
        <f>$L$3-A50*$L$9</f>
        <v/>
      </c>
      <c r="D50" s="66">
        <f>(LN(B50/$L$6)+($L$5+0.5*$L$4^2)*C50)/($L$4*SQRT(C50))</f>
        <v/>
      </c>
      <c r="E50" s="66">
        <f>NORMSDIST(D50)</f>
        <v/>
      </c>
      <c r="F50" s="61">
        <f>E50*$L$7</f>
        <v/>
      </c>
      <c r="G50" s="61">
        <f>F49*B50+H49*EXP($L$5*$L$9)</f>
        <v/>
      </c>
      <c r="H50" s="61">
        <f>G50-F50*B50</f>
        <v/>
      </c>
      <c r="I50" s="66">
        <f>LN(B50/B49)</f>
        <v/>
      </c>
    </row>
    <row r="51">
      <c r="A51">
        <f>A50+1</f>
        <v/>
      </c>
      <c r="B51" s="65">
        <f>StockPricePaths!B51</f>
        <v/>
      </c>
      <c r="C51" s="59">
        <f>$L$3-A51*$L$9</f>
        <v/>
      </c>
      <c r="D51" s="66">
        <f>(LN(B51/$L$6)+($L$5+0.5*$L$4^2)*C51)/($L$4*SQRT(C51))</f>
        <v/>
      </c>
      <c r="E51" s="66">
        <f>NORMSDIST(D51)</f>
        <v/>
      </c>
      <c r="F51" s="61">
        <f>E51*$L$7</f>
        <v/>
      </c>
      <c r="G51" s="61">
        <f>F50*B51+H50*EXP($L$5*$L$9)</f>
        <v/>
      </c>
      <c r="H51" s="61">
        <f>G51-F51*B51</f>
        <v/>
      </c>
      <c r="I51" s="66">
        <f>LN(B51/B50)</f>
        <v/>
      </c>
    </row>
    <row r="52">
      <c r="A52">
        <f>A51+1</f>
        <v/>
      </c>
      <c r="B52" s="65">
        <f>StockPricePaths!B52</f>
        <v/>
      </c>
      <c r="C52" s="59">
        <f>$L$3-A52*$L$9</f>
        <v/>
      </c>
      <c r="G52" s="61">
        <f>F51*B52+H51*EXP($L$5*$L$9)</f>
        <v/>
      </c>
      <c r="I52" s="66">
        <f>LN(B52/B51)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style="30" min="1" max="1"/>
    <col width="16" customWidth="1" style="30" min="2" max="2"/>
    <col width="20" customWidth="1" style="30" min="3" max="3"/>
    <col width="11" customWidth="1" style="30" min="4" max="4"/>
    <col width="13" customWidth="1" style="30" min="5" max="5"/>
    <col width="17" customWidth="1" style="30" min="6" max="6"/>
    <col width="24" customWidth="1" style="30" min="7" max="7"/>
    <col width="20" customWidth="1" style="30" min="8" max="8"/>
    <col width="22" customWidth="1" style="30" min="9" max="9"/>
    <col width="42" customWidth="1" style="30" min="11" max="11"/>
    <col width="18" customWidth="1" style="30" min="12" max="12"/>
  </cols>
  <sheetData>
    <row r="1">
      <c r="A1" s="56" t="inlineStr">
        <is>
          <t>Period t</t>
        </is>
      </c>
      <c r="B1" s="56" t="inlineStr">
        <is>
          <t>Stock Price S_t</t>
        </is>
      </c>
      <c r="C1" s="56" t="inlineStr">
        <is>
          <t>Time to maturity (T-t)</t>
        </is>
      </c>
      <c r="D1" s="56" t="inlineStr">
        <is>
          <t>d1</t>
        </is>
      </c>
      <c r="E1" s="56" t="inlineStr">
        <is>
          <t>Delta = N(d1)</t>
        </is>
      </c>
      <c r="F1" s="56" t="inlineStr">
        <is>
          <t># Stocks held x_t</t>
        </is>
      </c>
      <c r="G1" s="56" t="inlineStr">
        <is>
          <t>S.F. Portfolio Value V_t</t>
        </is>
      </c>
      <c r="H1" s="56" t="inlineStr">
        <is>
          <t>Cash Account $ c_t</t>
        </is>
      </c>
      <c r="I1" s="56" t="inlineStr">
        <is>
          <t>Log-return ln(S_t/S_t-1)</t>
        </is>
      </c>
      <c r="K1" s="57" t="inlineStr">
        <is>
          <t>Parameter</t>
        </is>
      </c>
      <c r="L1" s="57" t="inlineStr">
        <is>
          <t>Value</t>
        </is>
      </c>
    </row>
    <row r="2">
      <c r="A2" t="n">
        <v>0</v>
      </c>
      <c r="B2" s="65">
        <f>StockPricePaths!C2</f>
        <v/>
      </c>
      <c r="C2" s="59">
        <f>$L$3-A2*$L$9</f>
        <v/>
      </c>
      <c r="D2" s="66">
        <f>(LN(B2/$L$6)+($L$5+0.5*$L$4^2)*C2)/($L$4*SQRT(C2))</f>
        <v/>
      </c>
      <c r="E2" s="66">
        <f>NORMSDIST(D2)</f>
        <v/>
      </c>
      <c r="F2" s="61">
        <f>E2*$L$7</f>
        <v/>
      </c>
      <c r="G2" s="61">
        <f>$L$7*(B2*NORMSDIST(D2)-$L$6*EXP(-$L$5*C2)*NORMSDIST(D2-$L$4*SQRT(C2)))</f>
        <v/>
      </c>
      <c r="H2" s="61">
        <f>G2-F2*B2</f>
        <v/>
      </c>
      <c r="K2" t="inlineStr">
        <is>
          <t>Initial stock price S0</t>
        </is>
      </c>
      <c r="L2">
        <f>DemoSheet!$B$2</f>
        <v/>
      </c>
    </row>
    <row r="3">
      <c r="A3">
        <f>A2+1</f>
        <v/>
      </c>
      <c r="B3" s="65">
        <f>StockPricePaths!C3</f>
        <v/>
      </c>
      <c r="C3" s="59">
        <f>$L$3-A3*$L$9</f>
        <v/>
      </c>
      <c r="D3" s="66">
        <f>(LN(B3/$L$6)+($L$5+0.5*$L$4^2)*C3)/($L$4*SQRT(C3))</f>
        <v/>
      </c>
      <c r="E3" s="66">
        <f>NORMSDIST(D3)</f>
        <v/>
      </c>
      <c r="F3" s="61">
        <f>E3*$L$7</f>
        <v/>
      </c>
      <c r="G3" s="61">
        <f>F2*B3+H2*EXP($L$5*$L$9)</f>
        <v/>
      </c>
      <c r="H3" s="61">
        <f>G3-F3*B3</f>
        <v/>
      </c>
      <c r="I3" s="66">
        <f>LN(B3/B2)</f>
        <v/>
      </c>
      <c r="K3" t="inlineStr">
        <is>
          <t>Expiration T (years)</t>
        </is>
      </c>
      <c r="L3">
        <f>DemoSheet!$B$3</f>
        <v/>
      </c>
    </row>
    <row r="4">
      <c r="A4">
        <f>A3+1</f>
        <v/>
      </c>
      <c r="B4" s="65">
        <f>StockPricePaths!C4</f>
        <v/>
      </c>
      <c r="C4" s="59">
        <f>$L$3-A4*$L$9</f>
        <v/>
      </c>
      <c r="D4" s="66">
        <f>(LN(B4/$L$6)+($L$5+0.5*$L$4^2)*C4)/($L$4*SQRT(C4))</f>
        <v/>
      </c>
      <c r="E4" s="66">
        <f>NORMSDIST(D4)</f>
        <v/>
      </c>
      <c r="F4" s="61">
        <f>E4*$L$7</f>
        <v/>
      </c>
      <c r="G4" s="61">
        <f>F3*B4+H3*EXP($L$5*$L$9)</f>
        <v/>
      </c>
      <c r="H4" s="61">
        <f>G4-F4*B4</f>
        <v/>
      </c>
      <c r="I4" s="66">
        <f>LN(B4/B3)</f>
        <v/>
      </c>
      <c r="K4" t="inlineStr">
        <is>
          <t>Implied volatility</t>
        </is>
      </c>
      <c r="L4">
        <f>DemoSheet!$B$4</f>
        <v/>
      </c>
    </row>
    <row r="5">
      <c r="A5">
        <f>A4+1</f>
        <v/>
      </c>
      <c r="B5" s="65">
        <f>StockPricePaths!C5</f>
        <v/>
      </c>
      <c r="C5" s="59">
        <f>$L$3-A5*$L$9</f>
        <v/>
      </c>
      <c r="D5" s="66">
        <f>(LN(B5/$L$6)+($L$5+0.5*$L$4^2)*C5)/($L$4*SQRT(C5))</f>
        <v/>
      </c>
      <c r="E5" s="66">
        <f>NORMSDIST(D5)</f>
        <v/>
      </c>
      <c r="F5" s="61">
        <f>E5*$L$7</f>
        <v/>
      </c>
      <c r="G5" s="61">
        <f>F4*B5+H4*EXP($L$5*$L$9)</f>
        <v/>
      </c>
      <c r="H5" s="61">
        <f>G5-F5*B5</f>
        <v/>
      </c>
      <c r="I5" s="66">
        <f>LN(B5/B4)</f>
        <v/>
      </c>
      <c r="K5" t="inlineStr">
        <is>
          <t>Risk-free rate r</t>
        </is>
      </c>
      <c r="L5">
        <f>DemoSheet!$B$5</f>
        <v/>
      </c>
    </row>
    <row r="6">
      <c r="A6">
        <f>A5+1</f>
        <v/>
      </c>
      <c r="B6" s="65">
        <f>StockPricePaths!C6</f>
        <v/>
      </c>
      <c r="C6" s="59">
        <f>$L$3-A6*$L$9</f>
        <v/>
      </c>
      <c r="D6" s="66">
        <f>(LN(B6/$L$6)+($L$5+0.5*$L$4^2)*C6)/($L$4*SQRT(C6))</f>
        <v/>
      </c>
      <c r="E6" s="66">
        <f>NORMSDIST(D6)</f>
        <v/>
      </c>
      <c r="F6" s="61">
        <f>E6*$L$7</f>
        <v/>
      </c>
      <c r="G6" s="61">
        <f>F5*B6+H5*EXP($L$5*$L$9)</f>
        <v/>
      </c>
      <c r="H6" s="61">
        <f>G6-F6*B6</f>
        <v/>
      </c>
      <c r="I6" s="66">
        <f>LN(B6/B5)</f>
        <v/>
      </c>
      <c r="K6" t="inlineStr">
        <is>
          <t>Strike K</t>
        </is>
      </c>
      <c r="L6">
        <f>DemoSheet!$B$6</f>
        <v/>
      </c>
    </row>
    <row r="7">
      <c r="A7">
        <f>A6+1</f>
        <v/>
      </c>
      <c r="B7" s="65">
        <f>StockPricePaths!C7</f>
        <v/>
      </c>
      <c r="C7" s="59">
        <f>$L$3-A7*$L$9</f>
        <v/>
      </c>
      <c r="D7" s="66">
        <f>(LN(B7/$L$6)+($L$5+0.5*$L$4^2)*C7)/($L$4*SQRT(C7))</f>
        <v/>
      </c>
      <c r="E7" s="66">
        <f>NORMSDIST(D7)</f>
        <v/>
      </c>
      <c r="F7" s="61">
        <f>E7*$L$7</f>
        <v/>
      </c>
      <c r="G7" s="61">
        <f>F6*B7+H6*EXP($L$5*$L$9)</f>
        <v/>
      </c>
      <c r="H7" s="61">
        <f>G7-F7*B7</f>
        <v/>
      </c>
      <c r="I7" s="66">
        <f>LN(B7/B6)</f>
        <v/>
      </c>
      <c r="K7" t="inlineStr">
        <is>
          <t># of options sold</t>
        </is>
      </c>
      <c r="L7">
        <f>DemoSheet!$B$7</f>
        <v/>
      </c>
    </row>
    <row r="8">
      <c r="A8">
        <f>A7+1</f>
        <v/>
      </c>
      <c r="B8" s="65">
        <f>StockPricePaths!C8</f>
        <v/>
      </c>
      <c r="C8" s="59">
        <f>$L$3-A8*$L$9</f>
        <v/>
      </c>
      <c r="D8" s="66">
        <f>(LN(B8/$L$6)+($L$5+0.5*$L$4^2)*C8)/($L$4*SQRT(C8))</f>
        <v/>
      </c>
      <c r="E8" s="66">
        <f>NORMSDIST(D8)</f>
        <v/>
      </c>
      <c r="F8" s="61">
        <f>E8*$L$7</f>
        <v/>
      </c>
      <c r="G8" s="61">
        <f>F7*B8+H7*EXP($L$5*$L$9)</f>
        <v/>
      </c>
      <c r="H8" s="61">
        <f>G8-F8*B8</f>
        <v/>
      </c>
      <c r="I8" s="66">
        <f>LN(B8/B7)</f>
        <v/>
      </c>
      <c r="K8" t="inlineStr">
        <is>
          <t># of hedging periods</t>
        </is>
      </c>
      <c r="L8">
        <f>DemoSheet!$B$8</f>
        <v/>
      </c>
    </row>
    <row r="9">
      <c r="A9">
        <f>A8+1</f>
        <v/>
      </c>
      <c r="B9" s="65">
        <f>StockPricePaths!C9</f>
        <v/>
      </c>
      <c r="C9" s="59">
        <f>$L$3-A9*$L$9</f>
        <v/>
      </c>
      <c r="D9" s="66">
        <f>(LN(B9/$L$6)+($L$5+0.5*$L$4^2)*C9)/($L$4*SQRT(C9))</f>
        <v/>
      </c>
      <c r="E9" s="66">
        <f>NORMSDIST(D9)</f>
        <v/>
      </c>
      <c r="F9" s="61">
        <f>E9*$L$7</f>
        <v/>
      </c>
      <c r="G9" s="61">
        <f>F8*B9+H8*EXP($L$5*$L$9)</f>
        <v/>
      </c>
      <c r="H9" s="61">
        <f>G9-F9*B9</f>
        <v/>
      </c>
      <c r="I9" s="66">
        <f>LN(B9/B8)</f>
        <v/>
      </c>
      <c r="K9" t="inlineStr">
        <is>
          <t>dt = T / # periods</t>
        </is>
      </c>
      <c r="L9">
        <f>L3/L8</f>
        <v/>
      </c>
    </row>
    <row r="10">
      <c r="A10">
        <f>A9+1</f>
        <v/>
      </c>
      <c r="B10" s="65">
        <f>StockPricePaths!C10</f>
        <v/>
      </c>
      <c r="C10" s="59">
        <f>$L$3-A10*$L$9</f>
        <v/>
      </c>
      <c r="D10" s="66">
        <f>(LN(B10/$L$6)+($L$5+0.5*$L$4^2)*C10)/($L$4*SQRT(C10))</f>
        <v/>
      </c>
      <c r="E10" s="66">
        <f>NORMSDIST(D10)</f>
        <v/>
      </c>
      <c r="F10" s="61">
        <f>E10*$L$7</f>
        <v/>
      </c>
      <c r="G10" s="61">
        <f>F9*B10+H9*EXP($L$5*$L$9)</f>
        <v/>
      </c>
      <c r="H10" s="61">
        <f>G10-F10*B10</f>
        <v/>
      </c>
      <c r="I10" s="66">
        <f>LN(B10/B9)</f>
        <v/>
      </c>
    </row>
    <row r="11">
      <c r="A11">
        <f>A10+1</f>
        <v/>
      </c>
      <c r="B11" s="65">
        <f>StockPricePaths!C11</f>
        <v/>
      </c>
      <c r="C11" s="59">
        <f>$L$3-A11*$L$9</f>
        <v/>
      </c>
      <c r="D11" s="66">
        <f>(LN(B11/$L$6)+($L$5+0.5*$L$4^2)*C11)/($L$4*SQRT(C11))</f>
        <v/>
      </c>
      <c r="E11" s="66">
        <f>NORMSDIST(D11)</f>
        <v/>
      </c>
      <c r="F11" s="61">
        <f>E11*$L$7</f>
        <v/>
      </c>
      <c r="G11" s="61">
        <f>F10*B11+H10*EXP($L$5*$L$9)</f>
        <v/>
      </c>
      <c r="H11" s="61">
        <f>G11-F11*B11</f>
        <v/>
      </c>
      <c r="I11" s="66">
        <f>LN(B11/B10)</f>
        <v/>
      </c>
      <c r="K11" s="40" t="inlineStr">
        <is>
          <t>RESULTS</t>
        </is>
      </c>
    </row>
    <row r="12">
      <c r="A12">
        <f>A11+1</f>
        <v/>
      </c>
      <c r="B12" s="65">
        <f>StockPricePaths!C12</f>
        <v/>
      </c>
      <c r="C12" s="59">
        <f>$L$3-A12*$L$9</f>
        <v/>
      </c>
      <c r="D12" s="66">
        <f>(LN(B12/$L$6)+($L$5+0.5*$L$4^2)*C12)/($L$4*SQRT(C12))</f>
        <v/>
      </c>
      <c r="E12" s="66">
        <f>NORMSDIST(D12)</f>
        <v/>
      </c>
      <c r="F12" s="61">
        <f>E12*$L$7</f>
        <v/>
      </c>
      <c r="G12" s="61">
        <f>F11*B12+H11*EXP($L$5*$L$9)</f>
        <v/>
      </c>
      <c r="H12" s="61">
        <f>G12-F12*B12</f>
        <v/>
      </c>
      <c r="I12" s="66">
        <f>LN(B12/B11)</f>
        <v/>
      </c>
      <c r="K12" s="62" t="inlineStr">
        <is>
          <t>Mean log-return (annualized)</t>
        </is>
      </c>
      <c r="L12" s="59">
        <f>AVERAGE(I3:I52)/$L$9</f>
        <v/>
      </c>
    </row>
    <row r="13">
      <c r="A13">
        <f>A12+1</f>
        <v/>
      </c>
      <c r="B13" s="65">
        <f>StockPricePaths!C13</f>
        <v/>
      </c>
      <c r="C13" s="59">
        <f>$L$3-A13*$L$9</f>
        <v/>
      </c>
      <c r="D13" s="66">
        <f>(LN(B13/$L$6)+($L$5+0.5*$L$4^2)*C13)/($L$4*SQRT(C13))</f>
        <v/>
      </c>
      <c r="E13" s="66">
        <f>NORMSDIST(D13)</f>
        <v/>
      </c>
      <c r="F13" s="61">
        <f>E13*$L$7</f>
        <v/>
      </c>
      <c r="G13" s="61">
        <f>F12*B13+H12*EXP($L$5*$L$9)</f>
        <v/>
      </c>
      <c r="H13" s="61">
        <f>G13-F13*B13</f>
        <v/>
      </c>
      <c r="I13" s="66">
        <f>LN(B13/B12)</f>
        <v/>
      </c>
      <c r="K13" s="62" t="inlineStr">
        <is>
          <t>Realized volatility (annualized)</t>
        </is>
      </c>
      <c r="L13" s="66">
        <f>STDEV(I3:I52)/SQRT($L$9)</f>
        <v/>
      </c>
    </row>
    <row r="14">
      <c r="A14">
        <f>A13+1</f>
        <v/>
      </c>
      <c r="B14" s="65">
        <f>StockPricePaths!C14</f>
        <v/>
      </c>
      <c r="C14" s="59">
        <f>$L$3-A14*$L$9</f>
        <v/>
      </c>
      <c r="D14" s="66">
        <f>(LN(B14/$L$6)+($L$5+0.5*$L$4^2)*C14)/($L$4*SQRT(C14))</f>
        <v/>
      </c>
      <c r="E14" s="66">
        <f>NORMSDIST(D14)</f>
        <v/>
      </c>
      <c r="F14" s="61">
        <f>E14*$L$7</f>
        <v/>
      </c>
      <c r="G14" s="61">
        <f>F13*B14+H13*EXP($L$5*$L$9)</f>
        <v/>
      </c>
      <c r="H14" s="61">
        <f>G14-F14*B14</f>
        <v/>
      </c>
      <c r="I14" s="66">
        <f>LN(B14/B13)</f>
        <v/>
      </c>
      <c r="K14" s="62" t="inlineStr">
        <is>
          <t>ANSWER - realized vol in %, 2 dp</t>
        </is>
      </c>
      <c r="L14" s="43">
        <f>ROUND(L13*100,2)</f>
        <v/>
      </c>
    </row>
    <row r="15">
      <c r="A15">
        <f>A14+1</f>
        <v/>
      </c>
      <c r="B15" s="65">
        <f>StockPricePaths!C15</f>
        <v/>
      </c>
      <c r="C15" s="59">
        <f>$L$3-A15*$L$9</f>
        <v/>
      </c>
      <c r="D15" s="66">
        <f>(LN(B15/$L$6)+($L$5+0.5*$L$4^2)*C15)/($L$4*SQRT(C15))</f>
        <v/>
      </c>
      <c r="E15" s="66">
        <f>NORMSDIST(D15)</f>
        <v/>
      </c>
      <c r="F15" s="61">
        <f>E15*$L$7</f>
        <v/>
      </c>
      <c r="G15" s="61">
        <f>F14*B15+H14*EXP($L$5*$L$9)</f>
        <v/>
      </c>
      <c r="H15" s="61">
        <f>G15-F15*B15</f>
        <v/>
      </c>
      <c r="I15" s="66">
        <f>LN(B15/B14)</f>
        <v/>
      </c>
      <c r="K15" s="62" t="inlineStr">
        <is>
          <t>Terminal stock price S_T</t>
        </is>
      </c>
      <c r="L15" s="65">
        <f>B52</f>
        <v/>
      </c>
    </row>
    <row r="16">
      <c r="A16">
        <f>A15+1</f>
        <v/>
      </c>
      <c r="B16" s="65">
        <f>StockPricePaths!C16</f>
        <v/>
      </c>
      <c r="C16" s="59">
        <f>$L$3-A16*$L$9</f>
        <v/>
      </c>
      <c r="D16" s="66">
        <f>(LN(B16/$L$6)+($L$5+0.5*$L$4^2)*C16)/($L$4*SQRT(C16))</f>
        <v/>
      </c>
      <c r="E16" s="66">
        <f>NORMSDIST(D16)</f>
        <v/>
      </c>
      <c r="F16" s="61">
        <f>E16*$L$7</f>
        <v/>
      </c>
      <c r="G16" s="61">
        <f>F15*B16+H15*EXP($L$5*$L$9)</f>
        <v/>
      </c>
      <c r="H16" s="61">
        <f>G16-F16*B16</f>
        <v/>
      </c>
      <c r="I16" s="66">
        <f>LN(B16/B15)</f>
        <v/>
      </c>
      <c r="K16" s="62" t="inlineStr">
        <is>
          <t>Option payoff = # options x MAX(S_T-K,0)</t>
        </is>
      </c>
      <c r="L16" s="61">
        <f>MAX(L15-$L$6,0)*$L$7</f>
        <v/>
      </c>
    </row>
    <row r="17">
      <c r="A17">
        <f>A16+1</f>
        <v/>
      </c>
      <c r="B17" s="65">
        <f>StockPricePaths!C17</f>
        <v/>
      </c>
      <c r="C17" s="59">
        <f>$L$3-A17*$L$9</f>
        <v/>
      </c>
      <c r="D17" s="66">
        <f>(LN(B17/$L$6)+($L$5+0.5*$L$4^2)*C17)/($L$4*SQRT(C17))</f>
        <v/>
      </c>
      <c r="E17" s="66">
        <f>NORMSDIST(D17)</f>
        <v/>
      </c>
      <c r="F17" s="61">
        <f>E17*$L$7</f>
        <v/>
      </c>
      <c r="G17" s="61">
        <f>F16*B17+H16*EXP($L$5*$L$9)</f>
        <v/>
      </c>
      <c r="H17" s="61">
        <f>G17-F17*B17</f>
        <v/>
      </c>
      <c r="I17" s="66">
        <f>LN(B17/B16)</f>
        <v/>
      </c>
      <c r="K17" s="62" t="inlineStr">
        <is>
          <t>Final self-financing portfolio V_T</t>
        </is>
      </c>
      <c r="L17" s="61">
        <f>G52</f>
        <v/>
      </c>
    </row>
    <row r="18">
      <c r="A18">
        <f>A17+1</f>
        <v/>
      </c>
      <c r="B18" s="65">
        <f>StockPricePaths!C18</f>
        <v/>
      </c>
      <c r="C18" s="59">
        <f>$L$3-A18*$L$9</f>
        <v/>
      </c>
      <c r="D18" s="66">
        <f>(LN(B18/$L$6)+($L$5+0.5*$L$4^2)*C18)/($L$4*SQRT(C18))</f>
        <v/>
      </c>
      <c r="E18" s="66">
        <f>NORMSDIST(D18)</f>
        <v/>
      </c>
      <c r="F18" s="61">
        <f>E18*$L$7</f>
        <v/>
      </c>
      <c r="G18" s="61">
        <f>F17*B18+H17*EXP($L$5*$L$9)</f>
        <v/>
      </c>
      <c r="H18" s="61">
        <f>G18-F18*B18</f>
        <v/>
      </c>
      <c r="I18" s="66">
        <f>LN(B18/B17)</f>
        <v/>
      </c>
      <c r="K18" s="62" t="inlineStr">
        <is>
          <t>Total hedging P&amp;L = V_T - payoff</t>
        </is>
      </c>
      <c r="L18" s="61">
        <f>L17-L16</f>
        <v/>
      </c>
    </row>
    <row r="19">
      <c r="A19">
        <f>A18+1</f>
        <v/>
      </c>
      <c r="B19" s="65">
        <f>StockPricePaths!C19</f>
        <v/>
      </c>
      <c r="C19" s="59">
        <f>$L$3-A19*$L$9</f>
        <v/>
      </c>
      <c r="D19" s="66">
        <f>(LN(B19/$L$6)+($L$5+0.5*$L$4^2)*C19)/($L$4*SQRT(C19))</f>
        <v/>
      </c>
      <c r="E19" s="66">
        <f>NORMSDIST(D19)</f>
        <v/>
      </c>
      <c r="F19" s="61">
        <f>E19*$L$7</f>
        <v/>
      </c>
      <c r="G19" s="61">
        <f>F18*B19+H18*EXP($L$5*$L$9)</f>
        <v/>
      </c>
      <c r="H19" s="61">
        <f>G19-F19*B19</f>
        <v/>
      </c>
      <c r="I19" s="66">
        <f>LN(B19/B18)</f>
        <v/>
      </c>
      <c r="K19" s="62" t="inlineStr">
        <is>
          <t>ANSWER - P&amp;L to nearest integer</t>
        </is>
      </c>
      <c r="L19" s="44">
        <f>ROUND(L18,0)</f>
        <v/>
      </c>
    </row>
    <row r="20">
      <c r="A20">
        <f>A19+1</f>
        <v/>
      </c>
      <c r="B20" s="65">
        <f>StockPricePaths!C20</f>
        <v/>
      </c>
      <c r="C20" s="59">
        <f>$L$3-A20*$L$9</f>
        <v/>
      </c>
      <c r="D20" s="66">
        <f>(LN(B20/$L$6)+($L$5+0.5*$L$4^2)*C20)/($L$4*SQRT(C20))</f>
        <v/>
      </c>
      <c r="E20" s="66">
        <f>NORMSDIST(D20)</f>
        <v/>
      </c>
      <c r="F20" s="61">
        <f>E20*$L$7</f>
        <v/>
      </c>
      <c r="G20" s="61">
        <f>F19*B20+H19*EXP($L$5*$L$9)</f>
        <v/>
      </c>
      <c r="H20" s="61">
        <f>G20-F20*B20</f>
        <v/>
      </c>
      <c r="I20" s="66">
        <f>LN(B20/B19)</f>
        <v/>
      </c>
    </row>
    <row r="21">
      <c r="A21">
        <f>A20+1</f>
        <v/>
      </c>
      <c r="B21" s="65">
        <f>StockPricePaths!C21</f>
        <v/>
      </c>
      <c r="C21" s="59">
        <f>$L$3-A21*$L$9</f>
        <v/>
      </c>
      <c r="D21" s="66">
        <f>(LN(B21/$L$6)+($L$5+0.5*$L$4^2)*C21)/($L$4*SQRT(C21))</f>
        <v/>
      </c>
      <c r="E21" s="66">
        <f>NORMSDIST(D21)</f>
        <v/>
      </c>
      <c r="F21" s="61">
        <f>E21*$L$7</f>
        <v/>
      </c>
      <c r="G21" s="61">
        <f>F20*B21+H20*EXP($L$5*$L$9)</f>
        <v/>
      </c>
      <c r="H21" s="61">
        <f>G21-F21*B21</f>
        <v/>
      </c>
      <c r="I21" s="66">
        <f>LN(B21/B20)</f>
        <v/>
      </c>
      <c r="K21" s="57" t="inlineStr">
        <is>
          <t>Prices are linked to StockPricePaths!C. Every other column is a live formula:</t>
        </is>
      </c>
    </row>
    <row r="22">
      <c r="A22">
        <f>A21+1</f>
        <v/>
      </c>
      <c r="B22" s="65">
        <f>StockPricePaths!C22</f>
        <v/>
      </c>
      <c r="C22" s="59">
        <f>$L$3-A22*$L$9</f>
        <v/>
      </c>
      <c r="D22" s="66">
        <f>(LN(B22/$L$6)+($L$5+0.5*$L$4^2)*C22)/($L$4*SQRT(C22))</f>
        <v/>
      </c>
      <c r="E22" s="66">
        <f>NORMSDIST(D22)</f>
        <v/>
      </c>
      <c r="F22" s="61">
        <f>E22*$L$7</f>
        <v/>
      </c>
      <c r="G22" s="61">
        <f>F21*B22+H21*EXP($L$5*$L$9)</f>
        <v/>
      </c>
      <c r="H22" s="61">
        <f>G22-F22*B22</f>
        <v/>
      </c>
      <c r="I22" s="66">
        <f>LN(B22/B21)</f>
        <v/>
      </c>
      <c r="K22" t="inlineStr">
        <is>
          <t>A  Period t = 0..50.</t>
        </is>
      </c>
    </row>
    <row r="23">
      <c r="A23">
        <f>A22+1</f>
        <v/>
      </c>
      <c r="B23" s="65">
        <f>StockPricePaths!C23</f>
        <v/>
      </c>
      <c r="C23" s="59">
        <f>$L$3-A23*$L$9</f>
        <v/>
      </c>
      <c r="D23" s="66">
        <f>(LN(B23/$L$6)+($L$5+0.5*$L$4^2)*C23)/($L$4*SQRT(C23))</f>
        <v/>
      </c>
      <c r="E23" s="66">
        <f>NORMSDIST(D23)</f>
        <v/>
      </c>
      <c r="F23" s="61">
        <f>E23*$L$7</f>
        <v/>
      </c>
      <c r="G23" s="61">
        <f>F22*B23+H22*EXP($L$5*$L$9)</f>
        <v/>
      </c>
      <c r="H23" s="61">
        <f>G23-F23*B23</f>
        <v/>
      </c>
      <c r="I23" s="66">
        <f>LN(B23/B22)</f>
        <v/>
      </c>
      <c r="K23" t="inlineStr">
        <is>
          <t>B  Stock price, linked to the price path (this is the only input).</t>
        </is>
      </c>
    </row>
    <row r="24">
      <c r="A24">
        <f>A23+1</f>
        <v/>
      </c>
      <c r="B24" s="65">
        <f>StockPricePaths!C24</f>
        <v/>
      </c>
      <c r="C24" s="59">
        <f>$L$3-A24*$L$9</f>
        <v/>
      </c>
      <c r="D24" s="66">
        <f>(LN(B24/$L$6)+($L$5+0.5*$L$4^2)*C24)/($L$4*SQRT(C24))</f>
        <v/>
      </c>
      <c r="E24" s="66">
        <f>NORMSDIST(D24)</f>
        <v/>
      </c>
      <c r="F24" s="61">
        <f>E24*$L$7</f>
        <v/>
      </c>
      <c r="G24" s="61">
        <f>F23*B24+H23*EXP($L$5*$L$9)</f>
        <v/>
      </c>
      <c r="H24" s="61">
        <f>G24-F24*B24</f>
        <v/>
      </c>
      <c r="I24" s="66">
        <f>LN(B24/B23)</f>
        <v/>
      </c>
      <c r="K24" t="inlineStr">
        <is>
          <t>C  Time to maturity tau = T - t*dt, dt = T/50 = 0.005 years.</t>
        </is>
      </c>
    </row>
    <row r="25">
      <c r="A25">
        <f>A24+1</f>
        <v/>
      </c>
      <c r="B25" s="65">
        <f>StockPricePaths!C25</f>
        <v/>
      </c>
      <c r="C25" s="59">
        <f>$L$3-A25*$L$9</f>
        <v/>
      </c>
      <c r="D25" s="66">
        <f>(LN(B25/$L$6)+($L$5+0.5*$L$4^2)*C25)/($L$4*SQRT(C25))</f>
        <v/>
      </c>
      <c r="E25" s="66">
        <f>NORMSDIST(D25)</f>
        <v/>
      </c>
      <c r="F25" s="61">
        <f>E25*$L$7</f>
        <v/>
      </c>
      <c r="G25" s="61">
        <f>F24*B25+H24*EXP($L$5*$L$9)</f>
        <v/>
      </c>
      <c r="H25" s="61">
        <f>G25-F25*B25</f>
        <v/>
      </c>
      <c r="I25" s="66">
        <f>LN(B25/B24)</f>
        <v/>
      </c>
      <c r="K25" t="inlineStr">
        <is>
          <t>D  d1 = (LN(S/K) + (r + 0.5*sigma^2)*tau) / (sigma*SQRT(tau)), sigma = IMPLIED vol 30%.</t>
        </is>
      </c>
    </row>
    <row r="26">
      <c r="A26">
        <f>A25+1</f>
        <v/>
      </c>
      <c r="B26" s="65">
        <f>StockPricePaths!C26</f>
        <v/>
      </c>
      <c r="C26" s="59">
        <f>$L$3-A26*$L$9</f>
        <v/>
      </c>
      <c r="D26" s="66">
        <f>(LN(B26/$L$6)+($L$5+0.5*$L$4^2)*C26)/($L$4*SQRT(C26))</f>
        <v/>
      </c>
      <c r="E26" s="66">
        <f>NORMSDIST(D26)</f>
        <v/>
      </c>
      <c r="F26" s="61">
        <f>E26*$L$7</f>
        <v/>
      </c>
      <c r="G26" s="61">
        <f>F25*B26+H25*EXP($L$5*$L$9)</f>
        <v/>
      </c>
      <c r="H26" s="61">
        <f>G26-F26*B26</f>
        <v/>
      </c>
      <c r="I26" s="66">
        <f>LN(B26/B25)</f>
        <v/>
      </c>
      <c r="K26" t="inlineStr">
        <is>
          <t>E  Delta = N(d1) = NORMSDIST(d1): shares to hold per option.</t>
        </is>
      </c>
    </row>
    <row r="27">
      <c r="A27">
        <f>A26+1</f>
        <v/>
      </c>
      <c r="B27" s="65">
        <f>StockPricePaths!C27</f>
        <v/>
      </c>
      <c r="C27" s="59">
        <f>$L$3-A27*$L$9</f>
        <v/>
      </c>
      <c r="D27" s="66">
        <f>(LN(B27/$L$6)+($L$5+0.5*$L$4^2)*C27)/($L$4*SQRT(C27))</f>
        <v/>
      </c>
      <c r="E27" s="66">
        <f>NORMSDIST(D27)</f>
        <v/>
      </c>
      <c r="F27" s="61">
        <f>E27*$L$7</f>
        <v/>
      </c>
      <c r="G27" s="61">
        <f>F26*B27+H26*EXP($L$5*$L$9)</f>
        <v/>
      </c>
      <c r="H27" s="61">
        <f>G27-F27*B27</f>
        <v/>
      </c>
      <c r="I27" s="66">
        <f>LN(B27/B26)</f>
        <v/>
      </c>
      <c r="K27" t="inlineStr">
        <is>
          <t>F  # stocks held x_t = Delta * 100,000 options.</t>
        </is>
      </c>
    </row>
    <row r="28">
      <c r="A28">
        <f>A27+1</f>
        <v/>
      </c>
      <c r="B28" s="65">
        <f>StockPricePaths!C28</f>
        <v/>
      </c>
      <c r="C28" s="59">
        <f>$L$3-A28*$L$9</f>
        <v/>
      </c>
      <c r="D28" s="66">
        <f>(LN(B28/$L$6)+($L$5+0.5*$L$4^2)*C28)/($L$4*SQRT(C28))</f>
        <v/>
      </c>
      <c r="E28" s="66">
        <f>NORMSDIST(D28)</f>
        <v/>
      </c>
      <c r="F28" s="61">
        <f>E28*$L$7</f>
        <v/>
      </c>
      <c r="G28" s="61">
        <f>F27*B28+H27*EXP($L$5*$L$9)</f>
        <v/>
      </c>
      <c r="H28" s="61">
        <f>G28-F28*B28</f>
        <v/>
      </c>
      <c r="I28" s="66">
        <f>LN(B28/B27)</f>
        <v/>
      </c>
      <c r="K28" t="inlineStr">
        <is>
          <t>G  Self-financing portfolio. Row 2 = Black-Scholes premium received;</t>
        </is>
      </c>
    </row>
    <row r="29">
      <c r="A29">
        <f>A28+1</f>
        <v/>
      </c>
      <c r="B29" s="65">
        <f>StockPricePaths!C29</f>
        <v/>
      </c>
      <c r="C29" s="59">
        <f>$L$3-A29*$L$9</f>
        <v/>
      </c>
      <c r="D29" s="66">
        <f>(LN(B29/$L$6)+($L$5+0.5*$L$4^2)*C29)/($L$4*SQRT(C29))</f>
        <v/>
      </c>
      <c r="E29" s="66">
        <f>NORMSDIST(D29)</f>
        <v/>
      </c>
      <c r="F29" s="61">
        <f>E29*$L$7</f>
        <v/>
      </c>
      <c r="G29" s="61">
        <f>F28*B29+H28*EXP($L$5*$L$9)</f>
        <v/>
      </c>
      <c r="H29" s="61">
        <f>G29-F29*B29</f>
        <v/>
      </c>
      <c r="I29" s="66">
        <f>LN(B29/B28)</f>
        <v/>
      </c>
      <c r="K29" t="inlineStr">
        <is>
          <t xml:space="preserve">   afterwards V_t+1 = x_t*S_t+1 + c_t*EXP(r*dt)  (no cash added or withdrawn).</t>
        </is>
      </c>
    </row>
    <row r="30">
      <c r="A30">
        <f>A29+1</f>
        <v/>
      </c>
      <c r="B30" s="65">
        <f>StockPricePaths!C30</f>
        <v/>
      </c>
      <c r="C30" s="59">
        <f>$L$3-A30*$L$9</f>
        <v/>
      </c>
      <c r="D30" s="66">
        <f>(LN(B30/$L$6)+($L$5+0.5*$L$4^2)*C30)/($L$4*SQRT(C30))</f>
        <v/>
      </c>
      <c r="E30" s="66">
        <f>NORMSDIST(D30)</f>
        <v/>
      </c>
      <c r="F30" s="61">
        <f>E30*$L$7</f>
        <v/>
      </c>
      <c r="G30" s="61">
        <f>F29*B30+H29*EXP($L$5*$L$9)</f>
        <v/>
      </c>
      <c r="H30" s="61">
        <f>G30-F30*B30</f>
        <v/>
      </c>
      <c r="I30" s="66">
        <f>LN(B30/B29)</f>
        <v/>
      </c>
      <c r="K30" t="inlineStr">
        <is>
          <t>H  Cash account c_t = V_t - x_t*S_t (negative: we borrow to buy the hedge).</t>
        </is>
      </c>
    </row>
    <row r="31">
      <c r="A31">
        <f>A30+1</f>
        <v/>
      </c>
      <c r="B31" s="65">
        <f>StockPricePaths!C31</f>
        <v/>
      </c>
      <c r="C31" s="59">
        <f>$L$3-A31*$L$9</f>
        <v/>
      </c>
      <c r="D31" s="66">
        <f>(LN(B31/$L$6)+($L$5+0.5*$L$4^2)*C31)/($L$4*SQRT(C31))</f>
        <v/>
      </c>
      <c r="E31" s="66">
        <f>NORMSDIST(D31)</f>
        <v/>
      </c>
      <c r="F31" s="61">
        <f>E31*$L$7</f>
        <v/>
      </c>
      <c r="G31" s="61">
        <f>F30*B31+H30*EXP($L$5*$L$9)</f>
        <v/>
      </c>
      <c r="H31" s="61">
        <f>G31-F31*B31</f>
        <v/>
      </c>
      <c r="I31" s="66">
        <f>LN(B31/B30)</f>
        <v/>
      </c>
      <c r="K31" t="inlineStr">
        <is>
          <t>I  Log-returns used for the realized-volatility answer.</t>
        </is>
      </c>
    </row>
    <row r="32">
      <c r="A32">
        <f>A31+1</f>
        <v/>
      </c>
      <c r="B32" s="65">
        <f>StockPricePaths!C32</f>
        <v/>
      </c>
      <c r="C32" s="59">
        <f>$L$3-A32*$L$9</f>
        <v/>
      </c>
      <c r="D32" s="66">
        <f>(LN(B32/$L$6)+($L$5+0.5*$L$4^2)*C32)/($L$4*SQRT(C32))</f>
        <v/>
      </c>
      <c r="E32" s="66">
        <f>NORMSDIST(D32)</f>
        <v/>
      </c>
      <c r="F32" s="61">
        <f>E32*$L$7</f>
        <v/>
      </c>
      <c r="G32" s="61">
        <f>F31*B32+H31*EXP($L$5*$L$9)</f>
        <v/>
      </c>
      <c r="H32" s="61">
        <f>G32-F32*B32</f>
        <v/>
      </c>
      <c r="I32" s="66">
        <f>LN(B32/B31)</f>
        <v/>
      </c>
    </row>
    <row r="33">
      <c r="A33">
        <f>A32+1</f>
        <v/>
      </c>
      <c r="B33" s="65">
        <f>StockPricePaths!C33</f>
        <v/>
      </c>
      <c r="C33" s="59">
        <f>$L$3-A33*$L$9</f>
        <v/>
      </c>
      <c r="D33" s="66">
        <f>(LN(B33/$L$6)+($L$5+0.5*$L$4^2)*C33)/($L$4*SQRT(C33))</f>
        <v/>
      </c>
      <c r="E33" s="66">
        <f>NORMSDIST(D33)</f>
        <v/>
      </c>
      <c r="F33" s="61">
        <f>E33*$L$7</f>
        <v/>
      </c>
      <c r="G33" s="61">
        <f>F32*B33+H32*EXP($L$5*$L$9)</f>
        <v/>
      </c>
      <c r="H33" s="61">
        <f>G33-F33*B33</f>
        <v/>
      </c>
      <c r="I33" s="66">
        <f>LN(B33/B32)</f>
        <v/>
      </c>
    </row>
    <row r="34">
      <c r="A34">
        <f>A33+1</f>
        <v/>
      </c>
      <c r="B34" s="65">
        <f>StockPricePaths!C34</f>
        <v/>
      </c>
      <c r="C34" s="59">
        <f>$L$3-A34*$L$9</f>
        <v/>
      </c>
      <c r="D34" s="66">
        <f>(LN(B34/$L$6)+($L$5+0.5*$L$4^2)*C34)/($L$4*SQRT(C34))</f>
        <v/>
      </c>
      <c r="E34" s="66">
        <f>NORMSDIST(D34)</f>
        <v/>
      </c>
      <c r="F34" s="61">
        <f>E34*$L$7</f>
        <v/>
      </c>
      <c r="G34" s="61">
        <f>F33*B34+H33*EXP($L$5*$L$9)</f>
        <v/>
      </c>
      <c r="H34" s="61">
        <f>G34-F34*B34</f>
        <v/>
      </c>
      <c r="I34" s="66">
        <f>LN(B34/B33)</f>
        <v/>
      </c>
    </row>
    <row r="35">
      <c r="A35">
        <f>A34+1</f>
        <v/>
      </c>
      <c r="B35" s="65">
        <f>StockPricePaths!C35</f>
        <v/>
      </c>
      <c r="C35" s="59">
        <f>$L$3-A35*$L$9</f>
        <v/>
      </c>
      <c r="D35" s="66">
        <f>(LN(B35/$L$6)+($L$5+0.5*$L$4^2)*C35)/($L$4*SQRT(C35))</f>
        <v/>
      </c>
      <c r="E35" s="66">
        <f>NORMSDIST(D35)</f>
        <v/>
      </c>
      <c r="F35" s="61">
        <f>E35*$L$7</f>
        <v/>
      </c>
      <c r="G35" s="61">
        <f>F34*B35+H34*EXP($L$5*$L$9)</f>
        <v/>
      </c>
      <c r="H35" s="61">
        <f>G35-F35*B35</f>
        <v/>
      </c>
      <c r="I35" s="66">
        <f>LN(B35/B34)</f>
        <v/>
      </c>
    </row>
    <row r="36">
      <c r="A36">
        <f>A35+1</f>
        <v/>
      </c>
      <c r="B36" s="65">
        <f>StockPricePaths!C36</f>
        <v/>
      </c>
      <c r="C36" s="59">
        <f>$L$3-A36*$L$9</f>
        <v/>
      </c>
      <c r="D36" s="66">
        <f>(LN(B36/$L$6)+($L$5+0.5*$L$4^2)*C36)/($L$4*SQRT(C36))</f>
        <v/>
      </c>
      <c r="E36" s="66">
        <f>NORMSDIST(D36)</f>
        <v/>
      </c>
      <c r="F36" s="61">
        <f>E36*$L$7</f>
        <v/>
      </c>
      <c r="G36" s="61">
        <f>F35*B36+H35*EXP($L$5*$L$9)</f>
        <v/>
      </c>
      <c r="H36" s="61">
        <f>G36-F36*B36</f>
        <v/>
      </c>
      <c r="I36" s="66">
        <f>LN(B36/B35)</f>
        <v/>
      </c>
    </row>
    <row r="37">
      <c r="A37">
        <f>A36+1</f>
        <v/>
      </c>
      <c r="B37" s="65">
        <f>StockPricePaths!C37</f>
        <v/>
      </c>
      <c r="C37" s="59">
        <f>$L$3-A37*$L$9</f>
        <v/>
      </c>
      <c r="D37" s="66">
        <f>(LN(B37/$L$6)+($L$5+0.5*$L$4^2)*C37)/($L$4*SQRT(C37))</f>
        <v/>
      </c>
      <c r="E37" s="66">
        <f>NORMSDIST(D37)</f>
        <v/>
      </c>
      <c r="F37" s="61">
        <f>E37*$L$7</f>
        <v/>
      </c>
      <c r="G37" s="61">
        <f>F36*B37+H36*EXP($L$5*$L$9)</f>
        <v/>
      </c>
      <c r="H37" s="61">
        <f>G37-F37*B37</f>
        <v/>
      </c>
      <c r="I37" s="66">
        <f>LN(B37/B36)</f>
        <v/>
      </c>
    </row>
    <row r="38">
      <c r="A38">
        <f>A37+1</f>
        <v/>
      </c>
      <c r="B38" s="65">
        <f>StockPricePaths!C38</f>
        <v/>
      </c>
      <c r="C38" s="59">
        <f>$L$3-A38*$L$9</f>
        <v/>
      </c>
      <c r="D38" s="66">
        <f>(LN(B38/$L$6)+($L$5+0.5*$L$4^2)*C38)/($L$4*SQRT(C38))</f>
        <v/>
      </c>
      <c r="E38" s="66">
        <f>NORMSDIST(D38)</f>
        <v/>
      </c>
      <c r="F38" s="61">
        <f>E38*$L$7</f>
        <v/>
      </c>
      <c r="G38" s="61">
        <f>F37*B38+H37*EXP($L$5*$L$9)</f>
        <v/>
      </c>
      <c r="H38" s="61">
        <f>G38-F38*B38</f>
        <v/>
      </c>
      <c r="I38" s="66">
        <f>LN(B38/B37)</f>
        <v/>
      </c>
    </row>
    <row r="39">
      <c r="A39">
        <f>A38+1</f>
        <v/>
      </c>
      <c r="B39" s="65">
        <f>StockPricePaths!C39</f>
        <v/>
      </c>
      <c r="C39" s="59">
        <f>$L$3-A39*$L$9</f>
        <v/>
      </c>
      <c r="D39" s="66">
        <f>(LN(B39/$L$6)+($L$5+0.5*$L$4^2)*C39)/($L$4*SQRT(C39))</f>
        <v/>
      </c>
      <c r="E39" s="66">
        <f>NORMSDIST(D39)</f>
        <v/>
      </c>
      <c r="F39" s="61">
        <f>E39*$L$7</f>
        <v/>
      </c>
      <c r="G39" s="61">
        <f>F38*B39+H38*EXP($L$5*$L$9)</f>
        <v/>
      </c>
      <c r="H39" s="61">
        <f>G39-F39*B39</f>
        <v/>
      </c>
      <c r="I39" s="66">
        <f>LN(B39/B38)</f>
        <v/>
      </c>
    </row>
    <row r="40">
      <c r="A40">
        <f>A39+1</f>
        <v/>
      </c>
      <c r="B40" s="65">
        <f>StockPricePaths!C40</f>
        <v/>
      </c>
      <c r="C40" s="59">
        <f>$L$3-A40*$L$9</f>
        <v/>
      </c>
      <c r="D40" s="66">
        <f>(LN(B40/$L$6)+($L$5+0.5*$L$4^2)*C40)/($L$4*SQRT(C40))</f>
        <v/>
      </c>
      <c r="E40" s="66">
        <f>NORMSDIST(D40)</f>
        <v/>
      </c>
      <c r="F40" s="61">
        <f>E40*$L$7</f>
        <v/>
      </c>
      <c r="G40" s="61">
        <f>F39*B40+H39*EXP($L$5*$L$9)</f>
        <v/>
      </c>
      <c r="H40" s="61">
        <f>G40-F40*B40</f>
        <v/>
      </c>
      <c r="I40" s="66">
        <f>LN(B40/B39)</f>
        <v/>
      </c>
    </row>
    <row r="41">
      <c r="A41">
        <f>A40+1</f>
        <v/>
      </c>
      <c r="B41" s="65">
        <f>StockPricePaths!C41</f>
        <v/>
      </c>
      <c r="C41" s="59">
        <f>$L$3-A41*$L$9</f>
        <v/>
      </c>
      <c r="D41" s="66">
        <f>(LN(B41/$L$6)+($L$5+0.5*$L$4^2)*C41)/($L$4*SQRT(C41))</f>
        <v/>
      </c>
      <c r="E41" s="66">
        <f>NORMSDIST(D41)</f>
        <v/>
      </c>
      <c r="F41" s="61">
        <f>E41*$L$7</f>
        <v/>
      </c>
      <c r="G41" s="61">
        <f>F40*B41+H40*EXP($L$5*$L$9)</f>
        <v/>
      </c>
      <c r="H41" s="61">
        <f>G41-F41*B41</f>
        <v/>
      </c>
      <c r="I41" s="66">
        <f>LN(B41/B40)</f>
        <v/>
      </c>
    </row>
    <row r="42">
      <c r="A42">
        <f>A41+1</f>
        <v/>
      </c>
      <c r="B42" s="65">
        <f>StockPricePaths!C42</f>
        <v/>
      </c>
      <c r="C42" s="59">
        <f>$L$3-A42*$L$9</f>
        <v/>
      </c>
      <c r="D42" s="66">
        <f>(LN(B42/$L$6)+($L$5+0.5*$L$4^2)*C42)/($L$4*SQRT(C42))</f>
        <v/>
      </c>
      <c r="E42" s="66">
        <f>NORMSDIST(D42)</f>
        <v/>
      </c>
      <c r="F42" s="61">
        <f>E42*$L$7</f>
        <v/>
      </c>
      <c r="G42" s="61">
        <f>F41*B42+H41*EXP($L$5*$L$9)</f>
        <v/>
      </c>
      <c r="H42" s="61">
        <f>G42-F42*B42</f>
        <v/>
      </c>
      <c r="I42" s="66">
        <f>LN(B42/B41)</f>
        <v/>
      </c>
    </row>
    <row r="43">
      <c r="A43">
        <f>A42+1</f>
        <v/>
      </c>
      <c r="B43" s="65">
        <f>StockPricePaths!C43</f>
        <v/>
      </c>
      <c r="C43" s="59">
        <f>$L$3-A43*$L$9</f>
        <v/>
      </c>
      <c r="D43" s="66">
        <f>(LN(B43/$L$6)+($L$5+0.5*$L$4^2)*C43)/($L$4*SQRT(C43))</f>
        <v/>
      </c>
      <c r="E43" s="66">
        <f>NORMSDIST(D43)</f>
        <v/>
      </c>
      <c r="F43" s="61">
        <f>E43*$L$7</f>
        <v/>
      </c>
      <c r="G43" s="61">
        <f>F42*B43+H42*EXP($L$5*$L$9)</f>
        <v/>
      </c>
      <c r="H43" s="61">
        <f>G43-F43*B43</f>
        <v/>
      </c>
      <c r="I43" s="66">
        <f>LN(B43/B42)</f>
        <v/>
      </c>
    </row>
    <row r="44">
      <c r="A44">
        <f>A43+1</f>
        <v/>
      </c>
      <c r="B44" s="65">
        <f>StockPricePaths!C44</f>
        <v/>
      </c>
      <c r="C44" s="59">
        <f>$L$3-A44*$L$9</f>
        <v/>
      </c>
      <c r="D44" s="66">
        <f>(LN(B44/$L$6)+($L$5+0.5*$L$4^2)*C44)/($L$4*SQRT(C44))</f>
        <v/>
      </c>
      <c r="E44" s="66">
        <f>NORMSDIST(D44)</f>
        <v/>
      </c>
      <c r="F44" s="61">
        <f>E44*$L$7</f>
        <v/>
      </c>
      <c r="G44" s="61">
        <f>F43*B44+H43*EXP($L$5*$L$9)</f>
        <v/>
      </c>
      <c r="H44" s="61">
        <f>G44-F44*B44</f>
        <v/>
      </c>
      <c r="I44" s="66">
        <f>LN(B44/B43)</f>
        <v/>
      </c>
    </row>
    <row r="45">
      <c r="A45">
        <f>A44+1</f>
        <v/>
      </c>
      <c r="B45" s="65">
        <f>StockPricePaths!C45</f>
        <v/>
      </c>
      <c r="C45" s="59">
        <f>$L$3-A45*$L$9</f>
        <v/>
      </c>
      <c r="D45" s="66">
        <f>(LN(B45/$L$6)+($L$5+0.5*$L$4^2)*C45)/($L$4*SQRT(C45))</f>
        <v/>
      </c>
      <c r="E45" s="66">
        <f>NORMSDIST(D45)</f>
        <v/>
      </c>
      <c r="F45" s="61">
        <f>E45*$L$7</f>
        <v/>
      </c>
      <c r="G45" s="61">
        <f>F44*B45+H44*EXP($L$5*$L$9)</f>
        <v/>
      </c>
      <c r="H45" s="61">
        <f>G45-F45*B45</f>
        <v/>
      </c>
      <c r="I45" s="66">
        <f>LN(B45/B44)</f>
        <v/>
      </c>
    </row>
    <row r="46">
      <c r="A46">
        <f>A45+1</f>
        <v/>
      </c>
      <c r="B46" s="65">
        <f>StockPricePaths!C46</f>
        <v/>
      </c>
      <c r="C46" s="59">
        <f>$L$3-A46*$L$9</f>
        <v/>
      </c>
      <c r="D46" s="66">
        <f>(LN(B46/$L$6)+($L$5+0.5*$L$4^2)*C46)/($L$4*SQRT(C46))</f>
        <v/>
      </c>
      <c r="E46" s="66">
        <f>NORMSDIST(D46)</f>
        <v/>
      </c>
      <c r="F46" s="61">
        <f>E46*$L$7</f>
        <v/>
      </c>
      <c r="G46" s="61">
        <f>F45*B46+H45*EXP($L$5*$L$9)</f>
        <v/>
      </c>
      <c r="H46" s="61">
        <f>G46-F46*B46</f>
        <v/>
      </c>
      <c r="I46" s="66">
        <f>LN(B46/B45)</f>
        <v/>
      </c>
    </row>
    <row r="47">
      <c r="A47">
        <f>A46+1</f>
        <v/>
      </c>
      <c r="B47" s="65">
        <f>StockPricePaths!C47</f>
        <v/>
      </c>
      <c r="C47" s="59">
        <f>$L$3-A47*$L$9</f>
        <v/>
      </c>
      <c r="D47" s="66">
        <f>(LN(B47/$L$6)+($L$5+0.5*$L$4^2)*C47)/($L$4*SQRT(C47))</f>
        <v/>
      </c>
      <c r="E47" s="66">
        <f>NORMSDIST(D47)</f>
        <v/>
      </c>
      <c r="F47" s="61">
        <f>E47*$L$7</f>
        <v/>
      </c>
      <c r="G47" s="61">
        <f>F46*B47+H46*EXP($L$5*$L$9)</f>
        <v/>
      </c>
      <c r="H47" s="61">
        <f>G47-F47*B47</f>
        <v/>
      </c>
      <c r="I47" s="66">
        <f>LN(B47/B46)</f>
        <v/>
      </c>
    </row>
    <row r="48">
      <c r="A48">
        <f>A47+1</f>
        <v/>
      </c>
      <c r="B48" s="65">
        <f>StockPricePaths!C48</f>
        <v/>
      </c>
      <c r="C48" s="59">
        <f>$L$3-A48*$L$9</f>
        <v/>
      </c>
      <c r="D48" s="66">
        <f>(LN(B48/$L$6)+($L$5+0.5*$L$4^2)*C48)/($L$4*SQRT(C48))</f>
        <v/>
      </c>
      <c r="E48" s="66">
        <f>NORMSDIST(D48)</f>
        <v/>
      </c>
      <c r="F48" s="61">
        <f>E48*$L$7</f>
        <v/>
      </c>
      <c r="G48" s="61">
        <f>F47*B48+H47*EXP($L$5*$L$9)</f>
        <v/>
      </c>
      <c r="H48" s="61">
        <f>G48-F48*B48</f>
        <v/>
      </c>
      <c r="I48" s="66">
        <f>LN(B48/B47)</f>
        <v/>
      </c>
    </row>
    <row r="49">
      <c r="A49">
        <f>A48+1</f>
        <v/>
      </c>
      <c r="B49" s="65">
        <f>StockPricePaths!C49</f>
        <v/>
      </c>
      <c r="C49" s="59">
        <f>$L$3-A49*$L$9</f>
        <v/>
      </c>
      <c r="D49" s="66">
        <f>(LN(B49/$L$6)+($L$5+0.5*$L$4^2)*C49)/($L$4*SQRT(C49))</f>
        <v/>
      </c>
      <c r="E49" s="66">
        <f>NORMSDIST(D49)</f>
        <v/>
      </c>
      <c r="F49" s="61">
        <f>E49*$L$7</f>
        <v/>
      </c>
      <c r="G49" s="61">
        <f>F48*B49+H48*EXP($L$5*$L$9)</f>
        <v/>
      </c>
      <c r="H49" s="61">
        <f>G49-F49*B49</f>
        <v/>
      </c>
      <c r="I49" s="66">
        <f>LN(B49/B48)</f>
        <v/>
      </c>
    </row>
    <row r="50">
      <c r="A50">
        <f>A49+1</f>
        <v/>
      </c>
      <c r="B50" s="65">
        <f>StockPricePaths!C50</f>
        <v/>
      </c>
      <c r="C50" s="59">
        <f>$L$3-A50*$L$9</f>
        <v/>
      </c>
      <c r="D50" s="66">
        <f>(LN(B50/$L$6)+($L$5+0.5*$L$4^2)*C50)/($L$4*SQRT(C50))</f>
        <v/>
      </c>
      <c r="E50" s="66">
        <f>NORMSDIST(D50)</f>
        <v/>
      </c>
      <c r="F50" s="61">
        <f>E50*$L$7</f>
        <v/>
      </c>
      <c r="G50" s="61">
        <f>F49*B50+H49*EXP($L$5*$L$9)</f>
        <v/>
      </c>
      <c r="H50" s="61">
        <f>G50-F50*B50</f>
        <v/>
      </c>
      <c r="I50" s="66">
        <f>LN(B50/B49)</f>
        <v/>
      </c>
    </row>
    <row r="51">
      <c r="A51">
        <f>A50+1</f>
        <v/>
      </c>
      <c r="B51" s="65">
        <f>StockPricePaths!C51</f>
        <v/>
      </c>
      <c r="C51" s="59">
        <f>$L$3-A51*$L$9</f>
        <v/>
      </c>
      <c r="D51" s="66">
        <f>(LN(B51/$L$6)+($L$5+0.5*$L$4^2)*C51)/($L$4*SQRT(C51))</f>
        <v/>
      </c>
      <c r="E51" s="66">
        <f>NORMSDIST(D51)</f>
        <v/>
      </c>
      <c r="F51" s="61">
        <f>E51*$L$7</f>
        <v/>
      </c>
      <c r="G51" s="61">
        <f>F50*B51+H50*EXP($L$5*$L$9)</f>
        <v/>
      </c>
      <c r="H51" s="61">
        <f>G51-F51*B51</f>
        <v/>
      </c>
      <c r="I51" s="66">
        <f>LN(B51/B50)</f>
        <v/>
      </c>
    </row>
    <row r="52">
      <c r="A52">
        <f>A51+1</f>
        <v/>
      </c>
      <c r="B52" s="65">
        <f>StockPricePaths!C52</f>
        <v/>
      </c>
      <c r="C52" s="59">
        <f>$L$3-A52*$L$9</f>
        <v/>
      </c>
      <c r="G52" s="61">
        <f>F51*B52+H51*EXP($L$5*$L$9)</f>
        <v/>
      </c>
      <c r="I52" s="66">
        <f>LN(B52/B51)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style="30" min="1" max="1"/>
    <col width="16" customWidth="1" style="30" min="2" max="2"/>
    <col width="20" customWidth="1" style="30" min="3" max="3"/>
    <col width="11" customWidth="1" style="30" min="4" max="4"/>
    <col width="13" customWidth="1" style="30" min="5" max="5"/>
    <col width="17" customWidth="1" style="30" min="6" max="6"/>
    <col width="24" customWidth="1" style="30" min="7" max="7"/>
    <col width="20" customWidth="1" style="30" min="8" max="8"/>
    <col width="22" customWidth="1" style="30" min="9" max="9"/>
    <col width="42" customWidth="1" style="30" min="11" max="11"/>
    <col width="18" customWidth="1" style="30" min="12" max="12"/>
  </cols>
  <sheetData>
    <row r="1">
      <c r="A1" s="56" t="inlineStr">
        <is>
          <t>Period t</t>
        </is>
      </c>
      <c r="B1" s="56" t="inlineStr">
        <is>
          <t>Stock Price S_t</t>
        </is>
      </c>
      <c r="C1" s="56" t="inlineStr">
        <is>
          <t>Time to maturity (T-t)</t>
        </is>
      </c>
      <c r="D1" s="56" t="inlineStr">
        <is>
          <t>d1</t>
        </is>
      </c>
      <c r="E1" s="56" t="inlineStr">
        <is>
          <t>Delta = N(d1)</t>
        </is>
      </c>
      <c r="F1" s="56" t="inlineStr">
        <is>
          <t># Stocks held x_t</t>
        </is>
      </c>
      <c r="G1" s="56" t="inlineStr">
        <is>
          <t>S.F. Portfolio Value V_t</t>
        </is>
      </c>
      <c r="H1" s="56" t="inlineStr">
        <is>
          <t>Cash Account $ c_t</t>
        </is>
      </c>
      <c r="I1" s="56" t="inlineStr">
        <is>
          <t>Log-return ln(S_t/S_t-1)</t>
        </is>
      </c>
      <c r="K1" s="57" t="inlineStr">
        <is>
          <t>Parameter</t>
        </is>
      </c>
      <c r="L1" s="57" t="inlineStr">
        <is>
          <t>Value</t>
        </is>
      </c>
    </row>
    <row r="2">
      <c r="A2" t="n">
        <v>0</v>
      </c>
      <c r="B2" s="65">
        <f>StockPricePaths!D2</f>
        <v/>
      </c>
      <c r="C2" s="59">
        <f>$L$3-A2*$L$9</f>
        <v/>
      </c>
      <c r="D2" s="66">
        <f>(LN(B2/$L$6)+($L$5+0.5*$L$4^2)*C2)/($L$4*SQRT(C2))</f>
        <v/>
      </c>
      <c r="E2" s="66">
        <f>NORMSDIST(D2)</f>
        <v/>
      </c>
      <c r="F2" s="61">
        <f>E2*$L$7</f>
        <v/>
      </c>
      <c r="G2" s="61">
        <f>$L$7*(B2*NORMSDIST(D2)-$L$6*EXP(-$L$5*C2)*NORMSDIST(D2-$L$4*SQRT(C2)))</f>
        <v/>
      </c>
      <c r="H2" s="61">
        <f>G2-F2*B2</f>
        <v/>
      </c>
      <c r="K2" t="inlineStr">
        <is>
          <t>Initial stock price S0</t>
        </is>
      </c>
      <c r="L2">
        <f>DemoSheet!$B$2</f>
        <v/>
      </c>
    </row>
    <row r="3">
      <c r="A3">
        <f>A2+1</f>
        <v/>
      </c>
      <c r="B3" s="65">
        <f>StockPricePaths!D3</f>
        <v/>
      </c>
      <c r="C3" s="59">
        <f>$L$3-A3*$L$9</f>
        <v/>
      </c>
      <c r="D3" s="66">
        <f>(LN(B3/$L$6)+($L$5+0.5*$L$4^2)*C3)/($L$4*SQRT(C3))</f>
        <v/>
      </c>
      <c r="E3" s="66">
        <f>NORMSDIST(D3)</f>
        <v/>
      </c>
      <c r="F3" s="61">
        <f>E3*$L$7</f>
        <v/>
      </c>
      <c r="G3" s="61">
        <f>F2*B3+H2*EXP($L$5*$L$9)</f>
        <v/>
      </c>
      <c r="H3" s="61">
        <f>G3-F3*B3</f>
        <v/>
      </c>
      <c r="I3" s="66">
        <f>LN(B3/B2)</f>
        <v/>
      </c>
      <c r="K3" t="inlineStr">
        <is>
          <t>Expiration T (years)</t>
        </is>
      </c>
      <c r="L3">
        <f>DemoSheet!$B$3</f>
        <v/>
      </c>
    </row>
    <row r="4">
      <c r="A4">
        <f>A3+1</f>
        <v/>
      </c>
      <c r="B4" s="65">
        <f>StockPricePaths!D4</f>
        <v/>
      </c>
      <c r="C4" s="59">
        <f>$L$3-A4*$L$9</f>
        <v/>
      </c>
      <c r="D4" s="66">
        <f>(LN(B4/$L$6)+($L$5+0.5*$L$4^2)*C4)/($L$4*SQRT(C4))</f>
        <v/>
      </c>
      <c r="E4" s="66">
        <f>NORMSDIST(D4)</f>
        <v/>
      </c>
      <c r="F4" s="61">
        <f>E4*$L$7</f>
        <v/>
      </c>
      <c r="G4" s="61">
        <f>F3*B4+H3*EXP($L$5*$L$9)</f>
        <v/>
      </c>
      <c r="H4" s="61">
        <f>G4-F4*B4</f>
        <v/>
      </c>
      <c r="I4" s="66">
        <f>LN(B4/B3)</f>
        <v/>
      </c>
      <c r="K4" t="inlineStr">
        <is>
          <t>Implied volatility</t>
        </is>
      </c>
      <c r="L4">
        <f>DemoSheet!$B$4</f>
        <v/>
      </c>
    </row>
    <row r="5">
      <c r="A5">
        <f>A4+1</f>
        <v/>
      </c>
      <c r="B5" s="65">
        <f>StockPricePaths!D5</f>
        <v/>
      </c>
      <c r="C5" s="59">
        <f>$L$3-A5*$L$9</f>
        <v/>
      </c>
      <c r="D5" s="66">
        <f>(LN(B5/$L$6)+($L$5+0.5*$L$4^2)*C5)/($L$4*SQRT(C5))</f>
        <v/>
      </c>
      <c r="E5" s="66">
        <f>NORMSDIST(D5)</f>
        <v/>
      </c>
      <c r="F5" s="61">
        <f>E5*$L$7</f>
        <v/>
      </c>
      <c r="G5" s="61">
        <f>F4*B5+H4*EXP($L$5*$L$9)</f>
        <v/>
      </c>
      <c r="H5" s="61">
        <f>G5-F5*B5</f>
        <v/>
      </c>
      <c r="I5" s="66">
        <f>LN(B5/B4)</f>
        <v/>
      </c>
      <c r="K5" t="inlineStr">
        <is>
          <t>Risk-free rate r</t>
        </is>
      </c>
      <c r="L5">
        <f>DemoSheet!$B$5</f>
        <v/>
      </c>
    </row>
    <row r="6">
      <c r="A6">
        <f>A5+1</f>
        <v/>
      </c>
      <c r="B6" s="65">
        <f>StockPricePaths!D6</f>
        <v/>
      </c>
      <c r="C6" s="59">
        <f>$L$3-A6*$L$9</f>
        <v/>
      </c>
      <c r="D6" s="66">
        <f>(LN(B6/$L$6)+($L$5+0.5*$L$4^2)*C6)/($L$4*SQRT(C6))</f>
        <v/>
      </c>
      <c r="E6" s="66">
        <f>NORMSDIST(D6)</f>
        <v/>
      </c>
      <c r="F6" s="61">
        <f>E6*$L$7</f>
        <v/>
      </c>
      <c r="G6" s="61">
        <f>F5*B6+H5*EXP($L$5*$L$9)</f>
        <v/>
      </c>
      <c r="H6" s="61">
        <f>G6-F6*B6</f>
        <v/>
      </c>
      <c r="I6" s="66">
        <f>LN(B6/B5)</f>
        <v/>
      </c>
      <c r="K6" t="inlineStr">
        <is>
          <t>Strike K</t>
        </is>
      </c>
      <c r="L6">
        <f>DemoSheet!$B$6</f>
        <v/>
      </c>
    </row>
    <row r="7">
      <c r="A7">
        <f>A6+1</f>
        <v/>
      </c>
      <c r="B7" s="65">
        <f>StockPricePaths!D7</f>
        <v/>
      </c>
      <c r="C7" s="59">
        <f>$L$3-A7*$L$9</f>
        <v/>
      </c>
      <c r="D7" s="66">
        <f>(LN(B7/$L$6)+($L$5+0.5*$L$4^2)*C7)/($L$4*SQRT(C7))</f>
        <v/>
      </c>
      <c r="E7" s="66">
        <f>NORMSDIST(D7)</f>
        <v/>
      </c>
      <c r="F7" s="61">
        <f>E7*$L$7</f>
        <v/>
      </c>
      <c r="G7" s="61">
        <f>F6*B7+H6*EXP($L$5*$L$9)</f>
        <v/>
      </c>
      <c r="H7" s="61">
        <f>G7-F7*B7</f>
        <v/>
      </c>
      <c r="I7" s="66">
        <f>LN(B7/B6)</f>
        <v/>
      </c>
      <c r="K7" t="inlineStr">
        <is>
          <t># of options sold</t>
        </is>
      </c>
      <c r="L7">
        <f>DemoSheet!$B$7</f>
        <v/>
      </c>
    </row>
    <row r="8">
      <c r="A8">
        <f>A7+1</f>
        <v/>
      </c>
      <c r="B8" s="65">
        <f>StockPricePaths!D8</f>
        <v/>
      </c>
      <c r="C8" s="59">
        <f>$L$3-A8*$L$9</f>
        <v/>
      </c>
      <c r="D8" s="66">
        <f>(LN(B8/$L$6)+($L$5+0.5*$L$4^2)*C8)/($L$4*SQRT(C8))</f>
        <v/>
      </c>
      <c r="E8" s="66">
        <f>NORMSDIST(D8)</f>
        <v/>
      </c>
      <c r="F8" s="61">
        <f>E8*$L$7</f>
        <v/>
      </c>
      <c r="G8" s="61">
        <f>F7*B8+H7*EXP($L$5*$L$9)</f>
        <v/>
      </c>
      <c r="H8" s="61">
        <f>G8-F8*B8</f>
        <v/>
      </c>
      <c r="I8" s="66">
        <f>LN(B8/B7)</f>
        <v/>
      </c>
      <c r="K8" t="inlineStr">
        <is>
          <t># of hedging periods</t>
        </is>
      </c>
      <c r="L8">
        <f>DemoSheet!$B$8</f>
        <v/>
      </c>
    </row>
    <row r="9">
      <c r="A9">
        <f>A8+1</f>
        <v/>
      </c>
      <c r="B9" s="65">
        <f>StockPricePaths!D9</f>
        <v/>
      </c>
      <c r="C9" s="59">
        <f>$L$3-A9*$L$9</f>
        <v/>
      </c>
      <c r="D9" s="66">
        <f>(LN(B9/$L$6)+($L$5+0.5*$L$4^2)*C9)/($L$4*SQRT(C9))</f>
        <v/>
      </c>
      <c r="E9" s="66">
        <f>NORMSDIST(D9)</f>
        <v/>
      </c>
      <c r="F9" s="61">
        <f>E9*$L$7</f>
        <v/>
      </c>
      <c r="G9" s="61">
        <f>F8*B9+H8*EXP($L$5*$L$9)</f>
        <v/>
      </c>
      <c r="H9" s="61">
        <f>G9-F9*B9</f>
        <v/>
      </c>
      <c r="I9" s="66">
        <f>LN(B9/B8)</f>
        <v/>
      </c>
      <c r="K9" t="inlineStr">
        <is>
          <t>dt = T / # periods</t>
        </is>
      </c>
      <c r="L9">
        <f>L3/L8</f>
        <v/>
      </c>
    </row>
    <row r="10">
      <c r="A10">
        <f>A9+1</f>
        <v/>
      </c>
      <c r="B10" s="65">
        <f>StockPricePaths!D10</f>
        <v/>
      </c>
      <c r="C10" s="59">
        <f>$L$3-A10*$L$9</f>
        <v/>
      </c>
      <c r="D10" s="66">
        <f>(LN(B10/$L$6)+($L$5+0.5*$L$4^2)*C10)/($L$4*SQRT(C10))</f>
        <v/>
      </c>
      <c r="E10" s="66">
        <f>NORMSDIST(D10)</f>
        <v/>
      </c>
      <c r="F10" s="61">
        <f>E10*$L$7</f>
        <v/>
      </c>
      <c r="G10" s="61">
        <f>F9*B10+H9*EXP($L$5*$L$9)</f>
        <v/>
      </c>
      <c r="H10" s="61">
        <f>G10-F10*B10</f>
        <v/>
      </c>
      <c r="I10" s="66">
        <f>LN(B10/B9)</f>
        <v/>
      </c>
    </row>
    <row r="11">
      <c r="A11">
        <f>A10+1</f>
        <v/>
      </c>
      <c r="B11" s="65">
        <f>StockPricePaths!D11</f>
        <v/>
      </c>
      <c r="C11" s="59">
        <f>$L$3-A11*$L$9</f>
        <v/>
      </c>
      <c r="D11" s="66">
        <f>(LN(B11/$L$6)+($L$5+0.5*$L$4^2)*C11)/($L$4*SQRT(C11))</f>
        <v/>
      </c>
      <c r="E11" s="66">
        <f>NORMSDIST(D11)</f>
        <v/>
      </c>
      <c r="F11" s="61">
        <f>E11*$L$7</f>
        <v/>
      </c>
      <c r="G11" s="61">
        <f>F10*B11+H10*EXP($L$5*$L$9)</f>
        <v/>
      </c>
      <c r="H11" s="61">
        <f>G11-F11*B11</f>
        <v/>
      </c>
      <c r="I11" s="66">
        <f>LN(B11/B10)</f>
        <v/>
      </c>
      <c r="K11" s="40" t="inlineStr">
        <is>
          <t>RESULTS</t>
        </is>
      </c>
    </row>
    <row r="12">
      <c r="A12">
        <f>A11+1</f>
        <v/>
      </c>
      <c r="B12" s="65">
        <f>StockPricePaths!D12</f>
        <v/>
      </c>
      <c r="C12" s="59">
        <f>$L$3-A12*$L$9</f>
        <v/>
      </c>
      <c r="D12" s="66">
        <f>(LN(B12/$L$6)+($L$5+0.5*$L$4^2)*C12)/($L$4*SQRT(C12))</f>
        <v/>
      </c>
      <c r="E12" s="66">
        <f>NORMSDIST(D12)</f>
        <v/>
      </c>
      <c r="F12" s="61">
        <f>E12*$L$7</f>
        <v/>
      </c>
      <c r="G12" s="61">
        <f>F11*B12+H11*EXP($L$5*$L$9)</f>
        <v/>
      </c>
      <c r="H12" s="61">
        <f>G12-F12*B12</f>
        <v/>
      </c>
      <c r="I12" s="66">
        <f>LN(B12/B11)</f>
        <v/>
      </c>
      <c r="K12" s="62" t="inlineStr">
        <is>
          <t>Mean log-return (annualized)</t>
        </is>
      </c>
      <c r="L12" s="59">
        <f>AVERAGE(I3:I52)/$L$9</f>
        <v/>
      </c>
    </row>
    <row r="13">
      <c r="A13">
        <f>A12+1</f>
        <v/>
      </c>
      <c r="B13" s="65">
        <f>StockPricePaths!D13</f>
        <v/>
      </c>
      <c r="C13" s="59">
        <f>$L$3-A13*$L$9</f>
        <v/>
      </c>
      <c r="D13" s="66">
        <f>(LN(B13/$L$6)+($L$5+0.5*$L$4^2)*C13)/($L$4*SQRT(C13))</f>
        <v/>
      </c>
      <c r="E13" s="66">
        <f>NORMSDIST(D13)</f>
        <v/>
      </c>
      <c r="F13" s="61">
        <f>E13*$L$7</f>
        <v/>
      </c>
      <c r="G13" s="61">
        <f>F12*B13+H12*EXP($L$5*$L$9)</f>
        <v/>
      </c>
      <c r="H13" s="61">
        <f>G13-F13*B13</f>
        <v/>
      </c>
      <c r="I13" s="66">
        <f>LN(B13/B12)</f>
        <v/>
      </c>
      <c r="K13" s="62" t="inlineStr">
        <is>
          <t>Realized volatility (annualized)</t>
        </is>
      </c>
      <c r="L13" s="66">
        <f>STDEV(I3:I52)/SQRT($L$9)</f>
        <v/>
      </c>
    </row>
    <row r="14">
      <c r="A14">
        <f>A13+1</f>
        <v/>
      </c>
      <c r="B14" s="65">
        <f>StockPricePaths!D14</f>
        <v/>
      </c>
      <c r="C14" s="59">
        <f>$L$3-A14*$L$9</f>
        <v/>
      </c>
      <c r="D14" s="66">
        <f>(LN(B14/$L$6)+($L$5+0.5*$L$4^2)*C14)/($L$4*SQRT(C14))</f>
        <v/>
      </c>
      <c r="E14" s="66">
        <f>NORMSDIST(D14)</f>
        <v/>
      </c>
      <c r="F14" s="61">
        <f>E14*$L$7</f>
        <v/>
      </c>
      <c r="G14" s="61">
        <f>F13*B14+H13*EXP($L$5*$L$9)</f>
        <v/>
      </c>
      <c r="H14" s="61">
        <f>G14-F14*B14</f>
        <v/>
      </c>
      <c r="I14" s="66">
        <f>LN(B14/B13)</f>
        <v/>
      </c>
      <c r="K14" s="62" t="inlineStr">
        <is>
          <t>ANSWER - realized vol in %, 2 dp</t>
        </is>
      </c>
      <c r="L14" s="43">
        <f>ROUND(L13*100,2)</f>
        <v/>
      </c>
    </row>
    <row r="15">
      <c r="A15">
        <f>A14+1</f>
        <v/>
      </c>
      <c r="B15" s="65">
        <f>StockPricePaths!D15</f>
        <v/>
      </c>
      <c r="C15" s="59">
        <f>$L$3-A15*$L$9</f>
        <v/>
      </c>
      <c r="D15" s="66">
        <f>(LN(B15/$L$6)+($L$5+0.5*$L$4^2)*C15)/($L$4*SQRT(C15))</f>
        <v/>
      </c>
      <c r="E15" s="66">
        <f>NORMSDIST(D15)</f>
        <v/>
      </c>
      <c r="F15" s="61">
        <f>E15*$L$7</f>
        <v/>
      </c>
      <c r="G15" s="61">
        <f>F14*B15+H14*EXP($L$5*$L$9)</f>
        <v/>
      </c>
      <c r="H15" s="61">
        <f>G15-F15*B15</f>
        <v/>
      </c>
      <c r="I15" s="66">
        <f>LN(B15/B14)</f>
        <v/>
      </c>
      <c r="K15" s="62" t="inlineStr">
        <is>
          <t>Terminal stock price S_T</t>
        </is>
      </c>
      <c r="L15" s="65">
        <f>B52</f>
        <v/>
      </c>
    </row>
    <row r="16">
      <c r="A16">
        <f>A15+1</f>
        <v/>
      </c>
      <c r="B16" s="65">
        <f>StockPricePaths!D16</f>
        <v/>
      </c>
      <c r="C16" s="59">
        <f>$L$3-A16*$L$9</f>
        <v/>
      </c>
      <c r="D16" s="66">
        <f>(LN(B16/$L$6)+($L$5+0.5*$L$4^2)*C16)/($L$4*SQRT(C16))</f>
        <v/>
      </c>
      <c r="E16" s="66">
        <f>NORMSDIST(D16)</f>
        <v/>
      </c>
      <c r="F16" s="61">
        <f>E16*$L$7</f>
        <v/>
      </c>
      <c r="G16" s="61">
        <f>F15*B16+H15*EXP($L$5*$L$9)</f>
        <v/>
      </c>
      <c r="H16" s="61">
        <f>G16-F16*B16</f>
        <v/>
      </c>
      <c r="I16" s="66">
        <f>LN(B16/B15)</f>
        <v/>
      </c>
      <c r="K16" s="62" t="inlineStr">
        <is>
          <t>Option payoff = # options x MAX(S_T-K,0)</t>
        </is>
      </c>
      <c r="L16" s="61">
        <f>MAX(L15-$L$6,0)*$L$7</f>
        <v/>
      </c>
    </row>
    <row r="17">
      <c r="A17">
        <f>A16+1</f>
        <v/>
      </c>
      <c r="B17" s="65">
        <f>StockPricePaths!D17</f>
        <v/>
      </c>
      <c r="C17" s="59">
        <f>$L$3-A17*$L$9</f>
        <v/>
      </c>
      <c r="D17" s="66">
        <f>(LN(B17/$L$6)+($L$5+0.5*$L$4^2)*C17)/($L$4*SQRT(C17))</f>
        <v/>
      </c>
      <c r="E17" s="66">
        <f>NORMSDIST(D17)</f>
        <v/>
      </c>
      <c r="F17" s="61">
        <f>E17*$L$7</f>
        <v/>
      </c>
      <c r="G17" s="61">
        <f>F16*B17+H16*EXP($L$5*$L$9)</f>
        <v/>
      </c>
      <c r="H17" s="61">
        <f>G17-F17*B17</f>
        <v/>
      </c>
      <c r="I17" s="66">
        <f>LN(B17/B16)</f>
        <v/>
      </c>
      <c r="K17" s="62" t="inlineStr">
        <is>
          <t>Final self-financing portfolio V_T</t>
        </is>
      </c>
      <c r="L17" s="61">
        <f>G52</f>
        <v/>
      </c>
    </row>
    <row r="18">
      <c r="A18">
        <f>A17+1</f>
        <v/>
      </c>
      <c r="B18" s="65">
        <f>StockPricePaths!D18</f>
        <v/>
      </c>
      <c r="C18" s="59">
        <f>$L$3-A18*$L$9</f>
        <v/>
      </c>
      <c r="D18" s="66">
        <f>(LN(B18/$L$6)+($L$5+0.5*$L$4^2)*C18)/($L$4*SQRT(C18))</f>
        <v/>
      </c>
      <c r="E18" s="66">
        <f>NORMSDIST(D18)</f>
        <v/>
      </c>
      <c r="F18" s="61">
        <f>E18*$L$7</f>
        <v/>
      </c>
      <c r="G18" s="61">
        <f>F17*B18+H17*EXP($L$5*$L$9)</f>
        <v/>
      </c>
      <c r="H18" s="61">
        <f>G18-F18*B18</f>
        <v/>
      </c>
      <c r="I18" s="66">
        <f>LN(B18/B17)</f>
        <v/>
      </c>
      <c r="K18" s="62" t="inlineStr">
        <is>
          <t>Total hedging P&amp;L = V_T - payoff</t>
        </is>
      </c>
      <c r="L18" s="61">
        <f>L17-L16</f>
        <v/>
      </c>
    </row>
    <row r="19">
      <c r="A19">
        <f>A18+1</f>
        <v/>
      </c>
      <c r="B19" s="65">
        <f>StockPricePaths!D19</f>
        <v/>
      </c>
      <c r="C19" s="59">
        <f>$L$3-A19*$L$9</f>
        <v/>
      </c>
      <c r="D19" s="66">
        <f>(LN(B19/$L$6)+($L$5+0.5*$L$4^2)*C19)/($L$4*SQRT(C19))</f>
        <v/>
      </c>
      <c r="E19" s="66">
        <f>NORMSDIST(D19)</f>
        <v/>
      </c>
      <c r="F19" s="61">
        <f>E19*$L$7</f>
        <v/>
      </c>
      <c r="G19" s="61">
        <f>F18*B19+H18*EXP($L$5*$L$9)</f>
        <v/>
      </c>
      <c r="H19" s="61">
        <f>G19-F19*B19</f>
        <v/>
      </c>
      <c r="I19" s="66">
        <f>LN(B19/B18)</f>
        <v/>
      </c>
      <c r="K19" s="62" t="inlineStr">
        <is>
          <t>ANSWER - P&amp;L to nearest integer</t>
        </is>
      </c>
      <c r="L19" s="44">
        <f>ROUND(L18,0)</f>
        <v/>
      </c>
    </row>
    <row r="20">
      <c r="A20">
        <f>A19+1</f>
        <v/>
      </c>
      <c r="B20" s="65">
        <f>StockPricePaths!D20</f>
        <v/>
      </c>
      <c r="C20" s="59">
        <f>$L$3-A20*$L$9</f>
        <v/>
      </c>
      <c r="D20" s="66">
        <f>(LN(B20/$L$6)+($L$5+0.5*$L$4^2)*C20)/($L$4*SQRT(C20))</f>
        <v/>
      </c>
      <c r="E20" s="66">
        <f>NORMSDIST(D20)</f>
        <v/>
      </c>
      <c r="F20" s="61">
        <f>E20*$L$7</f>
        <v/>
      </c>
      <c r="G20" s="61">
        <f>F19*B20+H19*EXP($L$5*$L$9)</f>
        <v/>
      </c>
      <c r="H20" s="61">
        <f>G20-F20*B20</f>
        <v/>
      </c>
      <c r="I20" s="66">
        <f>LN(B20/B19)</f>
        <v/>
      </c>
    </row>
    <row r="21">
      <c r="A21">
        <f>A20+1</f>
        <v/>
      </c>
      <c r="B21" s="65">
        <f>StockPricePaths!D21</f>
        <v/>
      </c>
      <c r="C21" s="59">
        <f>$L$3-A21*$L$9</f>
        <v/>
      </c>
      <c r="D21" s="66">
        <f>(LN(B21/$L$6)+($L$5+0.5*$L$4^2)*C21)/($L$4*SQRT(C21))</f>
        <v/>
      </c>
      <c r="E21" s="66">
        <f>NORMSDIST(D21)</f>
        <v/>
      </c>
      <c r="F21" s="61">
        <f>E21*$L$7</f>
        <v/>
      </c>
      <c r="G21" s="61">
        <f>F20*B21+H20*EXP($L$5*$L$9)</f>
        <v/>
      </c>
      <c r="H21" s="61">
        <f>G21-F21*B21</f>
        <v/>
      </c>
      <c r="I21" s="66">
        <f>LN(B21/B20)</f>
        <v/>
      </c>
      <c r="K21" s="57" t="inlineStr">
        <is>
          <t>Prices are linked to StockPricePaths!D. Every other column is a live formula:</t>
        </is>
      </c>
    </row>
    <row r="22">
      <c r="A22">
        <f>A21+1</f>
        <v/>
      </c>
      <c r="B22" s="65">
        <f>StockPricePaths!D22</f>
        <v/>
      </c>
      <c r="C22" s="59">
        <f>$L$3-A22*$L$9</f>
        <v/>
      </c>
      <c r="D22" s="66">
        <f>(LN(B22/$L$6)+($L$5+0.5*$L$4^2)*C22)/($L$4*SQRT(C22))</f>
        <v/>
      </c>
      <c r="E22" s="66">
        <f>NORMSDIST(D22)</f>
        <v/>
      </c>
      <c r="F22" s="61">
        <f>E22*$L$7</f>
        <v/>
      </c>
      <c r="G22" s="61">
        <f>F21*B22+H21*EXP($L$5*$L$9)</f>
        <v/>
      </c>
      <c r="H22" s="61">
        <f>G22-F22*B22</f>
        <v/>
      </c>
      <c r="I22" s="66">
        <f>LN(B22/B21)</f>
        <v/>
      </c>
      <c r="K22" t="inlineStr">
        <is>
          <t>A  Period t = 0..50.</t>
        </is>
      </c>
    </row>
    <row r="23">
      <c r="A23">
        <f>A22+1</f>
        <v/>
      </c>
      <c r="B23" s="65">
        <f>StockPricePaths!D23</f>
        <v/>
      </c>
      <c r="C23" s="59">
        <f>$L$3-A23*$L$9</f>
        <v/>
      </c>
      <c r="D23" s="66">
        <f>(LN(B23/$L$6)+($L$5+0.5*$L$4^2)*C23)/($L$4*SQRT(C23))</f>
        <v/>
      </c>
      <c r="E23" s="66">
        <f>NORMSDIST(D23)</f>
        <v/>
      </c>
      <c r="F23" s="61">
        <f>E23*$L$7</f>
        <v/>
      </c>
      <c r="G23" s="61">
        <f>F22*B23+H22*EXP($L$5*$L$9)</f>
        <v/>
      </c>
      <c r="H23" s="61">
        <f>G23-F23*B23</f>
        <v/>
      </c>
      <c r="I23" s="66">
        <f>LN(B23/B22)</f>
        <v/>
      </c>
      <c r="K23" t="inlineStr">
        <is>
          <t>B  Stock price, linked to the price path (this is the only input).</t>
        </is>
      </c>
    </row>
    <row r="24">
      <c r="A24">
        <f>A23+1</f>
        <v/>
      </c>
      <c r="B24" s="65">
        <f>StockPricePaths!D24</f>
        <v/>
      </c>
      <c r="C24" s="59">
        <f>$L$3-A24*$L$9</f>
        <v/>
      </c>
      <c r="D24" s="66">
        <f>(LN(B24/$L$6)+($L$5+0.5*$L$4^2)*C24)/($L$4*SQRT(C24))</f>
        <v/>
      </c>
      <c r="E24" s="66">
        <f>NORMSDIST(D24)</f>
        <v/>
      </c>
      <c r="F24" s="61">
        <f>E24*$L$7</f>
        <v/>
      </c>
      <c r="G24" s="61">
        <f>F23*B24+H23*EXP($L$5*$L$9)</f>
        <v/>
      </c>
      <c r="H24" s="61">
        <f>G24-F24*B24</f>
        <v/>
      </c>
      <c r="I24" s="66">
        <f>LN(B24/B23)</f>
        <v/>
      </c>
      <c r="K24" t="inlineStr">
        <is>
          <t>C  Time to maturity tau = T - t*dt, dt = T/50 = 0.005 years.</t>
        </is>
      </c>
    </row>
    <row r="25">
      <c r="A25">
        <f>A24+1</f>
        <v/>
      </c>
      <c r="B25" s="65">
        <f>StockPricePaths!D25</f>
        <v/>
      </c>
      <c r="C25" s="59">
        <f>$L$3-A25*$L$9</f>
        <v/>
      </c>
      <c r="D25" s="66">
        <f>(LN(B25/$L$6)+($L$5+0.5*$L$4^2)*C25)/($L$4*SQRT(C25))</f>
        <v/>
      </c>
      <c r="E25" s="66">
        <f>NORMSDIST(D25)</f>
        <v/>
      </c>
      <c r="F25" s="61">
        <f>E25*$L$7</f>
        <v/>
      </c>
      <c r="G25" s="61">
        <f>F24*B25+H24*EXP($L$5*$L$9)</f>
        <v/>
      </c>
      <c r="H25" s="61">
        <f>G25-F25*B25</f>
        <v/>
      </c>
      <c r="I25" s="66">
        <f>LN(B25/B24)</f>
        <v/>
      </c>
      <c r="K25" t="inlineStr">
        <is>
          <t>D  d1 = (LN(S/K) + (r + 0.5*sigma^2)*tau) / (sigma*SQRT(tau)), sigma = IMPLIED vol 30%.</t>
        </is>
      </c>
    </row>
    <row r="26">
      <c r="A26">
        <f>A25+1</f>
        <v/>
      </c>
      <c r="B26" s="65">
        <f>StockPricePaths!D26</f>
        <v/>
      </c>
      <c r="C26" s="59">
        <f>$L$3-A26*$L$9</f>
        <v/>
      </c>
      <c r="D26" s="66">
        <f>(LN(B26/$L$6)+($L$5+0.5*$L$4^2)*C26)/($L$4*SQRT(C26))</f>
        <v/>
      </c>
      <c r="E26" s="66">
        <f>NORMSDIST(D26)</f>
        <v/>
      </c>
      <c r="F26" s="61">
        <f>E26*$L$7</f>
        <v/>
      </c>
      <c r="G26" s="61">
        <f>F25*B26+H25*EXP($L$5*$L$9)</f>
        <v/>
      </c>
      <c r="H26" s="61">
        <f>G26-F26*B26</f>
        <v/>
      </c>
      <c r="I26" s="66">
        <f>LN(B26/B25)</f>
        <v/>
      </c>
      <c r="K26" t="inlineStr">
        <is>
          <t>E  Delta = N(d1) = NORMSDIST(d1): shares to hold per option.</t>
        </is>
      </c>
    </row>
    <row r="27">
      <c r="A27">
        <f>A26+1</f>
        <v/>
      </c>
      <c r="B27" s="65">
        <f>StockPricePaths!D27</f>
        <v/>
      </c>
      <c r="C27" s="59">
        <f>$L$3-A27*$L$9</f>
        <v/>
      </c>
      <c r="D27" s="66">
        <f>(LN(B27/$L$6)+($L$5+0.5*$L$4^2)*C27)/($L$4*SQRT(C27))</f>
        <v/>
      </c>
      <c r="E27" s="66">
        <f>NORMSDIST(D27)</f>
        <v/>
      </c>
      <c r="F27" s="61">
        <f>E27*$L$7</f>
        <v/>
      </c>
      <c r="G27" s="61">
        <f>F26*B27+H26*EXP($L$5*$L$9)</f>
        <v/>
      </c>
      <c r="H27" s="61">
        <f>G27-F27*B27</f>
        <v/>
      </c>
      <c r="I27" s="66">
        <f>LN(B27/B26)</f>
        <v/>
      </c>
      <c r="K27" t="inlineStr">
        <is>
          <t>F  # stocks held x_t = Delta * 100,000 options.</t>
        </is>
      </c>
    </row>
    <row r="28">
      <c r="A28">
        <f>A27+1</f>
        <v/>
      </c>
      <c r="B28" s="65">
        <f>StockPricePaths!D28</f>
        <v/>
      </c>
      <c r="C28" s="59">
        <f>$L$3-A28*$L$9</f>
        <v/>
      </c>
      <c r="D28" s="66">
        <f>(LN(B28/$L$6)+($L$5+0.5*$L$4^2)*C28)/($L$4*SQRT(C28))</f>
        <v/>
      </c>
      <c r="E28" s="66">
        <f>NORMSDIST(D28)</f>
        <v/>
      </c>
      <c r="F28" s="61">
        <f>E28*$L$7</f>
        <v/>
      </c>
      <c r="G28" s="61">
        <f>F27*B28+H27*EXP($L$5*$L$9)</f>
        <v/>
      </c>
      <c r="H28" s="61">
        <f>G28-F28*B28</f>
        <v/>
      </c>
      <c r="I28" s="66">
        <f>LN(B28/B27)</f>
        <v/>
      </c>
      <c r="K28" t="inlineStr">
        <is>
          <t>G  Self-financing portfolio. Row 2 = Black-Scholes premium received;</t>
        </is>
      </c>
    </row>
    <row r="29">
      <c r="A29">
        <f>A28+1</f>
        <v/>
      </c>
      <c r="B29" s="65">
        <f>StockPricePaths!D29</f>
        <v/>
      </c>
      <c r="C29" s="59">
        <f>$L$3-A29*$L$9</f>
        <v/>
      </c>
      <c r="D29" s="66">
        <f>(LN(B29/$L$6)+($L$5+0.5*$L$4^2)*C29)/($L$4*SQRT(C29))</f>
        <v/>
      </c>
      <c r="E29" s="66">
        <f>NORMSDIST(D29)</f>
        <v/>
      </c>
      <c r="F29" s="61">
        <f>E29*$L$7</f>
        <v/>
      </c>
      <c r="G29" s="61">
        <f>F28*B29+H28*EXP($L$5*$L$9)</f>
        <v/>
      </c>
      <c r="H29" s="61">
        <f>G29-F29*B29</f>
        <v/>
      </c>
      <c r="I29" s="66">
        <f>LN(B29/B28)</f>
        <v/>
      </c>
      <c r="K29" t="inlineStr">
        <is>
          <t xml:space="preserve">   afterwards V_t+1 = x_t*S_t+1 + c_t*EXP(r*dt)  (no cash added or withdrawn).</t>
        </is>
      </c>
    </row>
    <row r="30">
      <c r="A30">
        <f>A29+1</f>
        <v/>
      </c>
      <c r="B30" s="65">
        <f>StockPricePaths!D30</f>
        <v/>
      </c>
      <c r="C30" s="59">
        <f>$L$3-A30*$L$9</f>
        <v/>
      </c>
      <c r="D30" s="66">
        <f>(LN(B30/$L$6)+($L$5+0.5*$L$4^2)*C30)/($L$4*SQRT(C30))</f>
        <v/>
      </c>
      <c r="E30" s="66">
        <f>NORMSDIST(D30)</f>
        <v/>
      </c>
      <c r="F30" s="61">
        <f>E30*$L$7</f>
        <v/>
      </c>
      <c r="G30" s="61">
        <f>F29*B30+H29*EXP($L$5*$L$9)</f>
        <v/>
      </c>
      <c r="H30" s="61">
        <f>G30-F30*B30</f>
        <v/>
      </c>
      <c r="I30" s="66">
        <f>LN(B30/B29)</f>
        <v/>
      </c>
      <c r="K30" t="inlineStr">
        <is>
          <t>H  Cash account c_t = V_t - x_t*S_t (negative: we borrow to buy the hedge).</t>
        </is>
      </c>
    </row>
    <row r="31">
      <c r="A31">
        <f>A30+1</f>
        <v/>
      </c>
      <c r="B31" s="65">
        <f>StockPricePaths!D31</f>
        <v/>
      </c>
      <c r="C31" s="59">
        <f>$L$3-A31*$L$9</f>
        <v/>
      </c>
      <c r="D31" s="66">
        <f>(LN(B31/$L$6)+($L$5+0.5*$L$4^2)*C31)/($L$4*SQRT(C31))</f>
        <v/>
      </c>
      <c r="E31" s="66">
        <f>NORMSDIST(D31)</f>
        <v/>
      </c>
      <c r="F31" s="61">
        <f>E31*$L$7</f>
        <v/>
      </c>
      <c r="G31" s="61">
        <f>F30*B31+H30*EXP($L$5*$L$9)</f>
        <v/>
      </c>
      <c r="H31" s="61">
        <f>G31-F31*B31</f>
        <v/>
      </c>
      <c r="I31" s="66">
        <f>LN(B31/B30)</f>
        <v/>
      </c>
      <c r="K31" t="inlineStr">
        <is>
          <t>I  Log-returns used for the realized-volatility answer.</t>
        </is>
      </c>
    </row>
    <row r="32">
      <c r="A32">
        <f>A31+1</f>
        <v/>
      </c>
      <c r="B32" s="65">
        <f>StockPricePaths!D32</f>
        <v/>
      </c>
      <c r="C32" s="59">
        <f>$L$3-A32*$L$9</f>
        <v/>
      </c>
      <c r="D32" s="66">
        <f>(LN(B32/$L$6)+($L$5+0.5*$L$4^2)*C32)/($L$4*SQRT(C32))</f>
        <v/>
      </c>
      <c r="E32" s="66">
        <f>NORMSDIST(D32)</f>
        <v/>
      </c>
      <c r="F32" s="61">
        <f>E32*$L$7</f>
        <v/>
      </c>
      <c r="G32" s="61">
        <f>F31*B32+H31*EXP($L$5*$L$9)</f>
        <v/>
      </c>
      <c r="H32" s="61">
        <f>G32-F32*B32</f>
        <v/>
      </c>
      <c r="I32" s="66">
        <f>LN(B32/B31)</f>
        <v/>
      </c>
    </row>
    <row r="33">
      <c r="A33">
        <f>A32+1</f>
        <v/>
      </c>
      <c r="B33" s="65">
        <f>StockPricePaths!D33</f>
        <v/>
      </c>
      <c r="C33" s="59">
        <f>$L$3-A33*$L$9</f>
        <v/>
      </c>
      <c r="D33" s="66">
        <f>(LN(B33/$L$6)+($L$5+0.5*$L$4^2)*C33)/($L$4*SQRT(C33))</f>
        <v/>
      </c>
      <c r="E33" s="66">
        <f>NORMSDIST(D33)</f>
        <v/>
      </c>
      <c r="F33" s="61">
        <f>E33*$L$7</f>
        <v/>
      </c>
      <c r="G33" s="61">
        <f>F32*B33+H32*EXP($L$5*$L$9)</f>
        <v/>
      </c>
      <c r="H33" s="61">
        <f>G33-F33*B33</f>
        <v/>
      </c>
      <c r="I33" s="66">
        <f>LN(B33/B32)</f>
        <v/>
      </c>
    </row>
    <row r="34">
      <c r="A34">
        <f>A33+1</f>
        <v/>
      </c>
      <c r="B34" s="65">
        <f>StockPricePaths!D34</f>
        <v/>
      </c>
      <c r="C34" s="59">
        <f>$L$3-A34*$L$9</f>
        <v/>
      </c>
      <c r="D34" s="66">
        <f>(LN(B34/$L$6)+($L$5+0.5*$L$4^2)*C34)/($L$4*SQRT(C34))</f>
        <v/>
      </c>
      <c r="E34" s="66">
        <f>NORMSDIST(D34)</f>
        <v/>
      </c>
      <c r="F34" s="61">
        <f>E34*$L$7</f>
        <v/>
      </c>
      <c r="G34" s="61">
        <f>F33*B34+H33*EXP($L$5*$L$9)</f>
        <v/>
      </c>
      <c r="H34" s="61">
        <f>G34-F34*B34</f>
        <v/>
      </c>
      <c r="I34" s="66">
        <f>LN(B34/B33)</f>
        <v/>
      </c>
    </row>
    <row r="35">
      <c r="A35">
        <f>A34+1</f>
        <v/>
      </c>
      <c r="B35" s="65">
        <f>StockPricePaths!D35</f>
        <v/>
      </c>
      <c r="C35" s="59">
        <f>$L$3-A35*$L$9</f>
        <v/>
      </c>
      <c r="D35" s="66">
        <f>(LN(B35/$L$6)+($L$5+0.5*$L$4^2)*C35)/($L$4*SQRT(C35))</f>
        <v/>
      </c>
      <c r="E35" s="66">
        <f>NORMSDIST(D35)</f>
        <v/>
      </c>
      <c r="F35" s="61">
        <f>E35*$L$7</f>
        <v/>
      </c>
      <c r="G35" s="61">
        <f>F34*B35+H34*EXP($L$5*$L$9)</f>
        <v/>
      </c>
      <c r="H35" s="61">
        <f>G35-F35*B35</f>
        <v/>
      </c>
      <c r="I35" s="66">
        <f>LN(B35/B34)</f>
        <v/>
      </c>
    </row>
    <row r="36">
      <c r="A36">
        <f>A35+1</f>
        <v/>
      </c>
      <c r="B36" s="65">
        <f>StockPricePaths!D36</f>
        <v/>
      </c>
      <c r="C36" s="59">
        <f>$L$3-A36*$L$9</f>
        <v/>
      </c>
      <c r="D36" s="66">
        <f>(LN(B36/$L$6)+($L$5+0.5*$L$4^2)*C36)/($L$4*SQRT(C36))</f>
        <v/>
      </c>
      <c r="E36" s="66">
        <f>NORMSDIST(D36)</f>
        <v/>
      </c>
      <c r="F36" s="61">
        <f>E36*$L$7</f>
        <v/>
      </c>
      <c r="G36" s="61">
        <f>F35*B36+H35*EXP($L$5*$L$9)</f>
        <v/>
      </c>
      <c r="H36" s="61">
        <f>G36-F36*B36</f>
        <v/>
      </c>
      <c r="I36" s="66">
        <f>LN(B36/B35)</f>
        <v/>
      </c>
    </row>
    <row r="37">
      <c r="A37">
        <f>A36+1</f>
        <v/>
      </c>
      <c r="B37" s="65">
        <f>StockPricePaths!D37</f>
        <v/>
      </c>
      <c r="C37" s="59">
        <f>$L$3-A37*$L$9</f>
        <v/>
      </c>
      <c r="D37" s="66">
        <f>(LN(B37/$L$6)+($L$5+0.5*$L$4^2)*C37)/($L$4*SQRT(C37))</f>
        <v/>
      </c>
      <c r="E37" s="66">
        <f>NORMSDIST(D37)</f>
        <v/>
      </c>
      <c r="F37" s="61">
        <f>E37*$L$7</f>
        <v/>
      </c>
      <c r="G37" s="61">
        <f>F36*B37+H36*EXP($L$5*$L$9)</f>
        <v/>
      </c>
      <c r="H37" s="61">
        <f>G37-F37*B37</f>
        <v/>
      </c>
      <c r="I37" s="66">
        <f>LN(B37/B36)</f>
        <v/>
      </c>
    </row>
    <row r="38">
      <c r="A38">
        <f>A37+1</f>
        <v/>
      </c>
      <c r="B38" s="65">
        <f>StockPricePaths!D38</f>
        <v/>
      </c>
      <c r="C38" s="59">
        <f>$L$3-A38*$L$9</f>
        <v/>
      </c>
      <c r="D38" s="66">
        <f>(LN(B38/$L$6)+($L$5+0.5*$L$4^2)*C38)/($L$4*SQRT(C38))</f>
        <v/>
      </c>
      <c r="E38" s="66">
        <f>NORMSDIST(D38)</f>
        <v/>
      </c>
      <c r="F38" s="61">
        <f>E38*$L$7</f>
        <v/>
      </c>
      <c r="G38" s="61">
        <f>F37*B38+H37*EXP($L$5*$L$9)</f>
        <v/>
      </c>
      <c r="H38" s="61">
        <f>G38-F38*B38</f>
        <v/>
      </c>
      <c r="I38" s="66">
        <f>LN(B38/B37)</f>
        <v/>
      </c>
    </row>
    <row r="39">
      <c r="A39">
        <f>A38+1</f>
        <v/>
      </c>
      <c r="B39" s="65">
        <f>StockPricePaths!D39</f>
        <v/>
      </c>
      <c r="C39" s="59">
        <f>$L$3-A39*$L$9</f>
        <v/>
      </c>
      <c r="D39" s="66">
        <f>(LN(B39/$L$6)+($L$5+0.5*$L$4^2)*C39)/($L$4*SQRT(C39))</f>
        <v/>
      </c>
      <c r="E39" s="66">
        <f>NORMSDIST(D39)</f>
        <v/>
      </c>
      <c r="F39" s="61">
        <f>E39*$L$7</f>
        <v/>
      </c>
      <c r="G39" s="61">
        <f>F38*B39+H38*EXP($L$5*$L$9)</f>
        <v/>
      </c>
      <c r="H39" s="61">
        <f>G39-F39*B39</f>
        <v/>
      </c>
      <c r="I39" s="66">
        <f>LN(B39/B38)</f>
        <v/>
      </c>
    </row>
    <row r="40">
      <c r="A40">
        <f>A39+1</f>
        <v/>
      </c>
      <c r="B40" s="65">
        <f>StockPricePaths!D40</f>
        <v/>
      </c>
      <c r="C40" s="59">
        <f>$L$3-A40*$L$9</f>
        <v/>
      </c>
      <c r="D40" s="66">
        <f>(LN(B40/$L$6)+($L$5+0.5*$L$4^2)*C40)/($L$4*SQRT(C40))</f>
        <v/>
      </c>
      <c r="E40" s="66">
        <f>NORMSDIST(D40)</f>
        <v/>
      </c>
      <c r="F40" s="61">
        <f>E40*$L$7</f>
        <v/>
      </c>
      <c r="G40" s="61">
        <f>F39*B40+H39*EXP($L$5*$L$9)</f>
        <v/>
      </c>
      <c r="H40" s="61">
        <f>G40-F40*B40</f>
        <v/>
      </c>
      <c r="I40" s="66">
        <f>LN(B40/B39)</f>
        <v/>
      </c>
    </row>
    <row r="41">
      <c r="A41">
        <f>A40+1</f>
        <v/>
      </c>
      <c r="B41" s="65">
        <f>StockPricePaths!D41</f>
        <v/>
      </c>
      <c r="C41" s="59">
        <f>$L$3-A41*$L$9</f>
        <v/>
      </c>
      <c r="D41" s="66">
        <f>(LN(B41/$L$6)+($L$5+0.5*$L$4^2)*C41)/($L$4*SQRT(C41))</f>
        <v/>
      </c>
      <c r="E41" s="66">
        <f>NORMSDIST(D41)</f>
        <v/>
      </c>
      <c r="F41" s="61">
        <f>E41*$L$7</f>
        <v/>
      </c>
      <c r="G41" s="61">
        <f>F40*B41+H40*EXP($L$5*$L$9)</f>
        <v/>
      </c>
      <c r="H41" s="61">
        <f>G41-F41*B41</f>
        <v/>
      </c>
      <c r="I41" s="66">
        <f>LN(B41/B40)</f>
        <v/>
      </c>
    </row>
    <row r="42">
      <c r="A42">
        <f>A41+1</f>
        <v/>
      </c>
      <c r="B42" s="65">
        <f>StockPricePaths!D42</f>
        <v/>
      </c>
      <c r="C42" s="59">
        <f>$L$3-A42*$L$9</f>
        <v/>
      </c>
      <c r="D42" s="66">
        <f>(LN(B42/$L$6)+($L$5+0.5*$L$4^2)*C42)/($L$4*SQRT(C42))</f>
        <v/>
      </c>
      <c r="E42" s="66">
        <f>NORMSDIST(D42)</f>
        <v/>
      </c>
      <c r="F42" s="61">
        <f>E42*$L$7</f>
        <v/>
      </c>
      <c r="G42" s="61">
        <f>F41*B42+H41*EXP($L$5*$L$9)</f>
        <v/>
      </c>
      <c r="H42" s="61">
        <f>G42-F42*B42</f>
        <v/>
      </c>
      <c r="I42" s="66">
        <f>LN(B42/B41)</f>
        <v/>
      </c>
    </row>
    <row r="43">
      <c r="A43">
        <f>A42+1</f>
        <v/>
      </c>
      <c r="B43" s="65">
        <f>StockPricePaths!D43</f>
        <v/>
      </c>
      <c r="C43" s="59">
        <f>$L$3-A43*$L$9</f>
        <v/>
      </c>
      <c r="D43" s="66">
        <f>(LN(B43/$L$6)+($L$5+0.5*$L$4^2)*C43)/($L$4*SQRT(C43))</f>
        <v/>
      </c>
      <c r="E43" s="66">
        <f>NORMSDIST(D43)</f>
        <v/>
      </c>
      <c r="F43" s="61">
        <f>E43*$L$7</f>
        <v/>
      </c>
      <c r="G43" s="61">
        <f>F42*B43+H42*EXP($L$5*$L$9)</f>
        <v/>
      </c>
      <c r="H43" s="61">
        <f>G43-F43*B43</f>
        <v/>
      </c>
      <c r="I43" s="66">
        <f>LN(B43/B42)</f>
        <v/>
      </c>
    </row>
    <row r="44">
      <c r="A44">
        <f>A43+1</f>
        <v/>
      </c>
      <c r="B44" s="65">
        <f>StockPricePaths!D44</f>
        <v/>
      </c>
      <c r="C44" s="59">
        <f>$L$3-A44*$L$9</f>
        <v/>
      </c>
      <c r="D44" s="66">
        <f>(LN(B44/$L$6)+($L$5+0.5*$L$4^2)*C44)/($L$4*SQRT(C44))</f>
        <v/>
      </c>
      <c r="E44" s="66">
        <f>NORMSDIST(D44)</f>
        <v/>
      </c>
      <c r="F44" s="61">
        <f>E44*$L$7</f>
        <v/>
      </c>
      <c r="G44" s="61">
        <f>F43*B44+H43*EXP($L$5*$L$9)</f>
        <v/>
      </c>
      <c r="H44" s="61">
        <f>G44-F44*B44</f>
        <v/>
      </c>
      <c r="I44" s="66">
        <f>LN(B44/B43)</f>
        <v/>
      </c>
    </row>
    <row r="45">
      <c r="A45">
        <f>A44+1</f>
        <v/>
      </c>
      <c r="B45" s="65">
        <f>StockPricePaths!D45</f>
        <v/>
      </c>
      <c r="C45" s="59">
        <f>$L$3-A45*$L$9</f>
        <v/>
      </c>
      <c r="D45" s="66">
        <f>(LN(B45/$L$6)+($L$5+0.5*$L$4^2)*C45)/($L$4*SQRT(C45))</f>
        <v/>
      </c>
      <c r="E45" s="66">
        <f>NORMSDIST(D45)</f>
        <v/>
      </c>
      <c r="F45" s="61">
        <f>E45*$L$7</f>
        <v/>
      </c>
      <c r="G45" s="61">
        <f>F44*B45+H44*EXP($L$5*$L$9)</f>
        <v/>
      </c>
      <c r="H45" s="61">
        <f>G45-F45*B45</f>
        <v/>
      </c>
      <c r="I45" s="66">
        <f>LN(B45/B44)</f>
        <v/>
      </c>
    </row>
    <row r="46">
      <c r="A46">
        <f>A45+1</f>
        <v/>
      </c>
      <c r="B46" s="65">
        <f>StockPricePaths!D46</f>
        <v/>
      </c>
      <c r="C46" s="59">
        <f>$L$3-A46*$L$9</f>
        <v/>
      </c>
      <c r="D46" s="66">
        <f>(LN(B46/$L$6)+($L$5+0.5*$L$4^2)*C46)/($L$4*SQRT(C46))</f>
        <v/>
      </c>
      <c r="E46" s="66">
        <f>NORMSDIST(D46)</f>
        <v/>
      </c>
      <c r="F46" s="61">
        <f>E46*$L$7</f>
        <v/>
      </c>
      <c r="G46" s="61">
        <f>F45*B46+H45*EXP($L$5*$L$9)</f>
        <v/>
      </c>
      <c r="H46" s="61">
        <f>G46-F46*B46</f>
        <v/>
      </c>
      <c r="I46" s="66">
        <f>LN(B46/B45)</f>
        <v/>
      </c>
    </row>
    <row r="47">
      <c r="A47">
        <f>A46+1</f>
        <v/>
      </c>
      <c r="B47" s="65">
        <f>StockPricePaths!D47</f>
        <v/>
      </c>
      <c r="C47" s="59">
        <f>$L$3-A47*$L$9</f>
        <v/>
      </c>
      <c r="D47" s="66">
        <f>(LN(B47/$L$6)+($L$5+0.5*$L$4^2)*C47)/($L$4*SQRT(C47))</f>
        <v/>
      </c>
      <c r="E47" s="66">
        <f>NORMSDIST(D47)</f>
        <v/>
      </c>
      <c r="F47" s="61">
        <f>E47*$L$7</f>
        <v/>
      </c>
      <c r="G47" s="61">
        <f>F46*B47+H46*EXP($L$5*$L$9)</f>
        <v/>
      </c>
      <c r="H47" s="61">
        <f>G47-F47*B47</f>
        <v/>
      </c>
      <c r="I47" s="66">
        <f>LN(B47/B46)</f>
        <v/>
      </c>
    </row>
    <row r="48">
      <c r="A48">
        <f>A47+1</f>
        <v/>
      </c>
      <c r="B48" s="65">
        <f>StockPricePaths!D48</f>
        <v/>
      </c>
      <c r="C48" s="59">
        <f>$L$3-A48*$L$9</f>
        <v/>
      </c>
      <c r="D48" s="66">
        <f>(LN(B48/$L$6)+($L$5+0.5*$L$4^2)*C48)/($L$4*SQRT(C48))</f>
        <v/>
      </c>
      <c r="E48" s="66">
        <f>NORMSDIST(D48)</f>
        <v/>
      </c>
      <c r="F48" s="61">
        <f>E48*$L$7</f>
        <v/>
      </c>
      <c r="G48" s="61">
        <f>F47*B48+H47*EXP($L$5*$L$9)</f>
        <v/>
      </c>
      <c r="H48" s="61">
        <f>G48-F48*B48</f>
        <v/>
      </c>
      <c r="I48" s="66">
        <f>LN(B48/B47)</f>
        <v/>
      </c>
    </row>
    <row r="49">
      <c r="A49">
        <f>A48+1</f>
        <v/>
      </c>
      <c r="B49" s="65">
        <f>StockPricePaths!D49</f>
        <v/>
      </c>
      <c r="C49" s="59">
        <f>$L$3-A49*$L$9</f>
        <v/>
      </c>
      <c r="D49" s="66">
        <f>(LN(B49/$L$6)+($L$5+0.5*$L$4^2)*C49)/($L$4*SQRT(C49))</f>
        <v/>
      </c>
      <c r="E49" s="66">
        <f>NORMSDIST(D49)</f>
        <v/>
      </c>
      <c r="F49" s="61">
        <f>E49*$L$7</f>
        <v/>
      </c>
      <c r="G49" s="61">
        <f>F48*B49+H48*EXP($L$5*$L$9)</f>
        <v/>
      </c>
      <c r="H49" s="61">
        <f>G49-F49*B49</f>
        <v/>
      </c>
      <c r="I49" s="66">
        <f>LN(B49/B48)</f>
        <v/>
      </c>
    </row>
    <row r="50">
      <c r="A50">
        <f>A49+1</f>
        <v/>
      </c>
      <c r="B50" s="65">
        <f>StockPricePaths!D50</f>
        <v/>
      </c>
      <c r="C50" s="59">
        <f>$L$3-A50*$L$9</f>
        <v/>
      </c>
      <c r="D50" s="66">
        <f>(LN(B50/$L$6)+($L$5+0.5*$L$4^2)*C50)/($L$4*SQRT(C50))</f>
        <v/>
      </c>
      <c r="E50" s="66">
        <f>NORMSDIST(D50)</f>
        <v/>
      </c>
      <c r="F50" s="61">
        <f>E50*$L$7</f>
        <v/>
      </c>
      <c r="G50" s="61">
        <f>F49*B50+H49*EXP($L$5*$L$9)</f>
        <v/>
      </c>
      <c r="H50" s="61">
        <f>G50-F50*B50</f>
        <v/>
      </c>
      <c r="I50" s="66">
        <f>LN(B50/B49)</f>
        <v/>
      </c>
    </row>
    <row r="51">
      <c r="A51">
        <f>A50+1</f>
        <v/>
      </c>
      <c r="B51" s="65">
        <f>StockPricePaths!D51</f>
        <v/>
      </c>
      <c r="C51" s="59">
        <f>$L$3-A51*$L$9</f>
        <v/>
      </c>
      <c r="D51" s="66">
        <f>(LN(B51/$L$6)+($L$5+0.5*$L$4^2)*C51)/($L$4*SQRT(C51))</f>
        <v/>
      </c>
      <c r="E51" s="66">
        <f>NORMSDIST(D51)</f>
        <v/>
      </c>
      <c r="F51" s="61">
        <f>E51*$L$7</f>
        <v/>
      </c>
      <c r="G51" s="61">
        <f>F50*B51+H50*EXP($L$5*$L$9)</f>
        <v/>
      </c>
      <c r="H51" s="61">
        <f>G51-F51*B51</f>
        <v/>
      </c>
      <c r="I51" s="66">
        <f>LN(B51/B50)</f>
        <v/>
      </c>
    </row>
    <row r="52">
      <c r="A52">
        <f>A51+1</f>
        <v/>
      </c>
      <c r="B52" s="65">
        <f>StockPricePaths!D52</f>
        <v/>
      </c>
      <c r="C52" s="59">
        <f>$L$3-A52*$L$9</f>
        <v/>
      </c>
      <c r="G52" s="61">
        <f>F51*B52+H51*EXP($L$5*$L$9)</f>
        <v/>
      </c>
      <c r="I52" s="66">
        <f>LN(B52/B51)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style="30" min="1" max="1"/>
    <col width="16" customWidth="1" style="30" min="2" max="2"/>
    <col width="20" customWidth="1" style="30" min="3" max="3"/>
    <col width="11" customWidth="1" style="30" min="4" max="4"/>
    <col width="13" customWidth="1" style="30" min="5" max="5"/>
    <col width="17" customWidth="1" style="30" min="6" max="6"/>
    <col width="24" customWidth="1" style="30" min="7" max="7"/>
    <col width="20" customWidth="1" style="30" min="8" max="8"/>
    <col width="22" customWidth="1" style="30" min="9" max="9"/>
    <col width="42" customWidth="1" style="30" min="11" max="11"/>
    <col width="18" customWidth="1" style="30" min="12" max="12"/>
  </cols>
  <sheetData>
    <row r="1">
      <c r="A1" s="56" t="inlineStr">
        <is>
          <t>Period t</t>
        </is>
      </c>
      <c r="B1" s="56" t="inlineStr">
        <is>
          <t>Stock Price S_t</t>
        </is>
      </c>
      <c r="C1" s="56" t="inlineStr">
        <is>
          <t>Time to maturity (T-t)</t>
        </is>
      </c>
      <c r="D1" s="56" t="inlineStr">
        <is>
          <t>d1</t>
        </is>
      </c>
      <c r="E1" s="56" t="inlineStr">
        <is>
          <t>Delta = N(d1)</t>
        </is>
      </c>
      <c r="F1" s="56" t="inlineStr">
        <is>
          <t># Stocks held x_t</t>
        </is>
      </c>
      <c r="G1" s="56" t="inlineStr">
        <is>
          <t>S.F. Portfolio Value V_t</t>
        </is>
      </c>
      <c r="H1" s="56" t="inlineStr">
        <is>
          <t>Cash Account $ c_t</t>
        </is>
      </c>
      <c r="I1" s="56" t="inlineStr">
        <is>
          <t>Log-return ln(S_t/S_t-1)</t>
        </is>
      </c>
      <c r="K1" s="57" t="inlineStr">
        <is>
          <t>Parameter</t>
        </is>
      </c>
      <c r="L1" s="57" t="inlineStr">
        <is>
          <t>Value</t>
        </is>
      </c>
    </row>
    <row r="2">
      <c r="A2" t="n">
        <v>0</v>
      </c>
      <c r="B2" s="65">
        <f>StockPricePaths!E2</f>
        <v/>
      </c>
      <c r="C2" s="59">
        <f>$L$3-A2*$L$9</f>
        <v/>
      </c>
      <c r="D2" s="66">
        <f>(LN(B2/$L$6)+($L$5+0.5*$L$4^2)*C2)/($L$4*SQRT(C2))</f>
        <v/>
      </c>
      <c r="E2" s="66">
        <f>NORMSDIST(D2)</f>
        <v/>
      </c>
      <c r="F2" s="61">
        <f>E2*$L$7</f>
        <v/>
      </c>
      <c r="G2" s="61">
        <f>$L$7*(B2*NORMSDIST(D2)-$L$6*EXP(-$L$5*C2)*NORMSDIST(D2-$L$4*SQRT(C2)))</f>
        <v/>
      </c>
      <c r="H2" s="61">
        <f>G2-F2*B2</f>
        <v/>
      </c>
      <c r="K2" t="inlineStr">
        <is>
          <t>Initial stock price S0</t>
        </is>
      </c>
      <c r="L2">
        <f>DemoSheet!$B$2</f>
        <v/>
      </c>
    </row>
    <row r="3">
      <c r="A3">
        <f>A2+1</f>
        <v/>
      </c>
      <c r="B3" s="65">
        <f>StockPricePaths!E3</f>
        <v/>
      </c>
      <c r="C3" s="59">
        <f>$L$3-A3*$L$9</f>
        <v/>
      </c>
      <c r="D3" s="66">
        <f>(LN(B3/$L$6)+($L$5+0.5*$L$4^2)*C3)/($L$4*SQRT(C3))</f>
        <v/>
      </c>
      <c r="E3" s="66">
        <f>NORMSDIST(D3)</f>
        <v/>
      </c>
      <c r="F3" s="61">
        <f>E3*$L$7</f>
        <v/>
      </c>
      <c r="G3" s="61">
        <f>F2*B3+H2*EXP($L$5*$L$9)</f>
        <v/>
      </c>
      <c r="H3" s="61">
        <f>G3-F3*B3</f>
        <v/>
      </c>
      <c r="I3" s="66">
        <f>LN(B3/B2)</f>
        <v/>
      </c>
      <c r="K3" t="inlineStr">
        <is>
          <t>Expiration T (years)</t>
        </is>
      </c>
      <c r="L3">
        <f>DemoSheet!$B$3</f>
        <v/>
      </c>
    </row>
    <row r="4">
      <c r="A4">
        <f>A3+1</f>
        <v/>
      </c>
      <c r="B4" s="65">
        <f>StockPricePaths!E4</f>
        <v/>
      </c>
      <c r="C4" s="59">
        <f>$L$3-A4*$L$9</f>
        <v/>
      </c>
      <c r="D4" s="66">
        <f>(LN(B4/$L$6)+($L$5+0.5*$L$4^2)*C4)/($L$4*SQRT(C4))</f>
        <v/>
      </c>
      <c r="E4" s="66">
        <f>NORMSDIST(D4)</f>
        <v/>
      </c>
      <c r="F4" s="61">
        <f>E4*$L$7</f>
        <v/>
      </c>
      <c r="G4" s="61">
        <f>F3*B4+H3*EXP($L$5*$L$9)</f>
        <v/>
      </c>
      <c r="H4" s="61">
        <f>G4-F4*B4</f>
        <v/>
      </c>
      <c r="I4" s="66">
        <f>LN(B4/B3)</f>
        <v/>
      </c>
      <c r="K4" t="inlineStr">
        <is>
          <t>Implied volatility</t>
        </is>
      </c>
      <c r="L4">
        <f>DemoSheet!$B$4</f>
        <v/>
      </c>
    </row>
    <row r="5">
      <c r="A5">
        <f>A4+1</f>
        <v/>
      </c>
      <c r="B5" s="65">
        <f>StockPricePaths!E5</f>
        <v/>
      </c>
      <c r="C5" s="59">
        <f>$L$3-A5*$L$9</f>
        <v/>
      </c>
      <c r="D5" s="66">
        <f>(LN(B5/$L$6)+($L$5+0.5*$L$4^2)*C5)/($L$4*SQRT(C5))</f>
        <v/>
      </c>
      <c r="E5" s="66">
        <f>NORMSDIST(D5)</f>
        <v/>
      </c>
      <c r="F5" s="61">
        <f>E5*$L$7</f>
        <v/>
      </c>
      <c r="G5" s="61">
        <f>F4*B5+H4*EXP($L$5*$L$9)</f>
        <v/>
      </c>
      <c r="H5" s="61">
        <f>G5-F5*B5</f>
        <v/>
      </c>
      <c r="I5" s="66">
        <f>LN(B5/B4)</f>
        <v/>
      </c>
      <c r="K5" t="inlineStr">
        <is>
          <t>Risk-free rate r</t>
        </is>
      </c>
      <c r="L5">
        <f>DemoSheet!$B$5</f>
        <v/>
      </c>
    </row>
    <row r="6">
      <c r="A6">
        <f>A5+1</f>
        <v/>
      </c>
      <c r="B6" s="65">
        <f>StockPricePaths!E6</f>
        <v/>
      </c>
      <c r="C6" s="59">
        <f>$L$3-A6*$L$9</f>
        <v/>
      </c>
      <c r="D6" s="66">
        <f>(LN(B6/$L$6)+($L$5+0.5*$L$4^2)*C6)/($L$4*SQRT(C6))</f>
        <v/>
      </c>
      <c r="E6" s="66">
        <f>NORMSDIST(D6)</f>
        <v/>
      </c>
      <c r="F6" s="61">
        <f>E6*$L$7</f>
        <v/>
      </c>
      <c r="G6" s="61">
        <f>F5*B6+H5*EXP($L$5*$L$9)</f>
        <v/>
      </c>
      <c r="H6" s="61">
        <f>G6-F6*B6</f>
        <v/>
      </c>
      <c r="I6" s="66">
        <f>LN(B6/B5)</f>
        <v/>
      </c>
      <c r="K6" t="inlineStr">
        <is>
          <t>Strike K</t>
        </is>
      </c>
      <c r="L6">
        <f>DemoSheet!$B$6</f>
        <v/>
      </c>
    </row>
    <row r="7">
      <c r="A7">
        <f>A6+1</f>
        <v/>
      </c>
      <c r="B7" s="65">
        <f>StockPricePaths!E7</f>
        <v/>
      </c>
      <c r="C7" s="59">
        <f>$L$3-A7*$L$9</f>
        <v/>
      </c>
      <c r="D7" s="66">
        <f>(LN(B7/$L$6)+($L$5+0.5*$L$4^2)*C7)/($L$4*SQRT(C7))</f>
        <v/>
      </c>
      <c r="E7" s="66">
        <f>NORMSDIST(D7)</f>
        <v/>
      </c>
      <c r="F7" s="61">
        <f>E7*$L$7</f>
        <v/>
      </c>
      <c r="G7" s="61">
        <f>F6*B7+H6*EXP($L$5*$L$9)</f>
        <v/>
      </c>
      <c r="H7" s="61">
        <f>G7-F7*B7</f>
        <v/>
      </c>
      <c r="I7" s="66">
        <f>LN(B7/B6)</f>
        <v/>
      </c>
      <c r="K7" t="inlineStr">
        <is>
          <t># of options sold</t>
        </is>
      </c>
      <c r="L7">
        <f>DemoSheet!$B$7</f>
        <v/>
      </c>
    </row>
    <row r="8">
      <c r="A8">
        <f>A7+1</f>
        <v/>
      </c>
      <c r="B8" s="65">
        <f>StockPricePaths!E8</f>
        <v/>
      </c>
      <c r="C8" s="59">
        <f>$L$3-A8*$L$9</f>
        <v/>
      </c>
      <c r="D8" s="66">
        <f>(LN(B8/$L$6)+($L$5+0.5*$L$4^2)*C8)/($L$4*SQRT(C8))</f>
        <v/>
      </c>
      <c r="E8" s="66">
        <f>NORMSDIST(D8)</f>
        <v/>
      </c>
      <c r="F8" s="61">
        <f>E8*$L$7</f>
        <v/>
      </c>
      <c r="G8" s="61">
        <f>F7*B8+H7*EXP($L$5*$L$9)</f>
        <v/>
      </c>
      <c r="H8" s="61">
        <f>G8-F8*B8</f>
        <v/>
      </c>
      <c r="I8" s="66">
        <f>LN(B8/B7)</f>
        <v/>
      </c>
      <c r="K8" t="inlineStr">
        <is>
          <t># of hedging periods</t>
        </is>
      </c>
      <c r="L8">
        <f>DemoSheet!$B$8</f>
        <v/>
      </c>
    </row>
    <row r="9">
      <c r="A9">
        <f>A8+1</f>
        <v/>
      </c>
      <c r="B9" s="65">
        <f>StockPricePaths!E9</f>
        <v/>
      </c>
      <c r="C9" s="59">
        <f>$L$3-A9*$L$9</f>
        <v/>
      </c>
      <c r="D9" s="66">
        <f>(LN(B9/$L$6)+($L$5+0.5*$L$4^2)*C9)/($L$4*SQRT(C9))</f>
        <v/>
      </c>
      <c r="E9" s="66">
        <f>NORMSDIST(D9)</f>
        <v/>
      </c>
      <c r="F9" s="61">
        <f>E9*$L$7</f>
        <v/>
      </c>
      <c r="G9" s="61">
        <f>F8*B9+H8*EXP($L$5*$L$9)</f>
        <v/>
      </c>
      <c r="H9" s="61">
        <f>G9-F9*B9</f>
        <v/>
      </c>
      <c r="I9" s="66">
        <f>LN(B9/B8)</f>
        <v/>
      </c>
      <c r="K9" t="inlineStr">
        <is>
          <t>dt = T / # periods</t>
        </is>
      </c>
      <c r="L9">
        <f>L3/L8</f>
        <v/>
      </c>
    </row>
    <row r="10">
      <c r="A10">
        <f>A9+1</f>
        <v/>
      </c>
      <c r="B10" s="65">
        <f>StockPricePaths!E10</f>
        <v/>
      </c>
      <c r="C10" s="59">
        <f>$L$3-A10*$L$9</f>
        <v/>
      </c>
      <c r="D10" s="66">
        <f>(LN(B10/$L$6)+($L$5+0.5*$L$4^2)*C10)/($L$4*SQRT(C10))</f>
        <v/>
      </c>
      <c r="E10" s="66">
        <f>NORMSDIST(D10)</f>
        <v/>
      </c>
      <c r="F10" s="61">
        <f>E10*$L$7</f>
        <v/>
      </c>
      <c r="G10" s="61">
        <f>F9*B10+H9*EXP($L$5*$L$9)</f>
        <v/>
      </c>
      <c r="H10" s="61">
        <f>G10-F10*B10</f>
        <v/>
      </c>
      <c r="I10" s="66">
        <f>LN(B10/B9)</f>
        <v/>
      </c>
    </row>
    <row r="11">
      <c r="A11">
        <f>A10+1</f>
        <v/>
      </c>
      <c r="B11" s="65">
        <f>StockPricePaths!E11</f>
        <v/>
      </c>
      <c r="C11" s="59">
        <f>$L$3-A11*$L$9</f>
        <v/>
      </c>
      <c r="D11" s="66">
        <f>(LN(B11/$L$6)+($L$5+0.5*$L$4^2)*C11)/($L$4*SQRT(C11))</f>
        <v/>
      </c>
      <c r="E11" s="66">
        <f>NORMSDIST(D11)</f>
        <v/>
      </c>
      <c r="F11" s="61">
        <f>E11*$L$7</f>
        <v/>
      </c>
      <c r="G11" s="61">
        <f>F10*B11+H10*EXP($L$5*$L$9)</f>
        <v/>
      </c>
      <c r="H11" s="61">
        <f>G11-F11*B11</f>
        <v/>
      </c>
      <c r="I11" s="66">
        <f>LN(B11/B10)</f>
        <v/>
      </c>
      <c r="K11" s="40" t="inlineStr">
        <is>
          <t>RESULTS</t>
        </is>
      </c>
    </row>
    <row r="12">
      <c r="A12">
        <f>A11+1</f>
        <v/>
      </c>
      <c r="B12" s="65">
        <f>StockPricePaths!E12</f>
        <v/>
      </c>
      <c r="C12" s="59">
        <f>$L$3-A12*$L$9</f>
        <v/>
      </c>
      <c r="D12" s="66">
        <f>(LN(B12/$L$6)+($L$5+0.5*$L$4^2)*C12)/($L$4*SQRT(C12))</f>
        <v/>
      </c>
      <c r="E12" s="66">
        <f>NORMSDIST(D12)</f>
        <v/>
      </c>
      <c r="F12" s="61">
        <f>E12*$L$7</f>
        <v/>
      </c>
      <c r="G12" s="61">
        <f>F11*B12+H11*EXP($L$5*$L$9)</f>
        <v/>
      </c>
      <c r="H12" s="61">
        <f>G12-F12*B12</f>
        <v/>
      </c>
      <c r="I12" s="66">
        <f>LN(B12/B11)</f>
        <v/>
      </c>
      <c r="K12" s="62" t="inlineStr">
        <is>
          <t>Mean log-return (annualized)</t>
        </is>
      </c>
      <c r="L12" s="59">
        <f>AVERAGE(I3:I52)/$L$9</f>
        <v/>
      </c>
    </row>
    <row r="13">
      <c r="A13">
        <f>A12+1</f>
        <v/>
      </c>
      <c r="B13" s="65">
        <f>StockPricePaths!E13</f>
        <v/>
      </c>
      <c r="C13" s="59">
        <f>$L$3-A13*$L$9</f>
        <v/>
      </c>
      <c r="D13" s="66">
        <f>(LN(B13/$L$6)+($L$5+0.5*$L$4^2)*C13)/($L$4*SQRT(C13))</f>
        <v/>
      </c>
      <c r="E13" s="66">
        <f>NORMSDIST(D13)</f>
        <v/>
      </c>
      <c r="F13" s="61">
        <f>E13*$L$7</f>
        <v/>
      </c>
      <c r="G13" s="61">
        <f>F12*B13+H12*EXP($L$5*$L$9)</f>
        <v/>
      </c>
      <c r="H13" s="61">
        <f>G13-F13*B13</f>
        <v/>
      </c>
      <c r="I13" s="66">
        <f>LN(B13/B12)</f>
        <v/>
      </c>
      <c r="K13" s="62" t="inlineStr">
        <is>
          <t>Realized volatility (annualized)</t>
        </is>
      </c>
      <c r="L13" s="66">
        <f>STDEV(I3:I52)/SQRT($L$9)</f>
        <v/>
      </c>
    </row>
    <row r="14">
      <c r="A14">
        <f>A13+1</f>
        <v/>
      </c>
      <c r="B14" s="65">
        <f>StockPricePaths!E14</f>
        <v/>
      </c>
      <c r="C14" s="59">
        <f>$L$3-A14*$L$9</f>
        <v/>
      </c>
      <c r="D14" s="66">
        <f>(LN(B14/$L$6)+($L$5+0.5*$L$4^2)*C14)/($L$4*SQRT(C14))</f>
        <v/>
      </c>
      <c r="E14" s="66">
        <f>NORMSDIST(D14)</f>
        <v/>
      </c>
      <c r="F14" s="61">
        <f>E14*$L$7</f>
        <v/>
      </c>
      <c r="G14" s="61">
        <f>F13*B14+H13*EXP($L$5*$L$9)</f>
        <v/>
      </c>
      <c r="H14" s="61">
        <f>G14-F14*B14</f>
        <v/>
      </c>
      <c r="I14" s="66">
        <f>LN(B14/B13)</f>
        <v/>
      </c>
      <c r="K14" s="62" t="inlineStr">
        <is>
          <t>ANSWER - realized vol in %, 2 dp</t>
        </is>
      </c>
      <c r="L14" s="43">
        <f>ROUND(L13*100,2)</f>
        <v/>
      </c>
    </row>
    <row r="15">
      <c r="A15">
        <f>A14+1</f>
        <v/>
      </c>
      <c r="B15" s="65">
        <f>StockPricePaths!E15</f>
        <v/>
      </c>
      <c r="C15" s="59">
        <f>$L$3-A15*$L$9</f>
        <v/>
      </c>
      <c r="D15" s="66">
        <f>(LN(B15/$L$6)+($L$5+0.5*$L$4^2)*C15)/($L$4*SQRT(C15))</f>
        <v/>
      </c>
      <c r="E15" s="66">
        <f>NORMSDIST(D15)</f>
        <v/>
      </c>
      <c r="F15" s="61">
        <f>E15*$L$7</f>
        <v/>
      </c>
      <c r="G15" s="61">
        <f>F14*B15+H14*EXP($L$5*$L$9)</f>
        <v/>
      </c>
      <c r="H15" s="61">
        <f>G15-F15*B15</f>
        <v/>
      </c>
      <c r="I15" s="66">
        <f>LN(B15/B14)</f>
        <v/>
      </c>
      <c r="K15" s="62" t="inlineStr">
        <is>
          <t>Terminal stock price S_T</t>
        </is>
      </c>
      <c r="L15" s="65">
        <f>B52</f>
        <v/>
      </c>
    </row>
    <row r="16">
      <c r="A16">
        <f>A15+1</f>
        <v/>
      </c>
      <c r="B16" s="65">
        <f>StockPricePaths!E16</f>
        <v/>
      </c>
      <c r="C16" s="59">
        <f>$L$3-A16*$L$9</f>
        <v/>
      </c>
      <c r="D16" s="66">
        <f>(LN(B16/$L$6)+($L$5+0.5*$L$4^2)*C16)/($L$4*SQRT(C16))</f>
        <v/>
      </c>
      <c r="E16" s="66">
        <f>NORMSDIST(D16)</f>
        <v/>
      </c>
      <c r="F16" s="61">
        <f>E16*$L$7</f>
        <v/>
      </c>
      <c r="G16" s="61">
        <f>F15*B16+H15*EXP($L$5*$L$9)</f>
        <v/>
      </c>
      <c r="H16" s="61">
        <f>G16-F16*B16</f>
        <v/>
      </c>
      <c r="I16" s="66">
        <f>LN(B16/B15)</f>
        <v/>
      </c>
      <c r="K16" s="62" t="inlineStr">
        <is>
          <t>Option payoff = # options x MAX(S_T-K,0)</t>
        </is>
      </c>
      <c r="L16" s="61">
        <f>MAX(L15-$L$6,0)*$L$7</f>
        <v/>
      </c>
    </row>
    <row r="17">
      <c r="A17">
        <f>A16+1</f>
        <v/>
      </c>
      <c r="B17" s="65">
        <f>StockPricePaths!E17</f>
        <v/>
      </c>
      <c r="C17" s="59">
        <f>$L$3-A17*$L$9</f>
        <v/>
      </c>
      <c r="D17" s="66">
        <f>(LN(B17/$L$6)+($L$5+0.5*$L$4^2)*C17)/($L$4*SQRT(C17))</f>
        <v/>
      </c>
      <c r="E17" s="66">
        <f>NORMSDIST(D17)</f>
        <v/>
      </c>
      <c r="F17" s="61">
        <f>E17*$L$7</f>
        <v/>
      </c>
      <c r="G17" s="61">
        <f>F16*B17+H16*EXP($L$5*$L$9)</f>
        <v/>
      </c>
      <c r="H17" s="61">
        <f>G17-F17*B17</f>
        <v/>
      </c>
      <c r="I17" s="66">
        <f>LN(B17/B16)</f>
        <v/>
      </c>
      <c r="K17" s="62" t="inlineStr">
        <is>
          <t>Final self-financing portfolio V_T</t>
        </is>
      </c>
      <c r="L17" s="61">
        <f>G52</f>
        <v/>
      </c>
    </row>
    <row r="18">
      <c r="A18">
        <f>A17+1</f>
        <v/>
      </c>
      <c r="B18" s="65">
        <f>StockPricePaths!E18</f>
        <v/>
      </c>
      <c r="C18" s="59">
        <f>$L$3-A18*$L$9</f>
        <v/>
      </c>
      <c r="D18" s="66">
        <f>(LN(B18/$L$6)+($L$5+0.5*$L$4^2)*C18)/($L$4*SQRT(C18))</f>
        <v/>
      </c>
      <c r="E18" s="66">
        <f>NORMSDIST(D18)</f>
        <v/>
      </c>
      <c r="F18" s="61">
        <f>E18*$L$7</f>
        <v/>
      </c>
      <c r="G18" s="61">
        <f>F17*B18+H17*EXP($L$5*$L$9)</f>
        <v/>
      </c>
      <c r="H18" s="61">
        <f>G18-F18*B18</f>
        <v/>
      </c>
      <c r="I18" s="66">
        <f>LN(B18/B17)</f>
        <v/>
      </c>
      <c r="K18" s="62" t="inlineStr">
        <is>
          <t>Total hedging P&amp;L = V_T - payoff</t>
        </is>
      </c>
      <c r="L18" s="61">
        <f>L17-L16</f>
        <v/>
      </c>
    </row>
    <row r="19">
      <c r="A19">
        <f>A18+1</f>
        <v/>
      </c>
      <c r="B19" s="65">
        <f>StockPricePaths!E19</f>
        <v/>
      </c>
      <c r="C19" s="59">
        <f>$L$3-A19*$L$9</f>
        <v/>
      </c>
      <c r="D19" s="66">
        <f>(LN(B19/$L$6)+($L$5+0.5*$L$4^2)*C19)/($L$4*SQRT(C19))</f>
        <v/>
      </c>
      <c r="E19" s="66">
        <f>NORMSDIST(D19)</f>
        <v/>
      </c>
      <c r="F19" s="61">
        <f>E19*$L$7</f>
        <v/>
      </c>
      <c r="G19" s="61">
        <f>F18*B19+H18*EXP($L$5*$L$9)</f>
        <v/>
      </c>
      <c r="H19" s="61">
        <f>G19-F19*B19</f>
        <v/>
      </c>
      <c r="I19" s="66">
        <f>LN(B19/B18)</f>
        <v/>
      </c>
      <c r="K19" s="62" t="inlineStr">
        <is>
          <t>ANSWER - P&amp;L to nearest integer</t>
        </is>
      </c>
      <c r="L19" s="44">
        <f>ROUND(L18,0)</f>
        <v/>
      </c>
    </row>
    <row r="20">
      <c r="A20">
        <f>A19+1</f>
        <v/>
      </c>
      <c r="B20" s="65">
        <f>StockPricePaths!E20</f>
        <v/>
      </c>
      <c r="C20" s="59">
        <f>$L$3-A20*$L$9</f>
        <v/>
      </c>
      <c r="D20" s="66">
        <f>(LN(B20/$L$6)+($L$5+0.5*$L$4^2)*C20)/($L$4*SQRT(C20))</f>
        <v/>
      </c>
      <c r="E20" s="66">
        <f>NORMSDIST(D20)</f>
        <v/>
      </c>
      <c r="F20" s="61">
        <f>E20*$L$7</f>
        <v/>
      </c>
      <c r="G20" s="61">
        <f>F19*B20+H19*EXP($L$5*$L$9)</f>
        <v/>
      </c>
      <c r="H20" s="61">
        <f>G20-F20*B20</f>
        <v/>
      </c>
      <c r="I20" s="66">
        <f>LN(B20/B19)</f>
        <v/>
      </c>
    </row>
    <row r="21">
      <c r="A21">
        <f>A20+1</f>
        <v/>
      </c>
      <c r="B21" s="65">
        <f>StockPricePaths!E21</f>
        <v/>
      </c>
      <c r="C21" s="59">
        <f>$L$3-A21*$L$9</f>
        <v/>
      </c>
      <c r="D21" s="66">
        <f>(LN(B21/$L$6)+($L$5+0.5*$L$4^2)*C21)/($L$4*SQRT(C21))</f>
        <v/>
      </c>
      <c r="E21" s="66">
        <f>NORMSDIST(D21)</f>
        <v/>
      </c>
      <c r="F21" s="61">
        <f>E21*$L$7</f>
        <v/>
      </c>
      <c r="G21" s="61">
        <f>F20*B21+H20*EXP($L$5*$L$9)</f>
        <v/>
      </c>
      <c r="H21" s="61">
        <f>G21-F21*B21</f>
        <v/>
      </c>
      <c r="I21" s="66">
        <f>LN(B21/B20)</f>
        <v/>
      </c>
      <c r="K21" s="57" t="inlineStr">
        <is>
          <t>Prices are linked to StockPricePaths!E. Every other column is a live formula:</t>
        </is>
      </c>
    </row>
    <row r="22">
      <c r="A22">
        <f>A21+1</f>
        <v/>
      </c>
      <c r="B22" s="65">
        <f>StockPricePaths!E22</f>
        <v/>
      </c>
      <c r="C22" s="59">
        <f>$L$3-A22*$L$9</f>
        <v/>
      </c>
      <c r="D22" s="66">
        <f>(LN(B22/$L$6)+($L$5+0.5*$L$4^2)*C22)/($L$4*SQRT(C22))</f>
        <v/>
      </c>
      <c r="E22" s="66">
        <f>NORMSDIST(D22)</f>
        <v/>
      </c>
      <c r="F22" s="61">
        <f>E22*$L$7</f>
        <v/>
      </c>
      <c r="G22" s="61">
        <f>F21*B22+H21*EXP($L$5*$L$9)</f>
        <v/>
      </c>
      <c r="H22" s="61">
        <f>G22-F22*B22</f>
        <v/>
      </c>
      <c r="I22" s="66">
        <f>LN(B22/B21)</f>
        <v/>
      </c>
      <c r="K22" t="inlineStr">
        <is>
          <t>A  Period t = 0..50.</t>
        </is>
      </c>
    </row>
    <row r="23">
      <c r="A23">
        <f>A22+1</f>
        <v/>
      </c>
      <c r="B23" s="65">
        <f>StockPricePaths!E23</f>
        <v/>
      </c>
      <c r="C23" s="59">
        <f>$L$3-A23*$L$9</f>
        <v/>
      </c>
      <c r="D23" s="66">
        <f>(LN(B23/$L$6)+($L$5+0.5*$L$4^2)*C23)/($L$4*SQRT(C23))</f>
        <v/>
      </c>
      <c r="E23" s="66">
        <f>NORMSDIST(D23)</f>
        <v/>
      </c>
      <c r="F23" s="61">
        <f>E23*$L$7</f>
        <v/>
      </c>
      <c r="G23" s="61">
        <f>F22*B23+H22*EXP($L$5*$L$9)</f>
        <v/>
      </c>
      <c r="H23" s="61">
        <f>G23-F23*B23</f>
        <v/>
      </c>
      <c r="I23" s="66">
        <f>LN(B23/B22)</f>
        <v/>
      </c>
      <c r="K23" t="inlineStr">
        <is>
          <t>B  Stock price, linked to the price path (this is the only input).</t>
        </is>
      </c>
    </row>
    <row r="24">
      <c r="A24">
        <f>A23+1</f>
        <v/>
      </c>
      <c r="B24" s="65">
        <f>StockPricePaths!E24</f>
        <v/>
      </c>
      <c r="C24" s="59">
        <f>$L$3-A24*$L$9</f>
        <v/>
      </c>
      <c r="D24" s="66">
        <f>(LN(B24/$L$6)+($L$5+0.5*$L$4^2)*C24)/($L$4*SQRT(C24))</f>
        <v/>
      </c>
      <c r="E24" s="66">
        <f>NORMSDIST(D24)</f>
        <v/>
      </c>
      <c r="F24" s="61">
        <f>E24*$L$7</f>
        <v/>
      </c>
      <c r="G24" s="61">
        <f>F23*B24+H23*EXP($L$5*$L$9)</f>
        <v/>
      </c>
      <c r="H24" s="61">
        <f>G24-F24*B24</f>
        <v/>
      </c>
      <c r="I24" s="66">
        <f>LN(B24/B23)</f>
        <v/>
      </c>
      <c r="K24" t="inlineStr">
        <is>
          <t>C  Time to maturity tau = T - t*dt, dt = T/50 = 0.005 years.</t>
        </is>
      </c>
    </row>
    <row r="25">
      <c r="A25">
        <f>A24+1</f>
        <v/>
      </c>
      <c r="B25" s="65">
        <f>StockPricePaths!E25</f>
        <v/>
      </c>
      <c r="C25" s="59">
        <f>$L$3-A25*$L$9</f>
        <v/>
      </c>
      <c r="D25" s="66">
        <f>(LN(B25/$L$6)+($L$5+0.5*$L$4^2)*C25)/($L$4*SQRT(C25))</f>
        <v/>
      </c>
      <c r="E25" s="66">
        <f>NORMSDIST(D25)</f>
        <v/>
      </c>
      <c r="F25" s="61">
        <f>E25*$L$7</f>
        <v/>
      </c>
      <c r="G25" s="61">
        <f>F24*B25+H24*EXP($L$5*$L$9)</f>
        <v/>
      </c>
      <c r="H25" s="61">
        <f>G25-F25*B25</f>
        <v/>
      </c>
      <c r="I25" s="66">
        <f>LN(B25/B24)</f>
        <v/>
      </c>
      <c r="K25" t="inlineStr">
        <is>
          <t>D  d1 = (LN(S/K) + (r + 0.5*sigma^2)*tau) / (sigma*SQRT(tau)), sigma = IMPLIED vol 30%.</t>
        </is>
      </c>
    </row>
    <row r="26">
      <c r="A26">
        <f>A25+1</f>
        <v/>
      </c>
      <c r="B26" s="65">
        <f>StockPricePaths!E26</f>
        <v/>
      </c>
      <c r="C26" s="59">
        <f>$L$3-A26*$L$9</f>
        <v/>
      </c>
      <c r="D26" s="66">
        <f>(LN(B26/$L$6)+($L$5+0.5*$L$4^2)*C26)/($L$4*SQRT(C26))</f>
        <v/>
      </c>
      <c r="E26" s="66">
        <f>NORMSDIST(D26)</f>
        <v/>
      </c>
      <c r="F26" s="61">
        <f>E26*$L$7</f>
        <v/>
      </c>
      <c r="G26" s="61">
        <f>F25*B26+H25*EXP($L$5*$L$9)</f>
        <v/>
      </c>
      <c r="H26" s="61">
        <f>G26-F26*B26</f>
        <v/>
      </c>
      <c r="I26" s="66">
        <f>LN(B26/B25)</f>
        <v/>
      </c>
      <c r="K26" t="inlineStr">
        <is>
          <t>E  Delta = N(d1) = NORMSDIST(d1): shares to hold per option.</t>
        </is>
      </c>
    </row>
    <row r="27">
      <c r="A27">
        <f>A26+1</f>
        <v/>
      </c>
      <c r="B27" s="65">
        <f>StockPricePaths!E27</f>
        <v/>
      </c>
      <c r="C27" s="59">
        <f>$L$3-A27*$L$9</f>
        <v/>
      </c>
      <c r="D27" s="66">
        <f>(LN(B27/$L$6)+($L$5+0.5*$L$4^2)*C27)/($L$4*SQRT(C27))</f>
        <v/>
      </c>
      <c r="E27" s="66">
        <f>NORMSDIST(D27)</f>
        <v/>
      </c>
      <c r="F27" s="61">
        <f>E27*$L$7</f>
        <v/>
      </c>
      <c r="G27" s="61">
        <f>F26*B27+H26*EXP($L$5*$L$9)</f>
        <v/>
      </c>
      <c r="H27" s="61">
        <f>G27-F27*B27</f>
        <v/>
      </c>
      <c r="I27" s="66">
        <f>LN(B27/B26)</f>
        <v/>
      </c>
      <c r="K27" t="inlineStr">
        <is>
          <t>F  # stocks held x_t = Delta * 100,000 options.</t>
        </is>
      </c>
    </row>
    <row r="28">
      <c r="A28">
        <f>A27+1</f>
        <v/>
      </c>
      <c r="B28" s="65">
        <f>StockPricePaths!E28</f>
        <v/>
      </c>
      <c r="C28" s="59">
        <f>$L$3-A28*$L$9</f>
        <v/>
      </c>
      <c r="D28" s="66">
        <f>(LN(B28/$L$6)+($L$5+0.5*$L$4^2)*C28)/($L$4*SQRT(C28))</f>
        <v/>
      </c>
      <c r="E28" s="66">
        <f>NORMSDIST(D28)</f>
        <v/>
      </c>
      <c r="F28" s="61">
        <f>E28*$L$7</f>
        <v/>
      </c>
      <c r="G28" s="61">
        <f>F27*B28+H27*EXP($L$5*$L$9)</f>
        <v/>
      </c>
      <c r="H28" s="61">
        <f>G28-F28*B28</f>
        <v/>
      </c>
      <c r="I28" s="66">
        <f>LN(B28/B27)</f>
        <v/>
      </c>
      <c r="K28" t="inlineStr">
        <is>
          <t>G  Self-financing portfolio. Row 2 = Black-Scholes premium received;</t>
        </is>
      </c>
    </row>
    <row r="29">
      <c r="A29">
        <f>A28+1</f>
        <v/>
      </c>
      <c r="B29" s="65">
        <f>StockPricePaths!E29</f>
        <v/>
      </c>
      <c r="C29" s="59">
        <f>$L$3-A29*$L$9</f>
        <v/>
      </c>
      <c r="D29" s="66">
        <f>(LN(B29/$L$6)+($L$5+0.5*$L$4^2)*C29)/($L$4*SQRT(C29))</f>
        <v/>
      </c>
      <c r="E29" s="66">
        <f>NORMSDIST(D29)</f>
        <v/>
      </c>
      <c r="F29" s="61">
        <f>E29*$L$7</f>
        <v/>
      </c>
      <c r="G29" s="61">
        <f>F28*B29+H28*EXP($L$5*$L$9)</f>
        <v/>
      </c>
      <c r="H29" s="61">
        <f>G29-F29*B29</f>
        <v/>
      </c>
      <c r="I29" s="66">
        <f>LN(B29/B28)</f>
        <v/>
      </c>
      <c r="K29" t="inlineStr">
        <is>
          <t xml:space="preserve">   afterwards V_t+1 = x_t*S_t+1 + c_t*EXP(r*dt)  (no cash added or withdrawn).</t>
        </is>
      </c>
    </row>
    <row r="30">
      <c r="A30">
        <f>A29+1</f>
        <v/>
      </c>
      <c r="B30" s="65">
        <f>StockPricePaths!E30</f>
        <v/>
      </c>
      <c r="C30" s="59">
        <f>$L$3-A30*$L$9</f>
        <v/>
      </c>
      <c r="D30" s="66">
        <f>(LN(B30/$L$6)+($L$5+0.5*$L$4^2)*C30)/($L$4*SQRT(C30))</f>
        <v/>
      </c>
      <c r="E30" s="66">
        <f>NORMSDIST(D30)</f>
        <v/>
      </c>
      <c r="F30" s="61">
        <f>E30*$L$7</f>
        <v/>
      </c>
      <c r="G30" s="61">
        <f>F29*B30+H29*EXP($L$5*$L$9)</f>
        <v/>
      </c>
      <c r="H30" s="61">
        <f>G30-F30*B30</f>
        <v/>
      </c>
      <c r="I30" s="66">
        <f>LN(B30/B29)</f>
        <v/>
      </c>
      <c r="K30" t="inlineStr">
        <is>
          <t>H  Cash account c_t = V_t - x_t*S_t (negative: we borrow to buy the hedge).</t>
        </is>
      </c>
    </row>
    <row r="31">
      <c r="A31">
        <f>A30+1</f>
        <v/>
      </c>
      <c r="B31" s="65">
        <f>StockPricePaths!E31</f>
        <v/>
      </c>
      <c r="C31" s="59">
        <f>$L$3-A31*$L$9</f>
        <v/>
      </c>
      <c r="D31" s="66">
        <f>(LN(B31/$L$6)+($L$5+0.5*$L$4^2)*C31)/($L$4*SQRT(C31))</f>
        <v/>
      </c>
      <c r="E31" s="66">
        <f>NORMSDIST(D31)</f>
        <v/>
      </c>
      <c r="F31" s="61">
        <f>E31*$L$7</f>
        <v/>
      </c>
      <c r="G31" s="61">
        <f>F30*B31+H30*EXP($L$5*$L$9)</f>
        <v/>
      </c>
      <c r="H31" s="61">
        <f>G31-F31*B31</f>
        <v/>
      </c>
      <c r="I31" s="66">
        <f>LN(B31/B30)</f>
        <v/>
      </c>
      <c r="K31" t="inlineStr">
        <is>
          <t>I  Log-returns used for the realized-volatility answer.</t>
        </is>
      </c>
    </row>
    <row r="32">
      <c r="A32">
        <f>A31+1</f>
        <v/>
      </c>
      <c r="B32" s="65">
        <f>StockPricePaths!E32</f>
        <v/>
      </c>
      <c r="C32" s="59">
        <f>$L$3-A32*$L$9</f>
        <v/>
      </c>
      <c r="D32" s="66">
        <f>(LN(B32/$L$6)+($L$5+0.5*$L$4^2)*C32)/($L$4*SQRT(C32))</f>
        <v/>
      </c>
      <c r="E32" s="66">
        <f>NORMSDIST(D32)</f>
        <v/>
      </c>
      <c r="F32" s="61">
        <f>E32*$L$7</f>
        <v/>
      </c>
      <c r="G32" s="61">
        <f>F31*B32+H31*EXP($L$5*$L$9)</f>
        <v/>
      </c>
      <c r="H32" s="61">
        <f>G32-F32*B32</f>
        <v/>
      </c>
      <c r="I32" s="66">
        <f>LN(B32/B31)</f>
        <v/>
      </c>
    </row>
    <row r="33">
      <c r="A33">
        <f>A32+1</f>
        <v/>
      </c>
      <c r="B33" s="65">
        <f>StockPricePaths!E33</f>
        <v/>
      </c>
      <c r="C33" s="59">
        <f>$L$3-A33*$L$9</f>
        <v/>
      </c>
      <c r="D33" s="66">
        <f>(LN(B33/$L$6)+($L$5+0.5*$L$4^2)*C33)/($L$4*SQRT(C33))</f>
        <v/>
      </c>
      <c r="E33" s="66">
        <f>NORMSDIST(D33)</f>
        <v/>
      </c>
      <c r="F33" s="61">
        <f>E33*$L$7</f>
        <v/>
      </c>
      <c r="G33" s="61">
        <f>F32*B33+H32*EXP($L$5*$L$9)</f>
        <v/>
      </c>
      <c r="H33" s="61">
        <f>G33-F33*B33</f>
        <v/>
      </c>
      <c r="I33" s="66">
        <f>LN(B33/B32)</f>
        <v/>
      </c>
    </row>
    <row r="34">
      <c r="A34">
        <f>A33+1</f>
        <v/>
      </c>
      <c r="B34" s="65">
        <f>StockPricePaths!E34</f>
        <v/>
      </c>
      <c r="C34" s="59">
        <f>$L$3-A34*$L$9</f>
        <v/>
      </c>
      <c r="D34" s="66">
        <f>(LN(B34/$L$6)+($L$5+0.5*$L$4^2)*C34)/($L$4*SQRT(C34))</f>
        <v/>
      </c>
      <c r="E34" s="66">
        <f>NORMSDIST(D34)</f>
        <v/>
      </c>
      <c r="F34" s="61">
        <f>E34*$L$7</f>
        <v/>
      </c>
      <c r="G34" s="61">
        <f>F33*B34+H33*EXP($L$5*$L$9)</f>
        <v/>
      </c>
      <c r="H34" s="61">
        <f>G34-F34*B34</f>
        <v/>
      </c>
      <c r="I34" s="66">
        <f>LN(B34/B33)</f>
        <v/>
      </c>
    </row>
    <row r="35">
      <c r="A35">
        <f>A34+1</f>
        <v/>
      </c>
      <c r="B35" s="65">
        <f>StockPricePaths!E35</f>
        <v/>
      </c>
      <c r="C35" s="59">
        <f>$L$3-A35*$L$9</f>
        <v/>
      </c>
      <c r="D35" s="66">
        <f>(LN(B35/$L$6)+($L$5+0.5*$L$4^2)*C35)/($L$4*SQRT(C35))</f>
        <v/>
      </c>
      <c r="E35" s="66">
        <f>NORMSDIST(D35)</f>
        <v/>
      </c>
      <c r="F35" s="61">
        <f>E35*$L$7</f>
        <v/>
      </c>
      <c r="G35" s="61">
        <f>F34*B35+H34*EXP($L$5*$L$9)</f>
        <v/>
      </c>
      <c r="H35" s="61">
        <f>G35-F35*B35</f>
        <v/>
      </c>
      <c r="I35" s="66">
        <f>LN(B35/B34)</f>
        <v/>
      </c>
    </row>
    <row r="36">
      <c r="A36">
        <f>A35+1</f>
        <v/>
      </c>
      <c r="B36" s="65">
        <f>StockPricePaths!E36</f>
        <v/>
      </c>
      <c r="C36" s="59">
        <f>$L$3-A36*$L$9</f>
        <v/>
      </c>
      <c r="D36" s="66">
        <f>(LN(B36/$L$6)+($L$5+0.5*$L$4^2)*C36)/($L$4*SQRT(C36))</f>
        <v/>
      </c>
      <c r="E36" s="66">
        <f>NORMSDIST(D36)</f>
        <v/>
      </c>
      <c r="F36" s="61">
        <f>E36*$L$7</f>
        <v/>
      </c>
      <c r="G36" s="61">
        <f>F35*B36+H35*EXP($L$5*$L$9)</f>
        <v/>
      </c>
      <c r="H36" s="61">
        <f>G36-F36*B36</f>
        <v/>
      </c>
      <c r="I36" s="66">
        <f>LN(B36/B35)</f>
        <v/>
      </c>
    </row>
    <row r="37">
      <c r="A37">
        <f>A36+1</f>
        <v/>
      </c>
      <c r="B37" s="65">
        <f>StockPricePaths!E37</f>
        <v/>
      </c>
      <c r="C37" s="59">
        <f>$L$3-A37*$L$9</f>
        <v/>
      </c>
      <c r="D37" s="66">
        <f>(LN(B37/$L$6)+($L$5+0.5*$L$4^2)*C37)/($L$4*SQRT(C37))</f>
        <v/>
      </c>
      <c r="E37" s="66">
        <f>NORMSDIST(D37)</f>
        <v/>
      </c>
      <c r="F37" s="61">
        <f>E37*$L$7</f>
        <v/>
      </c>
      <c r="G37" s="61">
        <f>F36*B37+H36*EXP($L$5*$L$9)</f>
        <v/>
      </c>
      <c r="H37" s="61">
        <f>G37-F37*B37</f>
        <v/>
      </c>
      <c r="I37" s="66">
        <f>LN(B37/B36)</f>
        <v/>
      </c>
    </row>
    <row r="38">
      <c r="A38">
        <f>A37+1</f>
        <v/>
      </c>
      <c r="B38" s="65">
        <f>StockPricePaths!E38</f>
        <v/>
      </c>
      <c r="C38" s="59">
        <f>$L$3-A38*$L$9</f>
        <v/>
      </c>
      <c r="D38" s="66">
        <f>(LN(B38/$L$6)+($L$5+0.5*$L$4^2)*C38)/($L$4*SQRT(C38))</f>
        <v/>
      </c>
      <c r="E38" s="66">
        <f>NORMSDIST(D38)</f>
        <v/>
      </c>
      <c r="F38" s="61">
        <f>E38*$L$7</f>
        <v/>
      </c>
      <c r="G38" s="61">
        <f>F37*B38+H37*EXP($L$5*$L$9)</f>
        <v/>
      </c>
      <c r="H38" s="61">
        <f>G38-F38*B38</f>
        <v/>
      </c>
      <c r="I38" s="66">
        <f>LN(B38/B37)</f>
        <v/>
      </c>
    </row>
    <row r="39">
      <c r="A39">
        <f>A38+1</f>
        <v/>
      </c>
      <c r="B39" s="65">
        <f>StockPricePaths!E39</f>
        <v/>
      </c>
      <c r="C39" s="59">
        <f>$L$3-A39*$L$9</f>
        <v/>
      </c>
      <c r="D39" s="66">
        <f>(LN(B39/$L$6)+($L$5+0.5*$L$4^2)*C39)/($L$4*SQRT(C39))</f>
        <v/>
      </c>
      <c r="E39" s="66">
        <f>NORMSDIST(D39)</f>
        <v/>
      </c>
      <c r="F39" s="61">
        <f>E39*$L$7</f>
        <v/>
      </c>
      <c r="G39" s="61">
        <f>F38*B39+H38*EXP($L$5*$L$9)</f>
        <v/>
      </c>
      <c r="H39" s="61">
        <f>G39-F39*B39</f>
        <v/>
      </c>
      <c r="I39" s="66">
        <f>LN(B39/B38)</f>
        <v/>
      </c>
    </row>
    <row r="40">
      <c r="A40">
        <f>A39+1</f>
        <v/>
      </c>
      <c r="B40" s="65">
        <f>StockPricePaths!E40</f>
        <v/>
      </c>
      <c r="C40" s="59">
        <f>$L$3-A40*$L$9</f>
        <v/>
      </c>
      <c r="D40" s="66">
        <f>(LN(B40/$L$6)+($L$5+0.5*$L$4^2)*C40)/($L$4*SQRT(C40))</f>
        <v/>
      </c>
      <c r="E40" s="66">
        <f>NORMSDIST(D40)</f>
        <v/>
      </c>
      <c r="F40" s="61">
        <f>E40*$L$7</f>
        <v/>
      </c>
      <c r="G40" s="61">
        <f>F39*B40+H39*EXP($L$5*$L$9)</f>
        <v/>
      </c>
      <c r="H40" s="61">
        <f>G40-F40*B40</f>
        <v/>
      </c>
      <c r="I40" s="66">
        <f>LN(B40/B39)</f>
        <v/>
      </c>
    </row>
    <row r="41">
      <c r="A41">
        <f>A40+1</f>
        <v/>
      </c>
      <c r="B41" s="65">
        <f>StockPricePaths!E41</f>
        <v/>
      </c>
      <c r="C41" s="59">
        <f>$L$3-A41*$L$9</f>
        <v/>
      </c>
      <c r="D41" s="66">
        <f>(LN(B41/$L$6)+($L$5+0.5*$L$4^2)*C41)/($L$4*SQRT(C41))</f>
        <v/>
      </c>
      <c r="E41" s="66">
        <f>NORMSDIST(D41)</f>
        <v/>
      </c>
      <c r="F41" s="61">
        <f>E41*$L$7</f>
        <v/>
      </c>
      <c r="G41" s="61">
        <f>F40*B41+H40*EXP($L$5*$L$9)</f>
        <v/>
      </c>
      <c r="H41" s="61">
        <f>G41-F41*B41</f>
        <v/>
      </c>
      <c r="I41" s="66">
        <f>LN(B41/B40)</f>
        <v/>
      </c>
    </row>
    <row r="42">
      <c r="A42">
        <f>A41+1</f>
        <v/>
      </c>
      <c r="B42" s="65">
        <f>StockPricePaths!E42</f>
        <v/>
      </c>
      <c r="C42" s="59">
        <f>$L$3-A42*$L$9</f>
        <v/>
      </c>
      <c r="D42" s="66">
        <f>(LN(B42/$L$6)+($L$5+0.5*$L$4^2)*C42)/($L$4*SQRT(C42))</f>
        <v/>
      </c>
      <c r="E42" s="66">
        <f>NORMSDIST(D42)</f>
        <v/>
      </c>
      <c r="F42" s="61">
        <f>E42*$L$7</f>
        <v/>
      </c>
      <c r="G42" s="61">
        <f>F41*B42+H41*EXP($L$5*$L$9)</f>
        <v/>
      </c>
      <c r="H42" s="61">
        <f>G42-F42*B42</f>
        <v/>
      </c>
      <c r="I42" s="66">
        <f>LN(B42/B41)</f>
        <v/>
      </c>
    </row>
    <row r="43">
      <c r="A43">
        <f>A42+1</f>
        <v/>
      </c>
      <c r="B43" s="65">
        <f>StockPricePaths!E43</f>
        <v/>
      </c>
      <c r="C43" s="59">
        <f>$L$3-A43*$L$9</f>
        <v/>
      </c>
      <c r="D43" s="66">
        <f>(LN(B43/$L$6)+($L$5+0.5*$L$4^2)*C43)/($L$4*SQRT(C43))</f>
        <v/>
      </c>
      <c r="E43" s="66">
        <f>NORMSDIST(D43)</f>
        <v/>
      </c>
      <c r="F43" s="61">
        <f>E43*$L$7</f>
        <v/>
      </c>
      <c r="G43" s="61">
        <f>F42*B43+H42*EXP($L$5*$L$9)</f>
        <v/>
      </c>
      <c r="H43" s="61">
        <f>G43-F43*B43</f>
        <v/>
      </c>
      <c r="I43" s="66">
        <f>LN(B43/B42)</f>
        <v/>
      </c>
    </row>
    <row r="44">
      <c r="A44">
        <f>A43+1</f>
        <v/>
      </c>
      <c r="B44" s="65">
        <f>StockPricePaths!E44</f>
        <v/>
      </c>
      <c r="C44" s="59">
        <f>$L$3-A44*$L$9</f>
        <v/>
      </c>
      <c r="D44" s="66">
        <f>(LN(B44/$L$6)+($L$5+0.5*$L$4^2)*C44)/($L$4*SQRT(C44))</f>
        <v/>
      </c>
      <c r="E44" s="66">
        <f>NORMSDIST(D44)</f>
        <v/>
      </c>
      <c r="F44" s="61">
        <f>E44*$L$7</f>
        <v/>
      </c>
      <c r="G44" s="61">
        <f>F43*B44+H43*EXP($L$5*$L$9)</f>
        <v/>
      </c>
      <c r="H44" s="61">
        <f>G44-F44*B44</f>
        <v/>
      </c>
      <c r="I44" s="66">
        <f>LN(B44/B43)</f>
        <v/>
      </c>
    </row>
    <row r="45">
      <c r="A45">
        <f>A44+1</f>
        <v/>
      </c>
      <c r="B45" s="65">
        <f>StockPricePaths!E45</f>
        <v/>
      </c>
      <c r="C45" s="59">
        <f>$L$3-A45*$L$9</f>
        <v/>
      </c>
      <c r="D45" s="66">
        <f>(LN(B45/$L$6)+($L$5+0.5*$L$4^2)*C45)/($L$4*SQRT(C45))</f>
        <v/>
      </c>
      <c r="E45" s="66">
        <f>NORMSDIST(D45)</f>
        <v/>
      </c>
      <c r="F45" s="61">
        <f>E45*$L$7</f>
        <v/>
      </c>
      <c r="G45" s="61">
        <f>F44*B45+H44*EXP($L$5*$L$9)</f>
        <v/>
      </c>
      <c r="H45" s="61">
        <f>G45-F45*B45</f>
        <v/>
      </c>
      <c r="I45" s="66">
        <f>LN(B45/B44)</f>
        <v/>
      </c>
    </row>
    <row r="46">
      <c r="A46">
        <f>A45+1</f>
        <v/>
      </c>
      <c r="B46" s="65">
        <f>StockPricePaths!E46</f>
        <v/>
      </c>
      <c r="C46" s="59">
        <f>$L$3-A46*$L$9</f>
        <v/>
      </c>
      <c r="D46" s="66">
        <f>(LN(B46/$L$6)+($L$5+0.5*$L$4^2)*C46)/($L$4*SQRT(C46))</f>
        <v/>
      </c>
      <c r="E46" s="66">
        <f>NORMSDIST(D46)</f>
        <v/>
      </c>
      <c r="F46" s="61">
        <f>E46*$L$7</f>
        <v/>
      </c>
      <c r="G46" s="61">
        <f>F45*B46+H45*EXP($L$5*$L$9)</f>
        <v/>
      </c>
      <c r="H46" s="61">
        <f>G46-F46*B46</f>
        <v/>
      </c>
      <c r="I46" s="66">
        <f>LN(B46/B45)</f>
        <v/>
      </c>
    </row>
    <row r="47">
      <c r="A47">
        <f>A46+1</f>
        <v/>
      </c>
      <c r="B47" s="65">
        <f>StockPricePaths!E47</f>
        <v/>
      </c>
      <c r="C47" s="59">
        <f>$L$3-A47*$L$9</f>
        <v/>
      </c>
      <c r="D47" s="66">
        <f>(LN(B47/$L$6)+($L$5+0.5*$L$4^2)*C47)/($L$4*SQRT(C47))</f>
        <v/>
      </c>
      <c r="E47" s="66">
        <f>NORMSDIST(D47)</f>
        <v/>
      </c>
      <c r="F47" s="61">
        <f>E47*$L$7</f>
        <v/>
      </c>
      <c r="G47" s="61">
        <f>F46*B47+H46*EXP($L$5*$L$9)</f>
        <v/>
      </c>
      <c r="H47" s="61">
        <f>G47-F47*B47</f>
        <v/>
      </c>
      <c r="I47" s="66">
        <f>LN(B47/B46)</f>
        <v/>
      </c>
    </row>
    <row r="48">
      <c r="A48">
        <f>A47+1</f>
        <v/>
      </c>
      <c r="B48" s="65">
        <f>StockPricePaths!E48</f>
        <v/>
      </c>
      <c r="C48" s="59">
        <f>$L$3-A48*$L$9</f>
        <v/>
      </c>
      <c r="D48" s="66">
        <f>(LN(B48/$L$6)+($L$5+0.5*$L$4^2)*C48)/($L$4*SQRT(C48))</f>
        <v/>
      </c>
      <c r="E48" s="66">
        <f>NORMSDIST(D48)</f>
        <v/>
      </c>
      <c r="F48" s="61">
        <f>E48*$L$7</f>
        <v/>
      </c>
      <c r="G48" s="61">
        <f>F47*B48+H47*EXP($L$5*$L$9)</f>
        <v/>
      </c>
      <c r="H48" s="61">
        <f>G48-F48*B48</f>
        <v/>
      </c>
      <c r="I48" s="66">
        <f>LN(B48/B47)</f>
        <v/>
      </c>
    </row>
    <row r="49">
      <c r="A49">
        <f>A48+1</f>
        <v/>
      </c>
      <c r="B49" s="65">
        <f>StockPricePaths!E49</f>
        <v/>
      </c>
      <c r="C49" s="59">
        <f>$L$3-A49*$L$9</f>
        <v/>
      </c>
      <c r="D49" s="66">
        <f>(LN(B49/$L$6)+($L$5+0.5*$L$4^2)*C49)/($L$4*SQRT(C49))</f>
        <v/>
      </c>
      <c r="E49" s="66">
        <f>NORMSDIST(D49)</f>
        <v/>
      </c>
      <c r="F49" s="61">
        <f>E49*$L$7</f>
        <v/>
      </c>
      <c r="G49" s="61">
        <f>F48*B49+H48*EXP($L$5*$L$9)</f>
        <v/>
      </c>
      <c r="H49" s="61">
        <f>G49-F49*B49</f>
        <v/>
      </c>
      <c r="I49" s="66">
        <f>LN(B49/B48)</f>
        <v/>
      </c>
    </row>
    <row r="50">
      <c r="A50">
        <f>A49+1</f>
        <v/>
      </c>
      <c r="B50" s="65">
        <f>StockPricePaths!E50</f>
        <v/>
      </c>
      <c r="C50" s="59">
        <f>$L$3-A50*$L$9</f>
        <v/>
      </c>
      <c r="D50" s="66">
        <f>(LN(B50/$L$6)+($L$5+0.5*$L$4^2)*C50)/($L$4*SQRT(C50))</f>
        <v/>
      </c>
      <c r="E50" s="66">
        <f>NORMSDIST(D50)</f>
        <v/>
      </c>
      <c r="F50" s="61">
        <f>E50*$L$7</f>
        <v/>
      </c>
      <c r="G50" s="61">
        <f>F49*B50+H49*EXP($L$5*$L$9)</f>
        <v/>
      </c>
      <c r="H50" s="61">
        <f>G50-F50*B50</f>
        <v/>
      </c>
      <c r="I50" s="66">
        <f>LN(B50/B49)</f>
        <v/>
      </c>
    </row>
    <row r="51">
      <c r="A51">
        <f>A50+1</f>
        <v/>
      </c>
      <c r="B51" s="65">
        <f>StockPricePaths!E51</f>
        <v/>
      </c>
      <c r="C51" s="59">
        <f>$L$3-A51*$L$9</f>
        <v/>
      </c>
      <c r="D51" s="66">
        <f>(LN(B51/$L$6)+($L$5+0.5*$L$4^2)*C51)/($L$4*SQRT(C51))</f>
        <v/>
      </c>
      <c r="E51" s="66">
        <f>NORMSDIST(D51)</f>
        <v/>
      </c>
      <c r="F51" s="61">
        <f>E51*$L$7</f>
        <v/>
      </c>
      <c r="G51" s="61">
        <f>F50*B51+H50*EXP($L$5*$L$9)</f>
        <v/>
      </c>
      <c r="H51" s="61">
        <f>G51-F51*B51</f>
        <v/>
      </c>
      <c r="I51" s="66">
        <f>LN(B51/B50)</f>
        <v/>
      </c>
    </row>
    <row r="52">
      <c r="A52">
        <f>A51+1</f>
        <v/>
      </c>
      <c r="B52" s="65">
        <f>StockPricePaths!E52</f>
        <v/>
      </c>
      <c r="C52" s="59">
        <f>$L$3-A52*$L$9</f>
        <v/>
      </c>
      <c r="G52" s="61">
        <f>F51*B52+H51*EXP($L$5*$L$9)</f>
        <v/>
      </c>
      <c r="I52" s="66">
        <f>LN(B52/B51)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style="30" min="1" max="1"/>
    <col width="16" customWidth="1" style="30" min="2" max="2"/>
    <col width="20" customWidth="1" style="30" min="3" max="3"/>
    <col width="11" customWidth="1" style="30" min="4" max="4"/>
    <col width="13" customWidth="1" style="30" min="5" max="5"/>
    <col width="17" customWidth="1" style="30" min="6" max="6"/>
    <col width="24" customWidth="1" style="30" min="7" max="7"/>
    <col width="20" customWidth="1" style="30" min="8" max="8"/>
    <col width="22" customWidth="1" style="30" min="9" max="9"/>
    <col width="42" customWidth="1" style="30" min="11" max="11"/>
    <col width="18" customWidth="1" style="30" min="12" max="12"/>
  </cols>
  <sheetData>
    <row r="1">
      <c r="A1" s="56" t="inlineStr">
        <is>
          <t>Period t</t>
        </is>
      </c>
      <c r="B1" s="56" t="inlineStr">
        <is>
          <t>Stock Price S_t</t>
        </is>
      </c>
      <c r="C1" s="56" t="inlineStr">
        <is>
          <t>Time to maturity (T-t)</t>
        </is>
      </c>
      <c r="D1" s="56" t="inlineStr">
        <is>
          <t>d1</t>
        </is>
      </c>
      <c r="E1" s="56" t="inlineStr">
        <is>
          <t>Delta = N(d1)</t>
        </is>
      </c>
      <c r="F1" s="56" t="inlineStr">
        <is>
          <t># Stocks held x_t</t>
        </is>
      </c>
      <c r="G1" s="56" t="inlineStr">
        <is>
          <t>S.F. Portfolio Value V_t</t>
        </is>
      </c>
      <c r="H1" s="56" t="inlineStr">
        <is>
          <t>Cash Account $ c_t</t>
        </is>
      </c>
      <c r="I1" s="56" t="inlineStr">
        <is>
          <t>Log-return ln(S_t/S_t-1)</t>
        </is>
      </c>
      <c r="K1" s="57" t="inlineStr">
        <is>
          <t>Parameter</t>
        </is>
      </c>
      <c r="L1" s="57" t="inlineStr">
        <is>
          <t>Value</t>
        </is>
      </c>
    </row>
    <row r="2">
      <c r="A2" t="n">
        <v>0</v>
      </c>
      <c r="B2" s="65">
        <f>DemoSheet!E2</f>
        <v/>
      </c>
      <c r="C2" s="59">
        <f>$L$3-A2*$L$9</f>
        <v/>
      </c>
      <c r="D2" s="66">
        <f>(LN(B2/$L$6)+($L$5+0.5*$L$4^2)*C2)/($L$4*SQRT(C2))</f>
        <v/>
      </c>
      <c r="E2" s="66">
        <f>NORMSDIST(D2)</f>
        <v/>
      </c>
      <c r="F2" s="61">
        <f>E2*$L$7</f>
        <v/>
      </c>
      <c r="G2" s="61">
        <f>$L$7*(B2*NORMSDIST(D2)-$L$6*EXP(-$L$5*C2)*NORMSDIST(D2-$L$4*SQRT(C2)))</f>
        <v/>
      </c>
      <c r="H2" s="61">
        <f>G2-F2*B2</f>
        <v/>
      </c>
      <c r="K2" t="inlineStr">
        <is>
          <t>Initial stock price S0</t>
        </is>
      </c>
      <c r="L2">
        <f>DemoSheet!$B$2</f>
        <v/>
      </c>
    </row>
    <row r="3">
      <c r="A3">
        <f>A2+1</f>
        <v/>
      </c>
      <c r="B3" s="65">
        <f>DemoSheet!E3</f>
        <v/>
      </c>
      <c r="C3" s="59">
        <f>$L$3-A3*$L$9</f>
        <v/>
      </c>
      <c r="D3" s="66">
        <f>(LN(B3/$L$6)+($L$5+0.5*$L$4^2)*C3)/($L$4*SQRT(C3))</f>
        <v/>
      </c>
      <c r="E3" s="66">
        <f>NORMSDIST(D3)</f>
        <v/>
      </c>
      <c r="F3" s="61">
        <f>E3*$L$7</f>
        <v/>
      </c>
      <c r="G3" s="61">
        <f>F2*B3+H2*EXP($L$5*$L$9)</f>
        <v/>
      </c>
      <c r="H3" s="61">
        <f>G3-F3*B3</f>
        <v/>
      </c>
      <c r="I3" s="66">
        <f>LN(B3/B2)</f>
        <v/>
      </c>
      <c r="K3" t="inlineStr">
        <is>
          <t>Expiration T (years)</t>
        </is>
      </c>
      <c r="L3">
        <f>DemoSheet!$B$3</f>
        <v/>
      </c>
    </row>
    <row r="4">
      <c r="A4">
        <f>A3+1</f>
        <v/>
      </c>
      <c r="B4" s="65">
        <f>DemoSheet!E4</f>
        <v/>
      </c>
      <c r="C4" s="59">
        <f>$L$3-A4*$L$9</f>
        <v/>
      </c>
      <c r="D4" s="66">
        <f>(LN(B4/$L$6)+($L$5+0.5*$L$4^2)*C4)/($L$4*SQRT(C4))</f>
        <v/>
      </c>
      <c r="E4" s="66">
        <f>NORMSDIST(D4)</f>
        <v/>
      </c>
      <c r="F4" s="61">
        <f>E4*$L$7</f>
        <v/>
      </c>
      <c r="G4" s="61">
        <f>F3*B4+H3*EXP($L$5*$L$9)</f>
        <v/>
      </c>
      <c r="H4" s="61">
        <f>G4-F4*B4</f>
        <v/>
      </c>
      <c r="I4" s="66">
        <f>LN(B4/B3)</f>
        <v/>
      </c>
      <c r="K4" t="inlineStr">
        <is>
          <t>Implied volatility</t>
        </is>
      </c>
      <c r="L4">
        <f>DemoSheet!$B$4</f>
        <v/>
      </c>
    </row>
    <row r="5">
      <c r="A5">
        <f>A4+1</f>
        <v/>
      </c>
      <c r="B5" s="65">
        <f>DemoSheet!E5</f>
        <v/>
      </c>
      <c r="C5" s="59">
        <f>$L$3-A5*$L$9</f>
        <v/>
      </c>
      <c r="D5" s="66">
        <f>(LN(B5/$L$6)+($L$5+0.5*$L$4^2)*C5)/($L$4*SQRT(C5))</f>
        <v/>
      </c>
      <c r="E5" s="66">
        <f>NORMSDIST(D5)</f>
        <v/>
      </c>
      <c r="F5" s="61">
        <f>E5*$L$7</f>
        <v/>
      </c>
      <c r="G5" s="61">
        <f>F4*B5+H4*EXP($L$5*$L$9)</f>
        <v/>
      </c>
      <c r="H5" s="61">
        <f>G5-F5*B5</f>
        <v/>
      </c>
      <c r="I5" s="66">
        <f>LN(B5/B4)</f>
        <v/>
      </c>
      <c r="K5" t="inlineStr">
        <is>
          <t>Risk-free rate r</t>
        </is>
      </c>
      <c r="L5">
        <f>DemoSheet!$B$5</f>
        <v/>
      </c>
    </row>
    <row r="6">
      <c r="A6">
        <f>A5+1</f>
        <v/>
      </c>
      <c r="B6" s="65">
        <f>DemoSheet!E6</f>
        <v/>
      </c>
      <c r="C6" s="59">
        <f>$L$3-A6*$L$9</f>
        <v/>
      </c>
      <c r="D6" s="66">
        <f>(LN(B6/$L$6)+($L$5+0.5*$L$4^2)*C6)/($L$4*SQRT(C6))</f>
        <v/>
      </c>
      <c r="E6" s="66">
        <f>NORMSDIST(D6)</f>
        <v/>
      </c>
      <c r="F6" s="61">
        <f>E6*$L$7</f>
        <v/>
      </c>
      <c r="G6" s="61">
        <f>F5*B6+H5*EXP($L$5*$L$9)</f>
        <v/>
      </c>
      <c r="H6" s="61">
        <f>G6-F6*B6</f>
        <v/>
      </c>
      <c r="I6" s="66">
        <f>LN(B6/B5)</f>
        <v/>
      </c>
      <c r="K6" t="inlineStr">
        <is>
          <t>Strike K</t>
        </is>
      </c>
      <c r="L6">
        <f>DemoSheet!$B$6</f>
        <v/>
      </c>
    </row>
    <row r="7">
      <c r="A7">
        <f>A6+1</f>
        <v/>
      </c>
      <c r="B7" s="65">
        <f>DemoSheet!E7</f>
        <v/>
      </c>
      <c r="C7" s="59">
        <f>$L$3-A7*$L$9</f>
        <v/>
      </c>
      <c r="D7" s="66">
        <f>(LN(B7/$L$6)+($L$5+0.5*$L$4^2)*C7)/($L$4*SQRT(C7))</f>
        <v/>
      </c>
      <c r="E7" s="66">
        <f>NORMSDIST(D7)</f>
        <v/>
      </c>
      <c r="F7" s="61">
        <f>E7*$L$7</f>
        <v/>
      </c>
      <c r="G7" s="61">
        <f>F6*B7+H6*EXP($L$5*$L$9)</f>
        <v/>
      </c>
      <c r="H7" s="61">
        <f>G7-F7*B7</f>
        <v/>
      </c>
      <c r="I7" s="66">
        <f>LN(B7/B6)</f>
        <v/>
      </c>
      <c r="K7" t="inlineStr">
        <is>
          <t># of options sold</t>
        </is>
      </c>
      <c r="L7">
        <f>DemoSheet!$B$7</f>
        <v/>
      </c>
    </row>
    <row r="8">
      <c r="A8">
        <f>A7+1</f>
        <v/>
      </c>
      <c r="B8" s="65">
        <f>DemoSheet!E8</f>
        <v/>
      </c>
      <c r="C8" s="59">
        <f>$L$3-A8*$L$9</f>
        <v/>
      </c>
      <c r="D8" s="66">
        <f>(LN(B8/$L$6)+($L$5+0.5*$L$4^2)*C8)/($L$4*SQRT(C8))</f>
        <v/>
      </c>
      <c r="E8" s="66">
        <f>NORMSDIST(D8)</f>
        <v/>
      </c>
      <c r="F8" s="61">
        <f>E8*$L$7</f>
        <v/>
      </c>
      <c r="G8" s="61">
        <f>F7*B8+H7*EXP($L$5*$L$9)</f>
        <v/>
      </c>
      <c r="H8" s="61">
        <f>G8-F8*B8</f>
        <v/>
      </c>
      <c r="I8" s="66">
        <f>LN(B8/B7)</f>
        <v/>
      </c>
      <c r="K8" t="inlineStr">
        <is>
          <t># of hedging periods</t>
        </is>
      </c>
      <c r="L8">
        <f>DemoSheet!$B$8</f>
        <v/>
      </c>
    </row>
    <row r="9">
      <c r="A9">
        <f>A8+1</f>
        <v/>
      </c>
      <c r="B9" s="65">
        <f>DemoSheet!E9</f>
        <v/>
      </c>
      <c r="C9" s="59">
        <f>$L$3-A9*$L$9</f>
        <v/>
      </c>
      <c r="D9" s="66">
        <f>(LN(B9/$L$6)+($L$5+0.5*$L$4^2)*C9)/($L$4*SQRT(C9))</f>
        <v/>
      </c>
      <c r="E9" s="66">
        <f>NORMSDIST(D9)</f>
        <v/>
      </c>
      <c r="F9" s="61">
        <f>E9*$L$7</f>
        <v/>
      </c>
      <c r="G9" s="61">
        <f>F8*B9+H8*EXP($L$5*$L$9)</f>
        <v/>
      </c>
      <c r="H9" s="61">
        <f>G9-F9*B9</f>
        <v/>
      </c>
      <c r="I9" s="66">
        <f>LN(B9/B8)</f>
        <v/>
      </c>
      <c r="K9" t="inlineStr">
        <is>
          <t>dt = T / # periods</t>
        </is>
      </c>
      <c r="L9">
        <f>L3/L8</f>
        <v/>
      </c>
    </row>
    <row r="10">
      <c r="A10">
        <f>A9+1</f>
        <v/>
      </c>
      <c r="B10" s="65">
        <f>DemoSheet!E10</f>
        <v/>
      </c>
      <c r="C10" s="59">
        <f>$L$3-A10*$L$9</f>
        <v/>
      </c>
      <c r="D10" s="66">
        <f>(LN(B10/$L$6)+($L$5+0.5*$L$4^2)*C10)/($L$4*SQRT(C10))</f>
        <v/>
      </c>
      <c r="E10" s="66">
        <f>NORMSDIST(D10)</f>
        <v/>
      </c>
      <c r="F10" s="61">
        <f>E10*$L$7</f>
        <v/>
      </c>
      <c r="G10" s="61">
        <f>F9*B10+H9*EXP($L$5*$L$9)</f>
        <v/>
      </c>
      <c r="H10" s="61">
        <f>G10-F10*B10</f>
        <v/>
      </c>
      <c r="I10" s="66">
        <f>LN(B10/B9)</f>
        <v/>
      </c>
    </row>
    <row r="11">
      <c r="A11">
        <f>A10+1</f>
        <v/>
      </c>
      <c r="B11" s="65">
        <f>DemoSheet!E11</f>
        <v/>
      </c>
      <c r="C11" s="59">
        <f>$L$3-A11*$L$9</f>
        <v/>
      </c>
      <c r="D11" s="66">
        <f>(LN(B11/$L$6)+($L$5+0.5*$L$4^2)*C11)/($L$4*SQRT(C11))</f>
        <v/>
      </c>
      <c r="E11" s="66">
        <f>NORMSDIST(D11)</f>
        <v/>
      </c>
      <c r="F11" s="61">
        <f>E11*$L$7</f>
        <v/>
      </c>
      <c r="G11" s="61">
        <f>F10*B11+H10*EXP($L$5*$L$9)</f>
        <v/>
      </c>
      <c r="H11" s="61">
        <f>G11-F11*B11</f>
        <v/>
      </c>
      <c r="I11" s="66">
        <f>LN(B11/B10)</f>
        <v/>
      </c>
      <c r="K11" s="40" t="inlineStr">
        <is>
          <t>RESULTS</t>
        </is>
      </c>
    </row>
    <row r="12">
      <c r="A12">
        <f>A11+1</f>
        <v/>
      </c>
      <c r="B12" s="65">
        <f>DemoSheet!E12</f>
        <v/>
      </c>
      <c r="C12" s="59">
        <f>$L$3-A12*$L$9</f>
        <v/>
      </c>
      <c r="D12" s="66">
        <f>(LN(B12/$L$6)+($L$5+0.5*$L$4^2)*C12)/($L$4*SQRT(C12))</f>
        <v/>
      </c>
      <c r="E12" s="66">
        <f>NORMSDIST(D12)</f>
        <v/>
      </c>
      <c r="F12" s="61">
        <f>E12*$L$7</f>
        <v/>
      </c>
      <c r="G12" s="61">
        <f>F11*B12+H11*EXP($L$5*$L$9)</f>
        <v/>
      </c>
      <c r="H12" s="61">
        <f>G12-F12*B12</f>
        <v/>
      </c>
      <c r="I12" s="66">
        <f>LN(B12/B11)</f>
        <v/>
      </c>
      <c r="K12" s="62" t="inlineStr">
        <is>
          <t>Mean log-return (annualized)</t>
        </is>
      </c>
      <c r="L12" s="59">
        <f>AVERAGE(I3:I52)/$L$9</f>
        <v/>
      </c>
    </row>
    <row r="13">
      <c r="A13">
        <f>A12+1</f>
        <v/>
      </c>
      <c r="B13" s="65">
        <f>DemoSheet!E13</f>
        <v/>
      </c>
      <c r="C13" s="59">
        <f>$L$3-A13*$L$9</f>
        <v/>
      </c>
      <c r="D13" s="66">
        <f>(LN(B13/$L$6)+($L$5+0.5*$L$4^2)*C13)/($L$4*SQRT(C13))</f>
        <v/>
      </c>
      <c r="E13" s="66">
        <f>NORMSDIST(D13)</f>
        <v/>
      </c>
      <c r="F13" s="61">
        <f>E13*$L$7</f>
        <v/>
      </c>
      <c r="G13" s="61">
        <f>F12*B13+H12*EXP($L$5*$L$9)</f>
        <v/>
      </c>
      <c r="H13" s="61">
        <f>G13-F13*B13</f>
        <v/>
      </c>
      <c r="I13" s="66">
        <f>LN(B13/B12)</f>
        <v/>
      </c>
      <c r="K13" s="62" t="inlineStr">
        <is>
          <t>Realized volatility (annualized)</t>
        </is>
      </c>
      <c r="L13" s="66">
        <f>STDEV(I3:I52)/SQRT($L$9)</f>
        <v/>
      </c>
    </row>
    <row r="14">
      <c r="A14">
        <f>A13+1</f>
        <v/>
      </c>
      <c r="B14" s="65">
        <f>DemoSheet!E14</f>
        <v/>
      </c>
      <c r="C14" s="59">
        <f>$L$3-A14*$L$9</f>
        <v/>
      </c>
      <c r="D14" s="66">
        <f>(LN(B14/$L$6)+($L$5+0.5*$L$4^2)*C14)/($L$4*SQRT(C14))</f>
        <v/>
      </c>
      <c r="E14" s="66">
        <f>NORMSDIST(D14)</f>
        <v/>
      </c>
      <c r="F14" s="61">
        <f>E14*$L$7</f>
        <v/>
      </c>
      <c r="G14" s="61">
        <f>F13*B14+H13*EXP($L$5*$L$9)</f>
        <v/>
      </c>
      <c r="H14" s="61">
        <f>G14-F14*B14</f>
        <v/>
      </c>
      <c r="I14" s="66">
        <f>LN(B14/B13)</f>
        <v/>
      </c>
      <c r="K14" s="62" t="inlineStr">
        <is>
          <t>ANSWER - realized vol in %, 2 dp</t>
        </is>
      </c>
      <c r="L14" s="43">
        <f>ROUND(L13*100,2)</f>
        <v/>
      </c>
    </row>
    <row r="15">
      <c r="A15">
        <f>A14+1</f>
        <v/>
      </c>
      <c r="B15" s="65">
        <f>DemoSheet!E15</f>
        <v/>
      </c>
      <c r="C15" s="59">
        <f>$L$3-A15*$L$9</f>
        <v/>
      </c>
      <c r="D15" s="66">
        <f>(LN(B15/$L$6)+($L$5+0.5*$L$4^2)*C15)/($L$4*SQRT(C15))</f>
        <v/>
      </c>
      <c r="E15" s="66">
        <f>NORMSDIST(D15)</f>
        <v/>
      </c>
      <c r="F15" s="61">
        <f>E15*$L$7</f>
        <v/>
      </c>
      <c r="G15" s="61">
        <f>F14*B15+H14*EXP($L$5*$L$9)</f>
        <v/>
      </c>
      <c r="H15" s="61">
        <f>G15-F15*B15</f>
        <v/>
      </c>
      <c r="I15" s="66">
        <f>LN(B15/B14)</f>
        <v/>
      </c>
      <c r="K15" s="62" t="inlineStr">
        <is>
          <t>Terminal stock price S_T</t>
        </is>
      </c>
      <c r="L15" s="65">
        <f>B52</f>
        <v/>
      </c>
    </row>
    <row r="16">
      <c r="A16">
        <f>A15+1</f>
        <v/>
      </c>
      <c r="B16" s="65">
        <f>DemoSheet!E16</f>
        <v/>
      </c>
      <c r="C16" s="59">
        <f>$L$3-A16*$L$9</f>
        <v/>
      </c>
      <c r="D16" s="66">
        <f>(LN(B16/$L$6)+($L$5+0.5*$L$4^2)*C16)/($L$4*SQRT(C16))</f>
        <v/>
      </c>
      <c r="E16" s="66">
        <f>NORMSDIST(D16)</f>
        <v/>
      </c>
      <c r="F16" s="61">
        <f>E16*$L$7</f>
        <v/>
      </c>
      <c r="G16" s="61">
        <f>F15*B16+H15*EXP($L$5*$L$9)</f>
        <v/>
      </c>
      <c r="H16" s="61">
        <f>G16-F16*B16</f>
        <v/>
      </c>
      <c r="I16" s="66">
        <f>LN(B16/B15)</f>
        <v/>
      </c>
      <c r="K16" s="62" t="inlineStr">
        <is>
          <t>Option payoff = # options x MAX(S_T-K,0)</t>
        </is>
      </c>
      <c r="L16" s="61">
        <f>MAX(L15-$L$6,0)*$L$7</f>
        <v/>
      </c>
    </row>
    <row r="17">
      <c r="A17">
        <f>A16+1</f>
        <v/>
      </c>
      <c r="B17" s="65">
        <f>DemoSheet!E17</f>
        <v/>
      </c>
      <c r="C17" s="59">
        <f>$L$3-A17*$L$9</f>
        <v/>
      </c>
      <c r="D17" s="66">
        <f>(LN(B17/$L$6)+($L$5+0.5*$L$4^2)*C17)/($L$4*SQRT(C17))</f>
        <v/>
      </c>
      <c r="E17" s="66">
        <f>NORMSDIST(D17)</f>
        <v/>
      </c>
      <c r="F17" s="61">
        <f>E17*$L$7</f>
        <v/>
      </c>
      <c r="G17" s="61">
        <f>F16*B17+H16*EXP($L$5*$L$9)</f>
        <v/>
      </c>
      <c r="H17" s="61">
        <f>G17-F17*B17</f>
        <v/>
      </c>
      <c r="I17" s="66">
        <f>LN(B17/B16)</f>
        <v/>
      </c>
      <c r="K17" s="62" t="inlineStr">
        <is>
          <t>Final self-financing portfolio V_T</t>
        </is>
      </c>
      <c r="L17" s="61">
        <f>G52</f>
        <v/>
      </c>
    </row>
    <row r="18">
      <c r="A18">
        <f>A17+1</f>
        <v/>
      </c>
      <c r="B18" s="65">
        <f>DemoSheet!E18</f>
        <v/>
      </c>
      <c r="C18" s="59">
        <f>$L$3-A18*$L$9</f>
        <v/>
      </c>
      <c r="D18" s="66">
        <f>(LN(B18/$L$6)+($L$5+0.5*$L$4^2)*C18)/($L$4*SQRT(C18))</f>
        <v/>
      </c>
      <c r="E18" s="66">
        <f>NORMSDIST(D18)</f>
        <v/>
      </c>
      <c r="F18" s="61">
        <f>E18*$L$7</f>
        <v/>
      </c>
      <c r="G18" s="61">
        <f>F17*B18+H17*EXP($L$5*$L$9)</f>
        <v/>
      </c>
      <c r="H18" s="61">
        <f>G18-F18*B18</f>
        <v/>
      </c>
      <c r="I18" s="66">
        <f>LN(B18/B17)</f>
        <v/>
      </c>
      <c r="K18" s="62" t="inlineStr">
        <is>
          <t>Total hedging P&amp;L = V_T - payoff</t>
        </is>
      </c>
      <c r="L18" s="61">
        <f>L17-L16</f>
        <v/>
      </c>
    </row>
    <row r="19">
      <c r="A19">
        <f>A18+1</f>
        <v/>
      </c>
      <c r="B19" s="65">
        <f>DemoSheet!E19</f>
        <v/>
      </c>
      <c r="C19" s="59">
        <f>$L$3-A19*$L$9</f>
        <v/>
      </c>
      <c r="D19" s="66">
        <f>(LN(B19/$L$6)+($L$5+0.5*$L$4^2)*C19)/($L$4*SQRT(C19))</f>
        <v/>
      </c>
      <c r="E19" s="66">
        <f>NORMSDIST(D19)</f>
        <v/>
      </c>
      <c r="F19" s="61">
        <f>E19*$L$7</f>
        <v/>
      </c>
      <c r="G19" s="61">
        <f>F18*B19+H18*EXP($L$5*$L$9)</f>
        <v/>
      </c>
      <c r="H19" s="61">
        <f>G19-F19*B19</f>
        <v/>
      </c>
      <c r="I19" s="66">
        <f>LN(B19/B18)</f>
        <v/>
      </c>
      <c r="K19" s="62" t="inlineStr">
        <is>
          <t>ANSWER - P&amp;L to nearest integer</t>
        </is>
      </c>
      <c r="L19" s="44">
        <f>ROUND(L18,0)</f>
        <v/>
      </c>
    </row>
    <row r="20">
      <c r="A20">
        <f>A19+1</f>
        <v/>
      </c>
      <c r="B20" s="65">
        <f>DemoSheet!E20</f>
        <v/>
      </c>
      <c r="C20" s="59">
        <f>$L$3-A20*$L$9</f>
        <v/>
      </c>
      <c r="D20" s="66">
        <f>(LN(B20/$L$6)+($L$5+0.5*$L$4^2)*C20)/($L$4*SQRT(C20))</f>
        <v/>
      </c>
      <c r="E20" s="66">
        <f>NORMSDIST(D20)</f>
        <v/>
      </c>
      <c r="F20" s="61">
        <f>E20*$L$7</f>
        <v/>
      </c>
      <c r="G20" s="61">
        <f>F19*B20+H19*EXP($L$5*$L$9)</f>
        <v/>
      </c>
      <c r="H20" s="61">
        <f>G20-F20*B20</f>
        <v/>
      </c>
      <c r="I20" s="66">
        <f>LN(B20/B19)</f>
        <v/>
      </c>
    </row>
    <row r="21">
      <c r="A21">
        <f>A20+1</f>
        <v/>
      </c>
      <c r="B21" s="65">
        <f>DemoSheet!E21</f>
        <v/>
      </c>
      <c r="C21" s="59">
        <f>$L$3-A21*$L$9</f>
        <v/>
      </c>
      <c r="D21" s="66">
        <f>(LN(B21/$L$6)+($L$5+0.5*$L$4^2)*C21)/($L$4*SQRT(C21))</f>
        <v/>
      </c>
      <c r="E21" s="66">
        <f>NORMSDIST(D21)</f>
        <v/>
      </c>
      <c r="F21" s="61">
        <f>E21*$L$7</f>
        <v/>
      </c>
      <c r="G21" s="61">
        <f>F20*B21+H20*EXP($L$5*$L$9)</f>
        <v/>
      </c>
      <c r="H21" s="61">
        <f>G21-F21*B21</f>
        <v/>
      </c>
      <c r="I21" s="66">
        <f>LN(B21/B20)</f>
        <v/>
      </c>
      <c r="K21" s="57" t="inlineStr">
        <is>
          <t>Prices are linked to DemoSheet!E (the worked example). Every other column is a live formula:</t>
        </is>
      </c>
    </row>
    <row r="22">
      <c r="A22">
        <f>A21+1</f>
        <v/>
      </c>
      <c r="B22" s="65">
        <f>DemoSheet!E22</f>
        <v/>
      </c>
      <c r="C22" s="59">
        <f>$L$3-A22*$L$9</f>
        <v/>
      </c>
      <c r="D22" s="66">
        <f>(LN(B22/$L$6)+($L$5+0.5*$L$4^2)*C22)/($L$4*SQRT(C22))</f>
        <v/>
      </c>
      <c r="E22" s="66">
        <f>NORMSDIST(D22)</f>
        <v/>
      </c>
      <c r="F22" s="61">
        <f>E22*$L$7</f>
        <v/>
      </c>
      <c r="G22" s="61">
        <f>F21*B22+H21*EXP($L$5*$L$9)</f>
        <v/>
      </c>
      <c r="H22" s="61">
        <f>G22-F22*B22</f>
        <v/>
      </c>
      <c r="I22" s="66">
        <f>LN(B22/B21)</f>
        <v/>
      </c>
      <c r="K22" t="inlineStr">
        <is>
          <t>A  Period t = 0..50.</t>
        </is>
      </c>
    </row>
    <row r="23">
      <c r="A23">
        <f>A22+1</f>
        <v/>
      </c>
      <c r="B23" s="65">
        <f>DemoSheet!E23</f>
        <v/>
      </c>
      <c r="C23" s="59">
        <f>$L$3-A23*$L$9</f>
        <v/>
      </c>
      <c r="D23" s="66">
        <f>(LN(B23/$L$6)+($L$5+0.5*$L$4^2)*C23)/($L$4*SQRT(C23))</f>
        <v/>
      </c>
      <c r="E23" s="66">
        <f>NORMSDIST(D23)</f>
        <v/>
      </c>
      <c r="F23" s="61">
        <f>E23*$L$7</f>
        <v/>
      </c>
      <c r="G23" s="61">
        <f>F22*B23+H22*EXP($L$5*$L$9)</f>
        <v/>
      </c>
      <c r="H23" s="61">
        <f>G23-F23*B23</f>
        <v/>
      </c>
      <c r="I23" s="66">
        <f>LN(B23/B22)</f>
        <v/>
      </c>
      <c r="K23" t="inlineStr">
        <is>
          <t>B  Stock price, linked to the price path (this is the only input).</t>
        </is>
      </c>
    </row>
    <row r="24">
      <c r="A24">
        <f>A23+1</f>
        <v/>
      </c>
      <c r="B24" s="65">
        <f>DemoSheet!E24</f>
        <v/>
      </c>
      <c r="C24" s="59">
        <f>$L$3-A24*$L$9</f>
        <v/>
      </c>
      <c r="D24" s="66">
        <f>(LN(B24/$L$6)+($L$5+0.5*$L$4^2)*C24)/($L$4*SQRT(C24))</f>
        <v/>
      </c>
      <c r="E24" s="66">
        <f>NORMSDIST(D24)</f>
        <v/>
      </c>
      <c r="F24" s="61">
        <f>E24*$L$7</f>
        <v/>
      </c>
      <c r="G24" s="61">
        <f>F23*B24+H23*EXP($L$5*$L$9)</f>
        <v/>
      </c>
      <c r="H24" s="61">
        <f>G24-F24*B24</f>
        <v/>
      </c>
      <c r="I24" s="66">
        <f>LN(B24/B23)</f>
        <v/>
      </c>
      <c r="K24" t="inlineStr">
        <is>
          <t>C  Time to maturity tau = T - t*dt, dt = T/50 = 0.005 years.</t>
        </is>
      </c>
    </row>
    <row r="25">
      <c r="A25">
        <f>A24+1</f>
        <v/>
      </c>
      <c r="B25" s="65">
        <f>DemoSheet!E25</f>
        <v/>
      </c>
      <c r="C25" s="59">
        <f>$L$3-A25*$L$9</f>
        <v/>
      </c>
      <c r="D25" s="66">
        <f>(LN(B25/$L$6)+($L$5+0.5*$L$4^2)*C25)/($L$4*SQRT(C25))</f>
        <v/>
      </c>
      <c r="E25" s="66">
        <f>NORMSDIST(D25)</f>
        <v/>
      </c>
      <c r="F25" s="61">
        <f>E25*$L$7</f>
        <v/>
      </c>
      <c r="G25" s="61">
        <f>F24*B25+H24*EXP($L$5*$L$9)</f>
        <v/>
      </c>
      <c r="H25" s="61">
        <f>G25-F25*B25</f>
        <v/>
      </c>
      <c r="I25" s="66">
        <f>LN(B25/B24)</f>
        <v/>
      </c>
      <c r="K25" t="inlineStr">
        <is>
          <t>D  d1 = (LN(S/K) + (r + 0.5*sigma^2)*tau) / (sigma*SQRT(tau)), sigma = IMPLIED vol 30%.</t>
        </is>
      </c>
    </row>
    <row r="26">
      <c r="A26">
        <f>A25+1</f>
        <v/>
      </c>
      <c r="B26" s="65">
        <f>DemoSheet!E26</f>
        <v/>
      </c>
      <c r="C26" s="59">
        <f>$L$3-A26*$L$9</f>
        <v/>
      </c>
      <c r="D26" s="66">
        <f>(LN(B26/$L$6)+($L$5+0.5*$L$4^2)*C26)/($L$4*SQRT(C26))</f>
        <v/>
      </c>
      <c r="E26" s="66">
        <f>NORMSDIST(D26)</f>
        <v/>
      </c>
      <c r="F26" s="61">
        <f>E26*$L$7</f>
        <v/>
      </c>
      <c r="G26" s="61">
        <f>F25*B26+H25*EXP($L$5*$L$9)</f>
        <v/>
      </c>
      <c r="H26" s="61">
        <f>G26-F26*B26</f>
        <v/>
      </c>
      <c r="I26" s="66">
        <f>LN(B26/B25)</f>
        <v/>
      </c>
      <c r="K26" t="inlineStr">
        <is>
          <t>E  Delta = N(d1) = NORMSDIST(d1): shares to hold per option.</t>
        </is>
      </c>
    </row>
    <row r="27">
      <c r="A27">
        <f>A26+1</f>
        <v/>
      </c>
      <c r="B27" s="65">
        <f>DemoSheet!E27</f>
        <v/>
      </c>
      <c r="C27" s="59">
        <f>$L$3-A27*$L$9</f>
        <v/>
      </c>
      <c r="D27" s="66">
        <f>(LN(B27/$L$6)+($L$5+0.5*$L$4^2)*C27)/($L$4*SQRT(C27))</f>
        <v/>
      </c>
      <c r="E27" s="66">
        <f>NORMSDIST(D27)</f>
        <v/>
      </c>
      <c r="F27" s="61">
        <f>E27*$L$7</f>
        <v/>
      </c>
      <c r="G27" s="61">
        <f>F26*B27+H26*EXP($L$5*$L$9)</f>
        <v/>
      </c>
      <c r="H27" s="61">
        <f>G27-F27*B27</f>
        <v/>
      </c>
      <c r="I27" s="66">
        <f>LN(B27/B26)</f>
        <v/>
      </c>
      <c r="K27" t="inlineStr">
        <is>
          <t>F  # stocks held x_t = Delta * 100,000 options.</t>
        </is>
      </c>
    </row>
    <row r="28">
      <c r="A28">
        <f>A27+1</f>
        <v/>
      </c>
      <c r="B28" s="65">
        <f>DemoSheet!E28</f>
        <v/>
      </c>
      <c r="C28" s="59">
        <f>$L$3-A28*$L$9</f>
        <v/>
      </c>
      <c r="D28" s="66">
        <f>(LN(B28/$L$6)+($L$5+0.5*$L$4^2)*C28)/($L$4*SQRT(C28))</f>
        <v/>
      </c>
      <c r="E28" s="66">
        <f>NORMSDIST(D28)</f>
        <v/>
      </c>
      <c r="F28" s="61">
        <f>E28*$L$7</f>
        <v/>
      </c>
      <c r="G28" s="61">
        <f>F27*B28+H27*EXP($L$5*$L$9)</f>
        <v/>
      </c>
      <c r="H28" s="61">
        <f>G28-F28*B28</f>
        <v/>
      </c>
      <c r="I28" s="66">
        <f>LN(B28/B27)</f>
        <v/>
      </c>
      <c r="K28" t="inlineStr">
        <is>
          <t>G  Self-financing portfolio. Row 2 = Black-Scholes premium received;</t>
        </is>
      </c>
    </row>
    <row r="29">
      <c r="A29">
        <f>A28+1</f>
        <v/>
      </c>
      <c r="B29" s="65">
        <f>DemoSheet!E29</f>
        <v/>
      </c>
      <c r="C29" s="59">
        <f>$L$3-A29*$L$9</f>
        <v/>
      </c>
      <c r="D29" s="66">
        <f>(LN(B29/$L$6)+($L$5+0.5*$L$4^2)*C29)/($L$4*SQRT(C29))</f>
        <v/>
      </c>
      <c r="E29" s="66">
        <f>NORMSDIST(D29)</f>
        <v/>
      </c>
      <c r="F29" s="61">
        <f>E29*$L$7</f>
        <v/>
      </c>
      <c r="G29" s="61">
        <f>F28*B29+H28*EXP($L$5*$L$9)</f>
        <v/>
      </c>
      <c r="H29" s="61">
        <f>G29-F29*B29</f>
        <v/>
      </c>
      <c r="I29" s="66">
        <f>LN(B29/B28)</f>
        <v/>
      </c>
      <c r="K29" t="inlineStr">
        <is>
          <t xml:space="preserve">   afterwards V_t+1 = x_t*S_t+1 + c_t*EXP(r*dt)  (no cash added or withdrawn).</t>
        </is>
      </c>
    </row>
    <row r="30">
      <c r="A30">
        <f>A29+1</f>
        <v/>
      </c>
      <c r="B30" s="65">
        <f>DemoSheet!E30</f>
        <v/>
      </c>
      <c r="C30" s="59">
        <f>$L$3-A30*$L$9</f>
        <v/>
      </c>
      <c r="D30" s="66">
        <f>(LN(B30/$L$6)+($L$5+0.5*$L$4^2)*C30)/($L$4*SQRT(C30))</f>
        <v/>
      </c>
      <c r="E30" s="66">
        <f>NORMSDIST(D30)</f>
        <v/>
      </c>
      <c r="F30" s="61">
        <f>E30*$L$7</f>
        <v/>
      </c>
      <c r="G30" s="61">
        <f>F29*B30+H29*EXP($L$5*$L$9)</f>
        <v/>
      </c>
      <c r="H30" s="61">
        <f>G30-F30*B30</f>
        <v/>
      </c>
      <c r="I30" s="66">
        <f>LN(B30/B29)</f>
        <v/>
      </c>
      <c r="K30" t="inlineStr">
        <is>
          <t>H  Cash account c_t = V_t - x_t*S_t (negative: we borrow to buy the hedge).</t>
        </is>
      </c>
    </row>
    <row r="31">
      <c r="A31">
        <f>A30+1</f>
        <v/>
      </c>
      <c r="B31" s="65">
        <f>DemoSheet!E31</f>
        <v/>
      </c>
      <c r="C31" s="59">
        <f>$L$3-A31*$L$9</f>
        <v/>
      </c>
      <c r="D31" s="66">
        <f>(LN(B31/$L$6)+($L$5+0.5*$L$4^2)*C31)/($L$4*SQRT(C31))</f>
        <v/>
      </c>
      <c r="E31" s="66">
        <f>NORMSDIST(D31)</f>
        <v/>
      </c>
      <c r="F31" s="61">
        <f>E31*$L$7</f>
        <v/>
      </c>
      <c r="G31" s="61">
        <f>F30*B31+H30*EXP($L$5*$L$9)</f>
        <v/>
      </c>
      <c r="H31" s="61">
        <f>G31-F31*B31</f>
        <v/>
      </c>
      <c r="I31" s="66">
        <f>LN(B31/B30)</f>
        <v/>
      </c>
      <c r="K31" t="inlineStr">
        <is>
          <t>I  Log-returns used for the realized-volatility answer.</t>
        </is>
      </c>
    </row>
    <row r="32">
      <c r="A32">
        <f>A31+1</f>
        <v/>
      </c>
      <c r="B32" s="65">
        <f>DemoSheet!E32</f>
        <v/>
      </c>
      <c r="C32" s="59">
        <f>$L$3-A32*$L$9</f>
        <v/>
      </c>
      <c r="D32" s="66">
        <f>(LN(B32/$L$6)+($L$5+0.5*$L$4^2)*C32)/($L$4*SQRT(C32))</f>
        <v/>
      </c>
      <c r="E32" s="66">
        <f>NORMSDIST(D32)</f>
        <v/>
      </c>
      <c r="F32" s="61">
        <f>E32*$L$7</f>
        <v/>
      </c>
      <c r="G32" s="61">
        <f>F31*B32+H31*EXP($L$5*$L$9)</f>
        <v/>
      </c>
      <c r="H32" s="61">
        <f>G32-F32*B32</f>
        <v/>
      </c>
      <c r="I32" s="66">
        <f>LN(B32/B31)</f>
        <v/>
      </c>
    </row>
    <row r="33">
      <c r="A33">
        <f>A32+1</f>
        <v/>
      </c>
      <c r="B33" s="65">
        <f>DemoSheet!E33</f>
        <v/>
      </c>
      <c r="C33" s="59">
        <f>$L$3-A33*$L$9</f>
        <v/>
      </c>
      <c r="D33" s="66">
        <f>(LN(B33/$L$6)+($L$5+0.5*$L$4^2)*C33)/($L$4*SQRT(C33))</f>
        <v/>
      </c>
      <c r="E33" s="66">
        <f>NORMSDIST(D33)</f>
        <v/>
      </c>
      <c r="F33" s="61">
        <f>E33*$L$7</f>
        <v/>
      </c>
      <c r="G33" s="61">
        <f>F32*B33+H32*EXP($L$5*$L$9)</f>
        <v/>
      </c>
      <c r="H33" s="61">
        <f>G33-F33*B33</f>
        <v/>
      </c>
      <c r="I33" s="66">
        <f>LN(B33/B32)</f>
        <v/>
      </c>
    </row>
    <row r="34">
      <c r="A34">
        <f>A33+1</f>
        <v/>
      </c>
      <c r="B34" s="65">
        <f>DemoSheet!E34</f>
        <v/>
      </c>
      <c r="C34" s="59">
        <f>$L$3-A34*$L$9</f>
        <v/>
      </c>
      <c r="D34" s="66">
        <f>(LN(B34/$L$6)+($L$5+0.5*$L$4^2)*C34)/($L$4*SQRT(C34))</f>
        <v/>
      </c>
      <c r="E34" s="66">
        <f>NORMSDIST(D34)</f>
        <v/>
      </c>
      <c r="F34" s="61">
        <f>E34*$L$7</f>
        <v/>
      </c>
      <c r="G34" s="61">
        <f>F33*B34+H33*EXP($L$5*$L$9)</f>
        <v/>
      </c>
      <c r="H34" s="61">
        <f>G34-F34*B34</f>
        <v/>
      </c>
      <c r="I34" s="66">
        <f>LN(B34/B33)</f>
        <v/>
      </c>
    </row>
    <row r="35">
      <c r="A35">
        <f>A34+1</f>
        <v/>
      </c>
      <c r="B35" s="65">
        <f>DemoSheet!E35</f>
        <v/>
      </c>
      <c r="C35" s="59">
        <f>$L$3-A35*$L$9</f>
        <v/>
      </c>
      <c r="D35" s="66">
        <f>(LN(B35/$L$6)+($L$5+0.5*$L$4^2)*C35)/($L$4*SQRT(C35))</f>
        <v/>
      </c>
      <c r="E35" s="66">
        <f>NORMSDIST(D35)</f>
        <v/>
      </c>
      <c r="F35" s="61">
        <f>E35*$L$7</f>
        <v/>
      </c>
      <c r="G35" s="61">
        <f>F34*B35+H34*EXP($L$5*$L$9)</f>
        <v/>
      </c>
      <c r="H35" s="61">
        <f>G35-F35*B35</f>
        <v/>
      </c>
      <c r="I35" s="66">
        <f>LN(B35/B34)</f>
        <v/>
      </c>
    </row>
    <row r="36">
      <c r="A36">
        <f>A35+1</f>
        <v/>
      </c>
      <c r="B36" s="65">
        <f>DemoSheet!E36</f>
        <v/>
      </c>
      <c r="C36" s="59">
        <f>$L$3-A36*$L$9</f>
        <v/>
      </c>
      <c r="D36" s="66">
        <f>(LN(B36/$L$6)+($L$5+0.5*$L$4^2)*C36)/($L$4*SQRT(C36))</f>
        <v/>
      </c>
      <c r="E36" s="66">
        <f>NORMSDIST(D36)</f>
        <v/>
      </c>
      <c r="F36" s="61">
        <f>E36*$L$7</f>
        <v/>
      </c>
      <c r="G36" s="61">
        <f>F35*B36+H35*EXP($L$5*$L$9)</f>
        <v/>
      </c>
      <c r="H36" s="61">
        <f>G36-F36*B36</f>
        <v/>
      </c>
      <c r="I36" s="66">
        <f>LN(B36/B35)</f>
        <v/>
      </c>
    </row>
    <row r="37">
      <c r="A37">
        <f>A36+1</f>
        <v/>
      </c>
      <c r="B37" s="65">
        <f>DemoSheet!E37</f>
        <v/>
      </c>
      <c r="C37" s="59">
        <f>$L$3-A37*$L$9</f>
        <v/>
      </c>
      <c r="D37" s="66">
        <f>(LN(B37/$L$6)+($L$5+0.5*$L$4^2)*C37)/($L$4*SQRT(C37))</f>
        <v/>
      </c>
      <c r="E37" s="66">
        <f>NORMSDIST(D37)</f>
        <v/>
      </c>
      <c r="F37" s="61">
        <f>E37*$L$7</f>
        <v/>
      </c>
      <c r="G37" s="61">
        <f>F36*B37+H36*EXP($L$5*$L$9)</f>
        <v/>
      </c>
      <c r="H37" s="61">
        <f>G37-F37*B37</f>
        <v/>
      </c>
      <c r="I37" s="66">
        <f>LN(B37/B36)</f>
        <v/>
      </c>
    </row>
    <row r="38">
      <c r="A38">
        <f>A37+1</f>
        <v/>
      </c>
      <c r="B38" s="65">
        <f>DemoSheet!E38</f>
        <v/>
      </c>
      <c r="C38" s="59">
        <f>$L$3-A38*$L$9</f>
        <v/>
      </c>
      <c r="D38" s="66">
        <f>(LN(B38/$L$6)+($L$5+0.5*$L$4^2)*C38)/($L$4*SQRT(C38))</f>
        <v/>
      </c>
      <c r="E38" s="66">
        <f>NORMSDIST(D38)</f>
        <v/>
      </c>
      <c r="F38" s="61">
        <f>E38*$L$7</f>
        <v/>
      </c>
      <c r="G38" s="61">
        <f>F37*B38+H37*EXP($L$5*$L$9)</f>
        <v/>
      </c>
      <c r="H38" s="61">
        <f>G38-F38*B38</f>
        <v/>
      </c>
      <c r="I38" s="66">
        <f>LN(B38/B37)</f>
        <v/>
      </c>
    </row>
    <row r="39">
      <c r="A39">
        <f>A38+1</f>
        <v/>
      </c>
      <c r="B39" s="65">
        <f>DemoSheet!E39</f>
        <v/>
      </c>
      <c r="C39" s="59">
        <f>$L$3-A39*$L$9</f>
        <v/>
      </c>
      <c r="D39" s="66">
        <f>(LN(B39/$L$6)+($L$5+0.5*$L$4^2)*C39)/($L$4*SQRT(C39))</f>
        <v/>
      </c>
      <c r="E39" s="66">
        <f>NORMSDIST(D39)</f>
        <v/>
      </c>
      <c r="F39" s="61">
        <f>E39*$L$7</f>
        <v/>
      </c>
      <c r="G39" s="61">
        <f>F38*B39+H38*EXP($L$5*$L$9)</f>
        <v/>
      </c>
      <c r="H39" s="61">
        <f>G39-F39*B39</f>
        <v/>
      </c>
      <c r="I39" s="66">
        <f>LN(B39/B38)</f>
        <v/>
      </c>
    </row>
    <row r="40">
      <c r="A40">
        <f>A39+1</f>
        <v/>
      </c>
      <c r="B40" s="65">
        <f>DemoSheet!E40</f>
        <v/>
      </c>
      <c r="C40" s="59">
        <f>$L$3-A40*$L$9</f>
        <v/>
      </c>
      <c r="D40" s="66">
        <f>(LN(B40/$L$6)+($L$5+0.5*$L$4^2)*C40)/($L$4*SQRT(C40))</f>
        <v/>
      </c>
      <c r="E40" s="66">
        <f>NORMSDIST(D40)</f>
        <v/>
      </c>
      <c r="F40" s="61">
        <f>E40*$L$7</f>
        <v/>
      </c>
      <c r="G40" s="61">
        <f>F39*B40+H39*EXP($L$5*$L$9)</f>
        <v/>
      </c>
      <c r="H40" s="61">
        <f>G40-F40*B40</f>
        <v/>
      </c>
      <c r="I40" s="66">
        <f>LN(B40/B39)</f>
        <v/>
      </c>
    </row>
    <row r="41">
      <c r="A41">
        <f>A40+1</f>
        <v/>
      </c>
      <c r="B41" s="65">
        <f>DemoSheet!E41</f>
        <v/>
      </c>
      <c r="C41" s="59">
        <f>$L$3-A41*$L$9</f>
        <v/>
      </c>
      <c r="D41" s="66">
        <f>(LN(B41/$L$6)+($L$5+0.5*$L$4^2)*C41)/($L$4*SQRT(C41))</f>
        <v/>
      </c>
      <c r="E41" s="66">
        <f>NORMSDIST(D41)</f>
        <v/>
      </c>
      <c r="F41" s="61">
        <f>E41*$L$7</f>
        <v/>
      </c>
      <c r="G41" s="61">
        <f>F40*B41+H40*EXP($L$5*$L$9)</f>
        <v/>
      </c>
      <c r="H41" s="61">
        <f>G41-F41*B41</f>
        <v/>
      </c>
      <c r="I41" s="66">
        <f>LN(B41/B40)</f>
        <v/>
      </c>
    </row>
    <row r="42">
      <c r="A42">
        <f>A41+1</f>
        <v/>
      </c>
      <c r="B42" s="65">
        <f>DemoSheet!E42</f>
        <v/>
      </c>
      <c r="C42" s="59">
        <f>$L$3-A42*$L$9</f>
        <v/>
      </c>
      <c r="D42" s="66">
        <f>(LN(B42/$L$6)+($L$5+0.5*$L$4^2)*C42)/($L$4*SQRT(C42))</f>
        <v/>
      </c>
      <c r="E42" s="66">
        <f>NORMSDIST(D42)</f>
        <v/>
      </c>
      <c r="F42" s="61">
        <f>E42*$L$7</f>
        <v/>
      </c>
      <c r="G42" s="61">
        <f>F41*B42+H41*EXP($L$5*$L$9)</f>
        <v/>
      </c>
      <c r="H42" s="61">
        <f>G42-F42*B42</f>
        <v/>
      </c>
      <c r="I42" s="66">
        <f>LN(B42/B41)</f>
        <v/>
      </c>
    </row>
    <row r="43">
      <c r="A43">
        <f>A42+1</f>
        <v/>
      </c>
      <c r="B43" s="65">
        <f>DemoSheet!E43</f>
        <v/>
      </c>
      <c r="C43" s="59">
        <f>$L$3-A43*$L$9</f>
        <v/>
      </c>
      <c r="D43" s="66">
        <f>(LN(B43/$L$6)+($L$5+0.5*$L$4^2)*C43)/($L$4*SQRT(C43))</f>
        <v/>
      </c>
      <c r="E43" s="66">
        <f>NORMSDIST(D43)</f>
        <v/>
      </c>
      <c r="F43" s="61">
        <f>E43*$L$7</f>
        <v/>
      </c>
      <c r="G43" s="61">
        <f>F42*B43+H42*EXP($L$5*$L$9)</f>
        <v/>
      </c>
      <c r="H43" s="61">
        <f>G43-F43*B43</f>
        <v/>
      </c>
      <c r="I43" s="66">
        <f>LN(B43/B42)</f>
        <v/>
      </c>
    </row>
    <row r="44">
      <c r="A44">
        <f>A43+1</f>
        <v/>
      </c>
      <c r="B44" s="65">
        <f>DemoSheet!E44</f>
        <v/>
      </c>
      <c r="C44" s="59">
        <f>$L$3-A44*$L$9</f>
        <v/>
      </c>
      <c r="D44" s="66">
        <f>(LN(B44/$L$6)+($L$5+0.5*$L$4^2)*C44)/($L$4*SQRT(C44))</f>
        <v/>
      </c>
      <c r="E44" s="66">
        <f>NORMSDIST(D44)</f>
        <v/>
      </c>
      <c r="F44" s="61">
        <f>E44*$L$7</f>
        <v/>
      </c>
      <c r="G44" s="61">
        <f>F43*B44+H43*EXP($L$5*$L$9)</f>
        <v/>
      </c>
      <c r="H44" s="61">
        <f>G44-F44*B44</f>
        <v/>
      </c>
      <c r="I44" s="66">
        <f>LN(B44/B43)</f>
        <v/>
      </c>
    </row>
    <row r="45">
      <c r="A45">
        <f>A44+1</f>
        <v/>
      </c>
      <c r="B45" s="65">
        <f>DemoSheet!E45</f>
        <v/>
      </c>
      <c r="C45" s="59">
        <f>$L$3-A45*$L$9</f>
        <v/>
      </c>
      <c r="D45" s="66">
        <f>(LN(B45/$L$6)+($L$5+0.5*$L$4^2)*C45)/($L$4*SQRT(C45))</f>
        <v/>
      </c>
      <c r="E45" s="66">
        <f>NORMSDIST(D45)</f>
        <v/>
      </c>
      <c r="F45" s="61">
        <f>E45*$L$7</f>
        <v/>
      </c>
      <c r="G45" s="61">
        <f>F44*B45+H44*EXP($L$5*$L$9)</f>
        <v/>
      </c>
      <c r="H45" s="61">
        <f>G45-F45*B45</f>
        <v/>
      </c>
      <c r="I45" s="66">
        <f>LN(B45/B44)</f>
        <v/>
      </c>
    </row>
    <row r="46">
      <c r="A46">
        <f>A45+1</f>
        <v/>
      </c>
      <c r="B46" s="65">
        <f>DemoSheet!E46</f>
        <v/>
      </c>
      <c r="C46" s="59">
        <f>$L$3-A46*$L$9</f>
        <v/>
      </c>
      <c r="D46" s="66">
        <f>(LN(B46/$L$6)+($L$5+0.5*$L$4^2)*C46)/($L$4*SQRT(C46))</f>
        <v/>
      </c>
      <c r="E46" s="66">
        <f>NORMSDIST(D46)</f>
        <v/>
      </c>
      <c r="F46" s="61">
        <f>E46*$L$7</f>
        <v/>
      </c>
      <c r="G46" s="61">
        <f>F45*B46+H45*EXP($L$5*$L$9)</f>
        <v/>
      </c>
      <c r="H46" s="61">
        <f>G46-F46*B46</f>
        <v/>
      </c>
      <c r="I46" s="66">
        <f>LN(B46/B45)</f>
        <v/>
      </c>
    </row>
    <row r="47">
      <c r="A47">
        <f>A46+1</f>
        <v/>
      </c>
      <c r="B47" s="65">
        <f>DemoSheet!E47</f>
        <v/>
      </c>
      <c r="C47" s="59">
        <f>$L$3-A47*$L$9</f>
        <v/>
      </c>
      <c r="D47" s="66">
        <f>(LN(B47/$L$6)+($L$5+0.5*$L$4^2)*C47)/($L$4*SQRT(C47))</f>
        <v/>
      </c>
      <c r="E47" s="66">
        <f>NORMSDIST(D47)</f>
        <v/>
      </c>
      <c r="F47" s="61">
        <f>E47*$L$7</f>
        <v/>
      </c>
      <c r="G47" s="61">
        <f>F46*B47+H46*EXP($L$5*$L$9)</f>
        <v/>
      </c>
      <c r="H47" s="61">
        <f>G47-F47*B47</f>
        <v/>
      </c>
      <c r="I47" s="66">
        <f>LN(B47/B46)</f>
        <v/>
      </c>
    </row>
    <row r="48">
      <c r="A48">
        <f>A47+1</f>
        <v/>
      </c>
      <c r="B48" s="65">
        <f>DemoSheet!E48</f>
        <v/>
      </c>
      <c r="C48" s="59">
        <f>$L$3-A48*$L$9</f>
        <v/>
      </c>
      <c r="D48" s="66">
        <f>(LN(B48/$L$6)+($L$5+0.5*$L$4^2)*C48)/($L$4*SQRT(C48))</f>
        <v/>
      </c>
      <c r="E48" s="66">
        <f>NORMSDIST(D48)</f>
        <v/>
      </c>
      <c r="F48" s="61">
        <f>E48*$L$7</f>
        <v/>
      </c>
      <c r="G48" s="61">
        <f>F47*B48+H47*EXP($L$5*$L$9)</f>
        <v/>
      </c>
      <c r="H48" s="61">
        <f>G48-F48*B48</f>
        <v/>
      </c>
      <c r="I48" s="66">
        <f>LN(B48/B47)</f>
        <v/>
      </c>
    </row>
    <row r="49">
      <c r="A49">
        <f>A48+1</f>
        <v/>
      </c>
      <c r="B49" s="65">
        <f>DemoSheet!E49</f>
        <v/>
      </c>
      <c r="C49" s="59">
        <f>$L$3-A49*$L$9</f>
        <v/>
      </c>
      <c r="D49" s="66">
        <f>(LN(B49/$L$6)+($L$5+0.5*$L$4^2)*C49)/($L$4*SQRT(C49))</f>
        <v/>
      </c>
      <c r="E49" s="66">
        <f>NORMSDIST(D49)</f>
        <v/>
      </c>
      <c r="F49" s="61">
        <f>E49*$L$7</f>
        <v/>
      </c>
      <c r="G49" s="61">
        <f>F48*B49+H48*EXP($L$5*$L$9)</f>
        <v/>
      </c>
      <c r="H49" s="61">
        <f>G49-F49*B49</f>
        <v/>
      </c>
      <c r="I49" s="66">
        <f>LN(B49/B48)</f>
        <v/>
      </c>
    </row>
    <row r="50">
      <c r="A50">
        <f>A49+1</f>
        <v/>
      </c>
      <c r="B50" s="65">
        <f>DemoSheet!E50</f>
        <v/>
      </c>
      <c r="C50" s="59">
        <f>$L$3-A50*$L$9</f>
        <v/>
      </c>
      <c r="D50" s="66">
        <f>(LN(B50/$L$6)+($L$5+0.5*$L$4^2)*C50)/($L$4*SQRT(C50))</f>
        <v/>
      </c>
      <c r="E50" s="66">
        <f>NORMSDIST(D50)</f>
        <v/>
      </c>
      <c r="F50" s="61">
        <f>E50*$L$7</f>
        <v/>
      </c>
      <c r="G50" s="61">
        <f>F49*B50+H49*EXP($L$5*$L$9)</f>
        <v/>
      </c>
      <c r="H50" s="61">
        <f>G50-F50*B50</f>
        <v/>
      </c>
      <c r="I50" s="66">
        <f>LN(B50/B49)</f>
        <v/>
      </c>
    </row>
    <row r="51">
      <c r="A51">
        <f>A50+1</f>
        <v/>
      </c>
      <c r="B51" s="65">
        <f>DemoSheet!E51</f>
        <v/>
      </c>
      <c r="C51" s="59">
        <f>$L$3-A51*$L$9</f>
        <v/>
      </c>
      <c r="D51" s="66">
        <f>(LN(B51/$L$6)+($L$5+0.5*$L$4^2)*C51)/($L$4*SQRT(C51))</f>
        <v/>
      </c>
      <c r="E51" s="66">
        <f>NORMSDIST(D51)</f>
        <v/>
      </c>
      <c r="F51" s="61">
        <f>E51*$L$7</f>
        <v/>
      </c>
      <c r="G51" s="61">
        <f>F50*B51+H50*EXP($L$5*$L$9)</f>
        <v/>
      </c>
      <c r="H51" s="61">
        <f>G51-F51*B51</f>
        <v/>
      </c>
      <c r="I51" s="66">
        <f>LN(B51/B50)</f>
        <v/>
      </c>
    </row>
    <row r="52">
      <c r="A52">
        <f>A51+1</f>
        <v/>
      </c>
      <c r="B52" s="65">
        <f>DemoSheet!E52</f>
        <v/>
      </c>
      <c r="C52" s="59">
        <f>$L$3-A52*$L$9</f>
        <v/>
      </c>
      <c r="G52" s="61">
        <f>F51*B52+H51*EXP($L$5*$L$9)</f>
        <v/>
      </c>
      <c r="I52" s="66">
        <f>LN(B52/B51)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mhaugh</dc:creator>
  <dcterms:created xsi:type="dcterms:W3CDTF">2013-04-13T14:31:31Z</dcterms:created>
  <dcterms:modified xsi:type="dcterms:W3CDTF">2026-08-25T09:20:47Z</dcterms:modified>
  <cp:lastModifiedBy>mhaugh</cp:lastModifiedBy>
</cp:coreProperties>
</file>