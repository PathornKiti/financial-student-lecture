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pathorn/Desktop/"/>
    </mc:Choice>
  </mc:AlternateContent>
  <xr:revisionPtr revIDLastSave="0" documentId="13_ncr:1_{B69F604C-FD12-504F-B46B-6E2405BADF80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Answers" sheetId="1" r:id="rId1"/>
    <sheet name="data" sheetId="2" r:id="rId2"/>
    <sheet name="Monthly returns" sheetId="3" r:id="rId3"/>
    <sheet name="Value_at_risk" sheetId="4" r:id="rId4"/>
    <sheet name="Q1_Q2_Portfolio" sheetId="5" r:id="rId5"/>
    <sheet name="Q3_Q4_VaR" sheetId="6" r:id="rId6"/>
    <sheet name="Q5_Q7_Probability" sheetId="7" r:id="rId7"/>
  </sheets>
  <definedNames>
    <definedName name="rf">data!$B$13</definedName>
    <definedName name="solver_adj" localSheetId="1" hidden="1">data!$B$18:$D$18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data!$B$22</definedName>
    <definedName name="solver_lhs1" localSheetId="2" hidden="1">'Monthly returns'!$J$19</definedName>
    <definedName name="solver_lhs2" localSheetId="1" hidden="1">data!$E$18</definedName>
    <definedName name="solver_lhs2" localSheetId="2" hidden="1">'Monthly returns'!$J$19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2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data!$B$20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1</definedName>
    <definedName name="solver_rel1" localSheetId="2" hidden="1">2</definedName>
    <definedName name="solver_rel2" localSheetId="1" hidden="1">2</definedName>
    <definedName name="solver_rel2" localSheetId="2" hidden="1">2</definedName>
    <definedName name="solver_rhs1" localSheetId="1" hidden="1">data!$D$22</definedName>
    <definedName name="solver_rhs1" localSheetId="2" hidden="1">'Monthly returns'!$L$19</definedName>
    <definedName name="solver_rhs2" localSheetId="1" hidden="1">data!$G$18</definedName>
    <definedName name="solver_rhs2" localSheetId="2" hidden="1">'Monthly returns'!$L$19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  <definedName name="tau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7" l="1"/>
  <c r="D35" i="7"/>
  <c r="C35" i="7"/>
  <c r="E35" i="7" s="1"/>
  <c r="B35" i="7"/>
  <c r="D34" i="7"/>
  <c r="C34" i="7"/>
  <c r="E34" i="7" s="1"/>
  <c r="B34" i="7"/>
  <c r="B38" i="7" s="1"/>
  <c r="B40" i="7" s="1"/>
  <c r="B19" i="7"/>
  <c r="B20" i="7" s="1"/>
  <c r="B22" i="7" s="1"/>
  <c r="B10" i="7"/>
  <c r="B63" i="6"/>
  <c r="B55" i="6"/>
  <c r="B47" i="6"/>
  <c r="B39" i="6"/>
  <c r="B31" i="6"/>
  <c r="B23" i="6"/>
  <c r="B15" i="6"/>
  <c r="B7" i="6"/>
  <c r="C57" i="5"/>
  <c r="B57" i="5"/>
  <c r="B24" i="5"/>
  <c r="D19" i="5"/>
  <c r="C19" i="5"/>
  <c r="B19" i="5"/>
  <c r="D18" i="5"/>
  <c r="C18" i="5"/>
  <c r="B18" i="5"/>
  <c r="D17" i="5"/>
  <c r="C17" i="5"/>
  <c r="B17" i="5"/>
  <c r="D14" i="5"/>
  <c r="C14" i="5"/>
  <c r="B14" i="5"/>
  <c r="D58" i="5" s="1"/>
  <c r="D13" i="5"/>
  <c r="C13" i="5"/>
  <c r="B13" i="5"/>
  <c r="C58" i="5" s="1"/>
  <c r="D12" i="5"/>
  <c r="D28" i="5" s="1"/>
  <c r="C12" i="5"/>
  <c r="B12" i="5"/>
  <c r="C28" i="5" s="1"/>
  <c r="B8" i="5"/>
  <c r="D24" i="5" s="1"/>
  <c r="D7" i="5"/>
  <c r="C7" i="5"/>
  <c r="B7" i="5"/>
  <c r="D6" i="5"/>
  <c r="C6" i="5"/>
  <c r="C24" i="5" s="1"/>
  <c r="B6" i="5"/>
  <c r="B60" i="5" s="1"/>
  <c r="E61" i="4"/>
  <c r="B66" i="6" s="1"/>
  <c r="E60" i="4"/>
  <c r="B65" i="6" s="1"/>
  <c r="E59" i="4"/>
  <c r="B64" i="6" s="1"/>
  <c r="E58" i="4"/>
  <c r="E57" i="4"/>
  <c r="B62" i="6" s="1"/>
  <c r="E56" i="4"/>
  <c r="B61" i="6" s="1"/>
  <c r="E55" i="4"/>
  <c r="B60" i="6" s="1"/>
  <c r="E54" i="4"/>
  <c r="B59" i="6" s="1"/>
  <c r="E53" i="4"/>
  <c r="B58" i="6" s="1"/>
  <c r="E52" i="4"/>
  <c r="B57" i="6" s="1"/>
  <c r="E51" i="4"/>
  <c r="B56" i="6" s="1"/>
  <c r="E50" i="4"/>
  <c r="E49" i="4"/>
  <c r="B54" i="6" s="1"/>
  <c r="E48" i="4"/>
  <c r="B53" i="6" s="1"/>
  <c r="E47" i="4"/>
  <c r="B52" i="6" s="1"/>
  <c r="E46" i="4"/>
  <c r="B51" i="6" s="1"/>
  <c r="E45" i="4"/>
  <c r="B50" i="6" s="1"/>
  <c r="E44" i="4"/>
  <c r="B49" i="6" s="1"/>
  <c r="E43" i="4"/>
  <c r="B48" i="6" s="1"/>
  <c r="E42" i="4"/>
  <c r="E41" i="4"/>
  <c r="B46" i="6" s="1"/>
  <c r="E40" i="4"/>
  <c r="B45" i="6" s="1"/>
  <c r="E39" i="4"/>
  <c r="B44" i="6" s="1"/>
  <c r="E38" i="4"/>
  <c r="B43" i="6" s="1"/>
  <c r="E37" i="4"/>
  <c r="B42" i="6" s="1"/>
  <c r="E36" i="4"/>
  <c r="B41" i="6" s="1"/>
  <c r="E35" i="4"/>
  <c r="B40" i="6" s="1"/>
  <c r="E34" i="4"/>
  <c r="E33" i="4"/>
  <c r="B38" i="6" s="1"/>
  <c r="E32" i="4"/>
  <c r="B37" i="6" s="1"/>
  <c r="E31" i="4"/>
  <c r="B36" i="6" s="1"/>
  <c r="E30" i="4"/>
  <c r="B35" i="6" s="1"/>
  <c r="E29" i="4"/>
  <c r="B34" i="6" s="1"/>
  <c r="E28" i="4"/>
  <c r="B33" i="6" s="1"/>
  <c r="E27" i="4"/>
  <c r="B32" i="6" s="1"/>
  <c r="E26" i="4"/>
  <c r="E25" i="4"/>
  <c r="B30" i="6" s="1"/>
  <c r="E24" i="4"/>
  <c r="B29" i="6" s="1"/>
  <c r="E23" i="4"/>
  <c r="B28" i="6" s="1"/>
  <c r="E22" i="4"/>
  <c r="B27" i="6" s="1"/>
  <c r="E21" i="4"/>
  <c r="B26" i="6" s="1"/>
  <c r="E20" i="4"/>
  <c r="B25" i="6" s="1"/>
  <c r="E19" i="4"/>
  <c r="B24" i="6" s="1"/>
  <c r="E18" i="4"/>
  <c r="E17" i="4"/>
  <c r="B22" i="6" s="1"/>
  <c r="E16" i="4"/>
  <c r="B21" i="6" s="1"/>
  <c r="E15" i="4"/>
  <c r="B20" i="6" s="1"/>
  <c r="E14" i="4"/>
  <c r="B19" i="6" s="1"/>
  <c r="E13" i="4"/>
  <c r="B18" i="6" s="1"/>
  <c r="E12" i="4"/>
  <c r="B17" i="6" s="1"/>
  <c r="E11" i="4"/>
  <c r="B16" i="6" s="1"/>
  <c r="E10" i="4"/>
  <c r="E9" i="4"/>
  <c r="B14" i="6" s="1"/>
  <c r="E8" i="4"/>
  <c r="B13" i="6" s="1"/>
  <c r="E7" i="4"/>
  <c r="B12" i="6" s="1"/>
  <c r="E6" i="4"/>
  <c r="B11" i="6" s="1"/>
  <c r="E5" i="4"/>
  <c r="B10" i="6" s="1"/>
  <c r="E4" i="4"/>
  <c r="B9" i="6" s="1"/>
  <c r="E3" i="4"/>
  <c r="B8" i="6" s="1"/>
  <c r="E2" i="4"/>
  <c r="C63" i="3"/>
  <c r="B63" i="3"/>
  <c r="A63" i="3"/>
  <c r="M22" i="3" a="1"/>
  <c r="N25" i="3" s="1"/>
  <c r="F21" i="3"/>
  <c r="J19" i="3"/>
  <c r="H16" i="3"/>
  <c r="G16" i="3"/>
  <c r="F16" i="3"/>
  <c r="H12" i="3"/>
  <c r="G12" i="3"/>
  <c r="F12" i="3"/>
  <c r="H21" i="2" a="1"/>
  <c r="I21" i="2" s="1"/>
  <c r="B20" i="2"/>
  <c r="D15" i="2"/>
  <c r="C15" i="2"/>
  <c r="B15" i="2"/>
  <c r="B11" i="7"/>
  <c r="B70" i="6" l="1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10" i="6"/>
  <c r="C47" i="6"/>
  <c r="C31" i="6"/>
  <c r="C19" i="6"/>
  <c r="C11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9" i="6"/>
  <c r="C63" i="6"/>
  <c r="C59" i="6"/>
  <c r="C55" i="6"/>
  <c r="C51" i="6"/>
  <c r="C43" i="6"/>
  <c r="C39" i="6"/>
  <c r="C35" i="6"/>
  <c r="C23" i="6"/>
  <c r="C7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8" i="6"/>
  <c r="C27" i="6"/>
  <c r="C15" i="6"/>
  <c r="H22" i="2"/>
  <c r="M23" i="3"/>
  <c r="B29" i="5"/>
  <c r="B74" i="6"/>
  <c r="C7" i="1" s="1"/>
  <c r="D7" i="1" s="1"/>
  <c r="I22" i="2"/>
  <c r="N23" i="3"/>
  <c r="C29" i="5"/>
  <c r="B58" i="5"/>
  <c r="B59" i="5" s="1"/>
  <c r="C64" i="6"/>
  <c r="H23" i="2"/>
  <c r="M24" i="3"/>
  <c r="B27" i="5"/>
  <c r="D29" i="5"/>
  <c r="H21" i="2"/>
  <c r="I23" i="2"/>
  <c r="B22" i="2" s="1"/>
  <c r="N24" i="3"/>
  <c r="C27" i="5"/>
  <c r="C65" i="6"/>
  <c r="N22" i="3"/>
  <c r="M25" i="3"/>
  <c r="D27" i="5"/>
  <c r="M22" i="3"/>
  <c r="B28" i="5"/>
  <c r="C31" i="5" s="1"/>
  <c r="C66" i="6"/>
  <c r="B88" i="6" l="1"/>
  <c r="B31" i="5"/>
  <c r="F23" i="3"/>
  <c r="D31" i="5"/>
  <c r="B82" i="6"/>
  <c r="B80" i="6"/>
  <c r="B81" i="6" s="1"/>
  <c r="B71" i="6"/>
  <c r="B83" i="6"/>
  <c r="B85" i="6" l="1"/>
  <c r="C8" i="1" s="1"/>
  <c r="D8" i="1" s="1"/>
  <c r="B32" i="5"/>
  <c r="B33" i="5" s="1"/>
  <c r="B34" i="5" s="1"/>
  <c r="D38" i="5" l="1"/>
  <c r="C38" i="5"/>
  <c r="B38" i="5"/>
  <c r="C40" i="5" l="1"/>
  <c r="E38" i="5"/>
  <c r="B48" i="5" s="1"/>
  <c r="C6" i="1" s="1"/>
  <c r="D6" i="1" s="1"/>
  <c r="D40" i="5"/>
  <c r="B41" i="5"/>
  <c r="C43" i="5"/>
  <c r="B44" i="5" s="1"/>
  <c r="D43" i="5"/>
  <c r="B40" i="5"/>
  <c r="B43" i="5"/>
  <c r="B47" i="5" l="1"/>
  <c r="C5" i="1" s="1"/>
  <c r="D5" i="1" s="1"/>
</calcChain>
</file>

<file path=xl/sharedStrings.xml><?xml version="1.0" encoding="utf-8"?>
<sst xmlns="http://schemas.openxmlformats.org/spreadsheetml/2006/main" count="204" uniqueCount="149">
  <si>
    <t>Assignment 2 - answer summary</t>
  </si>
  <si>
    <t>Every value below is a live formula; the working is on the three sheets to the right.</t>
  </si>
  <si>
    <t>Q</t>
  </si>
  <si>
    <t>Question</t>
  </si>
  <si>
    <t>Answer</t>
  </si>
  <si>
    <t>Submit as</t>
  </si>
  <si>
    <t>Where it is computed</t>
  </si>
  <si>
    <t>1</t>
  </si>
  <si>
    <t>Estimated return of the efficient portfolio with 5% volatility (%)</t>
  </si>
  <si>
    <t>Q1_Q2_Portfolio</t>
  </si>
  <si>
    <t>2</t>
  </si>
  <si>
    <t>True (realised) expected return of that same portfolio (%)</t>
  </si>
  <si>
    <t>3</t>
  </si>
  <si>
    <t>Value-at-Risk at the 90% level, monthly loss (%)</t>
  </si>
  <si>
    <t>Q3_Q4_VaR</t>
  </si>
  <si>
    <t>4</t>
  </si>
  <si>
    <t>Conditional Value-at-Risk at the 90% level, monthly loss (%)</t>
  </si>
  <si>
    <t>Column D shows the value already rounded exactly the way the submission guidelines ask for.</t>
  </si>
  <si>
    <t>Asset 1</t>
  </si>
  <si>
    <t>Asset 2</t>
  </si>
  <si>
    <t>Asset 3</t>
  </si>
  <si>
    <t>Mean return</t>
  </si>
  <si>
    <t>Covariance matrix</t>
  </si>
  <si>
    <t>Volatility</t>
  </si>
  <si>
    <t>Interest rate</t>
  </si>
  <si>
    <t>Excess return</t>
  </si>
  <si>
    <t>Porfolio</t>
  </si>
  <si>
    <t>x1</t>
  </si>
  <si>
    <t>x2</t>
  </si>
  <si>
    <t>x3</t>
  </si>
  <si>
    <t>=</t>
  </si>
  <si>
    <t>Rate of return (%)</t>
  </si>
  <si>
    <t>Volatility (%)</t>
  </si>
  <si>
    <t>&lt;=</t>
  </si>
  <si>
    <t>Estimated Mean</t>
  </si>
  <si>
    <t>Estimated Covariance matrix</t>
  </si>
  <si>
    <t>x0</t>
  </si>
  <si>
    <t>Equally weighted loss</t>
  </si>
  <si>
    <t xml:space="preserve"> </t>
  </si>
  <si>
    <t>Q1 &amp; Q2 - Efficient portfolio with 5% volatility</t>
  </si>
  <si>
    <t>INPUTS  (linked to the original sheets)</t>
  </si>
  <si>
    <t>Returns are in PERCENT (6 = 6%). Covariances are ANNUAL and in DECIMAL units, so volatility in % = 100*SQRT(x'Vx).</t>
  </si>
  <si>
    <t>Asset</t>
  </si>
  <si>
    <t>Estimated annual mean return (%)  mu_hat</t>
  </si>
  <si>
    <t>TRUE annual mean return (%)  mu</t>
  </si>
  <si>
    <t>Risk-free rate rf (%)</t>
  </si>
  <si>
    <t>Target volatility (%)</t>
  </si>
  <si>
    <t>ESTIMATED covariance matrix V_hat (annual)</t>
  </si>
  <si>
    <t>TRUE covariance matrix V (annual)</t>
  </si>
  <si>
    <t>METHOD A - CLOSED FORM  (no Solver needed)</t>
  </si>
  <si>
    <t>With a risk-free asset every efficient portfolio is  x = k * V^-1 (mu - rf),  i.e. a scaled copy of the tangency portfolio. Pick k so the volatility equals the target.</t>
  </si>
  <si>
    <t>Excess return  e = mu_hat - rf (%)</t>
  </si>
  <si>
    <t>Inverse of V_hat</t>
  </si>
  <si>
    <t>z = V_hat^-1 * e   (unscaled tangency direction)</t>
  </si>
  <si>
    <t>z'V_hat z  =  z'e</t>
  </si>
  <si>
    <t>(because V z = e)</t>
  </si>
  <si>
    <t>Volatility of z (%)</t>
  </si>
  <si>
    <t>Scale factor k = target vol / vol(z)</t>
  </si>
  <si>
    <t>OPTIMAL WEIGHTS</t>
  </si>
  <si>
    <t>x0 (risk-free)</t>
  </si>
  <si>
    <t>x = k * z</t>
  </si>
  <si>
    <t>V_hat * x</t>
  </si>
  <si>
    <t>Estimated volatility (%)  = 100*SQRT(x'V_hat x)</t>
  </si>
  <si>
    <t>must equal the 5% target</t>
  </si>
  <si>
    <t>V_true * x</t>
  </si>
  <si>
    <t>TRUE volatility (%)  = 100*SQRT(x'V x)</t>
  </si>
  <si>
    <t>the realised risk differs from the 5% we aimed at</t>
  </si>
  <si>
    <t>ANSWERS</t>
  </si>
  <si>
    <t>Q1  Estimated return of the 5%-vol efficient portfolio (%)</t>
  </si>
  <si>
    <t>submit rounded to 2 dp</t>
  </si>
  <si>
    <t>Q2  TRUE expected return of that same portfolio (%)</t>
  </si>
  <si>
    <t>same weights, true mu</t>
  </si>
  <si>
    <t>Q1 uses the estimated mu_hat from the 60 simulated months; Q2 re-prices the identical weights with the true mu = (6%, 2%, 4%). The gap is estimation error.</t>
  </si>
  <si>
    <t>METHOD B - SOLVER SET-UP  (same problem, Excel Solver)</t>
  </si>
  <si>
    <t>Yellow = changing cells, orange = constraint. The starting point below is 'everything in the risk-free asset', which is feasible. Run Solver more than once, each time restarting from the previous result, until the answer stops moving.</t>
  </si>
  <si>
    <t>Changing cells  (weights) - starting point</t>
  </si>
  <si>
    <t>Sum of all weights (must = 1)</t>
  </si>
  <si>
    <t>Portfolio volatility (%)  &lt;= 5</t>
  </si>
  <si>
    <t>&lt;= 5</t>
  </si>
  <si>
    <t>OBJECTIVE - portfolio return (%)  MAXIMISE</t>
  </si>
  <si>
    <t>Solver settings:   Set Objective  $B$60   -&gt;  Max</t>
  </si>
  <si>
    <t xml:space="preserve">                   By Changing Variable Cells  $B$56:$E$56</t>
  </si>
  <si>
    <t xml:space="preserve">                   Subject to:  $B$57 = 1</t>
  </si>
  <si>
    <t xml:space="preserve">                                $B$59 &lt;= 5</t>
  </si>
  <si>
    <t xml:space="preserve">                   UNCHECK 'Make Unconstrained Variables Non-Negative'</t>
  </si>
  <si>
    <t xml:space="preserve">                   Solving method: GRG Nonlinear</t>
  </si>
  <si>
    <t>Solver's answer should reproduce row 38 and the Q1 answer in B47.</t>
  </si>
  <si>
    <t>Q3 &amp; Q4 - Historical Value-at-Risk and Conditional VaR (90%)</t>
  </si>
  <si>
    <t>LOSS DATA  (linked to the 'Value_at_risk' sheet, column E)</t>
  </si>
  <si>
    <t>Loss_t = -(r1+r2+r3)/3 : the monthly rate of loss on the equally weighted portfolio of the three risky assets. 60 observations.</t>
  </si>
  <si>
    <t>Month</t>
  </si>
  <si>
    <t>Loss (%)</t>
  </si>
  <si>
    <t>Loss sorted ascending</t>
  </si>
  <si>
    <t>CALCULATION</t>
  </si>
  <si>
    <t>Confidence level p</t>
  </si>
  <si>
    <t>Number of observations N</t>
  </si>
  <si>
    <t>Observations in the tail (N * (1-p))</t>
  </si>
  <si>
    <t>VaR at level p = the p-quantile of the loss distribution: the loss that is exceeded only (1-p) of the time. Estimated historically with PERCENTILE over the 60 losses.</t>
  </si>
  <si>
    <t>Q3  Value-at-Risk, 90% (%)</t>
  </si>
  <si>
    <t>PERCENTILE(losses, 0.90)</t>
  </si>
  <si>
    <t>CVaR (expected shortfall) = the average loss GIVEN that the loss exceeds the VaR. The module prescribes a specific estimator for it - use exactly this one:</t>
  </si>
  <si>
    <t xml:space="preserve">        CVaR  =  ( sum of the largest  N - K_p + 1  losses )  /  ( (1-p) * N )</t>
  </si>
  <si>
    <t>where K_p is the index of the order statistic used for the VaR, K_p = CEILING(p*N). Note the '+1': the sum runs over ONE MORE observation than the divisor counts.</t>
  </si>
  <si>
    <t>K_p = CEILING(p * N)</t>
  </si>
  <si>
    <t>the 54th smallest loss is the VaR order statistic</t>
  </si>
  <si>
    <t>number of losses to SUM  =  N - K_p + 1</t>
  </si>
  <si>
    <t>seven observations</t>
  </si>
  <si>
    <t>divisor  =  (1 - p) * N</t>
  </si>
  <si>
    <t>six - deliberately not the same as the count above</t>
  </si>
  <si>
    <t>sum of the largest (N - K_p + 1) losses</t>
  </si>
  <si>
    <t>the last 7 rows of the sorted column, C60:C66</t>
  </si>
  <si>
    <t>Q4  Conditional Value-at-Risk, 90% (%)</t>
  </si>
  <si>
    <t>sum of 7 losses divided by 6</t>
  </si>
  <si>
    <t>for contrast only - the plain average of the 6 worst months (NOT the answer to submit)</t>
  </si>
  <si>
    <t xml:space="preserve">        AVERAGE of the 6 largest losses</t>
  </si>
  <si>
    <t>Because the sum carries one more observation than the divisor, this estimator sits ABOVE the simple tail average - it is the conservative reading of the tail.</t>
  </si>
  <si>
    <t>Both Q3 and Q4 are monthly percentage rates of loss, and both are positive numbers: a VaR of 1.30 means 'in the worst 10% of months we lose more than 1.30%'.</t>
  </si>
  <si>
    <t>Q5, Q6, Q7 - Track records and the 4-door Monty Hall problem</t>
  </si>
  <si>
    <t>Q5 - one manager, 12 successes out of 15</t>
  </si>
  <si>
    <t>Under 'no skill' the number of good years X ~ Binomial(n = 15, p = 0.5). We want P(X &gt;= 12) = 1 - P(X &lt;= 11).</t>
  </si>
  <si>
    <t>Years n</t>
  </si>
  <si>
    <t>Success probability p</t>
  </si>
  <si>
    <t>Observed successes k</t>
  </si>
  <si>
    <t>Q5  P(X &gt;= 12)</t>
  </si>
  <si>
    <t>submit to 4 dp</t>
  </si>
  <si>
    <t>long-hand check: sum of C(15,k)/2^15 for k = 12..15</t>
  </si>
  <si>
    <t>Q6 - best of M = 100 managers, 14 successes out of 15</t>
  </si>
  <si>
    <t>A single no-skill manager beats the market 14+ times with probability q. The 100 managers are independent, so P(at least one does it) = 1 - (1-q)^100. This is the multiple-comparisons / data-snooping effect.</t>
  </si>
  <si>
    <t>Number of managers M</t>
  </si>
  <si>
    <t>q = P(one manager gets &gt;= 14)</t>
  </si>
  <si>
    <t>P(none of the M reaches it) = (1-q)^M</t>
  </si>
  <si>
    <t>Q6  P(best of 100 has &gt;= 14 out of 15)</t>
  </si>
  <si>
    <t>Note how a 0.05% event for one manager becomes a 4.8% event once you go looking for the best of a hundred.</t>
  </si>
  <si>
    <t>Q7 - Monty Hall with 4 doors, 2 prizes, 2 goats</t>
  </si>
  <si>
    <t>Monty always opens a door with a goat that you did not pick, then you may move to one of the 2 remaining unopened doors. Compare STAY against SWITCH.</t>
  </si>
  <si>
    <t>Doors</t>
  </si>
  <si>
    <t>Prizes</t>
  </si>
  <si>
    <t>Case</t>
  </si>
  <si>
    <t>Probability</t>
  </si>
  <si>
    <t>Unopened others: prizes</t>
  </si>
  <si>
    <t>Unopened others: goats</t>
  </si>
  <si>
    <t>P(win | switch)</t>
  </si>
  <si>
    <t>Your first door hides a PRIZE</t>
  </si>
  <si>
    <t>Your first door hides a GOAT</t>
  </si>
  <si>
    <t>P(win | STAY)  = P(first door is a prize)</t>
  </si>
  <si>
    <t>P(win | SWITCH) = sum of prob x P(win|switch)</t>
  </si>
  <si>
    <t>Q7  P(win) playing optimally  = MAX(stay, switch)</t>
  </si>
  <si>
    <t>submit to 2 dp - switching is optimal</t>
  </si>
  <si>
    <t>If your door is a prize (prob 1/2) the 2 remaining doors hold 1 prize and 1 goat, so switching wins half the time. If your door is a goat (prob 1/2) Monty removed the only other goat, so both remaining doors are prizes and switching always wins: 1/2 x 1/2 + 1/2 x 1 = 3/4.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</si>
</sst>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00"/>
    <numFmt numFmtId="167" formatCode="0.00000000"/>
  </numFmts>
  <fonts count="11">
    <font>
      <sz val="11"/>
      <color theme="1"/>
      <name val="宋体"/>
      <family val="2"/>
      <charset val="1"/>
    </font>
    <font>
      <b/>
      <sz val="14"/>
      <color rgb="FF1F3864"/>
      <name val="Cambria"/>
      <family val="1"/>
    </font>
    <font>
      <i/>
      <sz val="9"/>
      <color rgb="FF595959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2"/>
      <color rgb="FF006100"/>
      <name val="Cambria"/>
      <family val="1"/>
    </font>
    <font>
      <b/>
      <sz val="11"/>
      <color theme="3"/>
      <name val="宋体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1"/>
      <color theme="1"/>
      <name val="宋体"/>
      <family val="2"/>
      <charset val="1"/>
    </font>
    <font>
      <sz val="1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C6EFCE"/>
        <bgColor rgb="FFD9D9D9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theme="9" tint="0.39988402966399123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2" fontId="7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8" fillId="0" borderId="0" xfId="0" applyFont="1"/>
    <xf numFmtId="0" fontId="0" fillId="0" borderId="2" xfId="0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5" borderId="2" xfId="0" applyNumberFormat="1" applyFill="1" applyBorder="1"/>
    <xf numFmtId="0" fontId="0" fillId="0" borderId="0" xfId="0" applyAlignment="1">
      <alignment horizontal="center"/>
    </xf>
    <xf numFmtId="2" fontId="0" fillId="6" borderId="2" xfId="0" applyNumberFormat="1" applyFill="1" applyBorder="1"/>
    <xf numFmtId="164" fontId="0" fillId="7" borderId="2" xfId="0" applyNumberFormat="1" applyFill="1" applyBorder="1"/>
    <xf numFmtId="2" fontId="0" fillId="8" borderId="2" xfId="0" applyNumberFormat="1" applyFill="1" applyBorder="1"/>
    <xf numFmtId="2" fontId="0" fillId="0" borderId="0" xfId="0" applyNumberForma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64" fontId="0" fillId="0" borderId="0" xfId="0" applyNumberFormat="1"/>
    <xf numFmtId="2" fontId="7" fillId="0" borderId="0" xfId="0" applyNumberFormat="1" applyFont="1" applyAlignment="1">
      <alignment horizontal="center"/>
    </xf>
    <xf numFmtId="0" fontId="9" fillId="0" borderId="0" xfId="0" applyFont="1"/>
    <xf numFmtId="164" fontId="8" fillId="0" borderId="0" xfId="0" applyNumberFormat="1" applyFont="1"/>
    <xf numFmtId="164" fontId="0" fillId="9" borderId="1" xfId="0" applyNumberFormat="1" applyFill="1" applyBorder="1"/>
    <xf numFmtId="165" fontId="0" fillId="0" borderId="0" xfId="0" applyNumberFormat="1"/>
    <xf numFmtId="164" fontId="0" fillId="0" borderId="1" xfId="0" applyNumberFormat="1" applyBorder="1"/>
    <xf numFmtId="164" fontId="0" fillId="10" borderId="1" xfId="0" applyNumberFormat="1" applyFill="1" applyBorder="1"/>
    <xf numFmtId="164" fontId="0" fillId="3" borderId="1" xfId="0" applyNumberFormat="1" applyFill="1" applyBorder="1"/>
    <xf numFmtId="9" fontId="0" fillId="9" borderId="1" xfId="0" applyNumberFormat="1" applyFill="1" applyBorder="1"/>
    <xf numFmtId="1" fontId="0" fillId="0" borderId="0" xfId="0" applyNumberFormat="1"/>
    <xf numFmtId="0" fontId="10" fillId="0" borderId="0" xfId="0" applyFont="1"/>
    <xf numFmtId="164" fontId="10" fillId="0" borderId="0" xfId="0" applyNumberFormat="1" applyFont="1"/>
    <xf numFmtId="1" fontId="10" fillId="0" borderId="0" xfId="0" applyNumberFormat="1" applyFont="1"/>
    <xf numFmtId="0" fontId="0" fillId="9" borderId="1" xfId="0" applyFill="1" applyBorder="1"/>
    <xf numFmtId="2" fontId="0" fillId="9" borderId="1" xfId="0" applyNumberFormat="1" applyFill="1" applyBorder="1"/>
    <xf numFmtId="167" fontId="0" fillId="0" borderId="0" xfId="0" applyNumberFormat="1"/>
    <xf numFmtId="2" fontId="5" fillId="3" borderId="1" xfId="0" applyNumberFormat="1" applyFont="1" applyFill="1" applyBorder="1"/>
    <xf numFmtId="2" fontId="7" fillId="11" borderId="2" xfId="0" applyNumberFormat="1" applyFont="1" applyFill="1" applyBorder="1" applyAlignment="1">
      <alignment horizontal="center"/>
    </xf>
    <xf numFmtId="164" fontId="5" fillId="3" borderId="3" xfId="0" applyNumberFormat="1" applyFont="1" applyFill="1" applyBorder="1"/>
    <xf numFmtId="0" fontId="4" fillId="0" borderId="3" xfId="0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0" fontId="4" fillId="11" borderId="2" xfId="0" applyFont="1" applyFill="1" applyBorder="1"/>
    <xf numFmtId="0" fontId="0" fillId="11" borderId="2" xfId="0" applyFill="1" applyBorder="1"/>
    <xf numFmtId="165" fontId="5" fillId="12" borderId="2" xfId="0" applyNumberFormat="1" applyFont="1" applyFill="1" applyBorder="1"/>
    <xf numFmtId="0" fontId="4" fillId="11" borderId="2" xfId="0" applyFont="1" applyFill="1" applyBorder="1" applyAlignment="1">
      <alignment horizontal="center"/>
    </xf>
    <xf numFmtId="0" fontId="2" fillId="11" borderId="2" xfId="0" applyFont="1" applyFill="1" applyBorder="1"/>
    <xf numFmtId="164" fontId="5" fillId="12" borderId="2" xfId="0" applyNumberFormat="1" applyFont="1" applyFill="1" applyBorder="1"/>
    <xf numFmtId="0" fontId="0" fillId="0" borderId="2" xfId="0" applyBorder="1"/>
    <xf numFmtId="0" fontId="8" fillId="11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3CDDD"/>
      <rgbColor rgb="FFFF99CC"/>
      <rgbColor rgb="FFCC99FF"/>
      <rgbColor rgb="FFFAC090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F17" sqref="F17"/>
    </sheetView>
  </sheetViews>
  <sheetFormatPr baseColWidth="10" defaultColWidth="8.5" defaultRowHeight="14"/>
  <cols>
    <col min="1" max="1" width="8" customWidth="1"/>
    <col min="2" max="2" width="64" customWidth="1"/>
    <col min="3" max="3" width="16" customWidth="1"/>
    <col min="4" max="4" width="18" customWidth="1"/>
    <col min="5" max="5" width="34" customWidth="1"/>
  </cols>
  <sheetData>
    <row r="1" spans="1:5" ht="17.25" customHeight="1">
      <c r="A1" s="1" t="s">
        <v>0</v>
      </c>
    </row>
    <row r="2" spans="1:5" ht="15" customHeight="1">
      <c r="A2" s="2" t="s">
        <v>1</v>
      </c>
    </row>
    <row r="4" spans="1:5" ht="1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" customHeight="1">
      <c r="A5" s="4" t="s">
        <v>7</v>
      </c>
      <c r="B5" t="s">
        <v>8</v>
      </c>
      <c r="C5" s="5">
        <f>Q1_Q2_Portfolio!B47</f>
        <v>5.3181914701617341</v>
      </c>
      <c r="D5" s="6" t="str">
        <f>TEXT(C5,"0.00")</f>
        <v>5.32</v>
      </c>
      <c r="E5" s="2" t="s">
        <v>9</v>
      </c>
    </row>
    <row r="6" spans="1:5" ht="15" customHeight="1">
      <c r="A6" s="4" t="s">
        <v>10</v>
      </c>
      <c r="B6" t="s">
        <v>11</v>
      </c>
      <c r="C6" s="5">
        <f>Q1_Q2_Portfolio!B48</f>
        <v>3.8550479245135723</v>
      </c>
      <c r="D6" s="6" t="str">
        <f>TEXT(C6,"0.00")</f>
        <v>3.86</v>
      </c>
      <c r="E6" s="2" t="s">
        <v>9</v>
      </c>
    </row>
    <row r="7" spans="1:5" ht="15" customHeight="1">
      <c r="A7" s="4" t="s">
        <v>12</v>
      </c>
      <c r="B7" t="s">
        <v>13</v>
      </c>
      <c r="C7" s="5">
        <f>Q3_Q4_VaR!B74</f>
        <v>1.3005766666666667</v>
      </c>
      <c r="D7" s="6" t="str">
        <f>TEXT(C7,"0.00")</f>
        <v>1.30</v>
      </c>
      <c r="E7" s="2" t="s">
        <v>14</v>
      </c>
    </row>
    <row r="8" spans="1:5" ht="15" customHeight="1">
      <c r="A8" s="4" t="s">
        <v>15</v>
      </c>
      <c r="B8" t="s">
        <v>16</v>
      </c>
      <c r="C8" s="40">
        <f ca="1">Q3_Q4_VaR!B85</f>
        <v>2.1618166666666672</v>
      </c>
      <c r="D8" s="41" t="str">
        <f ca="1">TEXT(C8,"0.00")</f>
        <v>2.16</v>
      </c>
      <c r="E8" s="2" t="s">
        <v>14</v>
      </c>
    </row>
    <row r="9" spans="1:5" ht="15" customHeight="1">
      <c r="A9" s="43"/>
      <c r="B9" s="44"/>
      <c r="C9" s="45"/>
      <c r="D9" s="46"/>
      <c r="E9" s="47"/>
    </row>
    <row r="10" spans="1:5" ht="15" customHeight="1">
      <c r="A10" s="43"/>
      <c r="B10" s="44"/>
      <c r="C10" s="45"/>
      <c r="D10" s="46"/>
      <c r="E10" s="47"/>
    </row>
    <row r="11" spans="1:5" ht="15" customHeight="1">
      <c r="A11" s="43"/>
      <c r="B11" s="44"/>
      <c r="C11" s="48"/>
      <c r="D11" s="46"/>
      <c r="E11" s="47"/>
    </row>
    <row r="12" spans="1:5">
      <c r="A12" s="49"/>
      <c r="B12" s="49"/>
      <c r="C12" s="49"/>
      <c r="D12" s="49"/>
      <c r="E12" s="49"/>
    </row>
    <row r="13" spans="1:5" ht="15" customHeight="1">
      <c r="A13" s="2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zoomScaleNormal="100" workbookViewId="0">
      <selection activeCell="F17" sqref="F17"/>
    </sheetView>
  </sheetViews>
  <sheetFormatPr baseColWidth="10" defaultColWidth="8.83203125" defaultRowHeight="14"/>
  <cols>
    <col min="1" max="1" width="19.83203125" customWidth="1"/>
    <col min="2" max="2" width="11.5" customWidth="1"/>
    <col min="3" max="3" width="12.33203125" customWidth="1"/>
    <col min="4" max="4" width="16" customWidth="1"/>
    <col min="5" max="5" width="12.1640625" customWidth="1"/>
    <col min="6" max="6" width="7.83203125" customWidth="1"/>
    <col min="7" max="7" width="10" customWidth="1"/>
    <col min="8" max="8" width="16.33203125" customWidth="1"/>
    <col min="9" max="9" width="18" customWidth="1"/>
  </cols>
  <sheetData>
    <row r="1" spans="1:5" ht="15" customHeight="1">
      <c r="B1" s="7" t="s">
        <v>18</v>
      </c>
      <c r="C1" s="7" t="s">
        <v>19</v>
      </c>
      <c r="D1" s="7" t="s">
        <v>20</v>
      </c>
    </row>
    <row r="2" spans="1:5" ht="15" customHeight="1">
      <c r="A2" t="s">
        <v>21</v>
      </c>
      <c r="B2" s="8">
        <v>6</v>
      </c>
      <c r="C2" s="8">
        <v>2</v>
      </c>
      <c r="D2" s="8">
        <v>4</v>
      </c>
    </row>
    <row r="4" spans="1:5" ht="15" customHeight="1">
      <c r="A4" t="s">
        <v>22</v>
      </c>
    </row>
    <row r="5" spans="1:5" ht="15" customHeight="1">
      <c r="B5" s="7" t="s">
        <v>18</v>
      </c>
      <c r="C5" s="7" t="s">
        <v>19</v>
      </c>
      <c r="D5" s="7" t="s">
        <v>20</v>
      </c>
    </row>
    <row r="6" spans="1:5" ht="15" customHeight="1">
      <c r="A6" s="7" t="s">
        <v>18</v>
      </c>
      <c r="B6" s="9">
        <v>8.0000000000000002E-3</v>
      </c>
      <c r="C6" s="9">
        <v>-2E-3</v>
      </c>
      <c r="D6" s="9">
        <v>4.0000000000000001E-3</v>
      </c>
    </row>
    <row r="7" spans="1:5" ht="15" customHeight="1">
      <c r="A7" s="7" t="s">
        <v>19</v>
      </c>
      <c r="B7" s="9">
        <v>-2E-3</v>
      </c>
      <c r="C7" s="9">
        <v>2E-3</v>
      </c>
      <c r="D7" s="9">
        <v>-2E-3</v>
      </c>
    </row>
    <row r="8" spans="1:5" ht="15" customHeight="1">
      <c r="A8" s="7" t="s">
        <v>20</v>
      </c>
      <c r="B8" s="42">
        <v>4.0000000000000001E-3</v>
      </c>
      <c r="C8" s="42">
        <v>-2E-3</v>
      </c>
      <c r="D8" s="42">
        <v>8.0000000000000002E-3</v>
      </c>
    </row>
    <row r="9" spans="1:5">
      <c r="A9" s="44"/>
      <c r="B9" s="44"/>
      <c r="C9" s="44"/>
      <c r="D9" s="44"/>
      <c r="E9" s="44"/>
    </row>
    <row r="10" spans="1:5" ht="15" customHeight="1">
      <c r="A10" s="44"/>
      <c r="B10" s="50"/>
      <c r="C10" s="50"/>
      <c r="D10" s="50"/>
      <c r="E10" s="44"/>
    </row>
    <row r="11" spans="1:5" ht="15" customHeight="1">
      <c r="A11" s="44"/>
      <c r="B11" s="39"/>
      <c r="C11" s="39"/>
      <c r="D11" s="39"/>
      <c r="E11" s="44"/>
    </row>
    <row r="12" spans="1:5">
      <c r="A12" s="49"/>
      <c r="B12" s="49"/>
      <c r="C12" s="49"/>
      <c r="D12" s="49"/>
      <c r="E12" s="49"/>
    </row>
    <row r="13" spans="1:5" ht="15" customHeight="1">
      <c r="A13" t="s">
        <v>24</v>
      </c>
      <c r="B13">
        <v>1</v>
      </c>
    </row>
    <row r="15" spans="1:5" ht="15" customHeight="1">
      <c r="A15" t="s">
        <v>25</v>
      </c>
      <c r="B15" s="8">
        <f>B2-rf</f>
        <v>5</v>
      </c>
      <c r="C15" s="8">
        <f>C2-rf</f>
        <v>1</v>
      </c>
      <c r="D15" s="8">
        <f>D2-rf</f>
        <v>3</v>
      </c>
    </row>
    <row r="17" spans="1:9" ht="15" customHeight="1">
      <c r="A17" t="s">
        <v>26</v>
      </c>
      <c r="B17" s="11" t="s">
        <v>27</v>
      </c>
      <c r="C17" s="11" t="s">
        <v>28</v>
      </c>
      <c r="D17" s="11" t="s">
        <v>29</v>
      </c>
    </row>
    <row r="18" spans="1:9" ht="15" customHeight="1">
      <c r="B18" s="12">
        <v>1</v>
      </c>
      <c r="C18" s="12">
        <v>0</v>
      </c>
      <c r="D18" s="12">
        <v>0</v>
      </c>
      <c r="E18" s="13"/>
      <c r="F18" s="14" t="s">
        <v>30</v>
      </c>
      <c r="G18" s="15">
        <v>1</v>
      </c>
    </row>
    <row r="20" spans="1:9" ht="15" customHeight="1">
      <c r="A20" t="s">
        <v>31</v>
      </c>
      <c r="B20" s="16">
        <f>SUMPRODUCT(B18:D18,B2:D2)</f>
        <v>6</v>
      </c>
    </row>
    <row r="21" spans="1:9" ht="14.25" customHeight="1">
      <c r="H21" s="11" t="str">
        <f t="array" ref="H21:I23">TRANSPOSE(B17:D18)</f>
        <v>x1</v>
      </c>
      <c r="I21" s="12">
        <v>1</v>
      </c>
    </row>
    <row r="22" spans="1:9" ht="15" customHeight="1">
      <c r="A22" t="s">
        <v>32</v>
      </c>
      <c r="B22" s="17">
        <f>100*SQRT(MMULT(B18:D18,MMULT(B6:D8,I21:I23)))</f>
        <v>8.9442719099991592</v>
      </c>
      <c r="C22" s="14" t="s">
        <v>33</v>
      </c>
      <c r="D22" s="15">
        <v>85.940286092178994</v>
      </c>
      <c r="H22" s="11" t="str">
        <v>x2</v>
      </c>
      <c r="I22" s="12">
        <v>0</v>
      </c>
    </row>
    <row r="23" spans="1:9" ht="14.25" customHeight="1">
      <c r="H23" s="11" t="str">
        <v>x3</v>
      </c>
      <c r="I23" s="12">
        <v>0</v>
      </c>
    </row>
    <row r="27" spans="1:9" ht="14.25" customHeight="1">
      <c r="B27" s="18"/>
      <c r="C27" s="18"/>
      <c r="D27" s="18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zoomScaleNormal="100" workbookViewId="0">
      <selection activeCell="F23" sqref="F23"/>
    </sheetView>
  </sheetViews>
  <sheetFormatPr baseColWidth="10" defaultColWidth="11.5" defaultRowHeight="14"/>
  <cols>
    <col min="5" max="5" width="20.6640625" customWidth="1"/>
  </cols>
  <sheetData>
    <row r="1" spans="1:9" ht="15" customHeight="1">
      <c r="A1" s="19" t="s">
        <v>18</v>
      </c>
      <c r="B1" s="19" t="s">
        <v>19</v>
      </c>
      <c r="C1" s="19" t="s">
        <v>20</v>
      </c>
      <c r="E1" s="10" t="s">
        <v>34</v>
      </c>
    </row>
    <row r="2" spans="1:9" ht="15" customHeight="1">
      <c r="A2">
        <v>2.1675</v>
      </c>
      <c r="B2">
        <v>-1.8883000000000001</v>
      </c>
      <c r="C2">
        <v>3.0712000000000002</v>
      </c>
      <c r="F2" s="20" t="s">
        <v>18</v>
      </c>
      <c r="G2" s="20" t="s">
        <v>19</v>
      </c>
      <c r="H2" s="20" t="s">
        <v>20</v>
      </c>
      <c r="I2" s="20"/>
    </row>
    <row r="3" spans="1:9" ht="15" customHeight="1">
      <c r="A3">
        <v>3.3875000000000002</v>
      </c>
      <c r="B3">
        <v>-0.56079999999999997</v>
      </c>
      <c r="C3">
        <v>1.2427999999999999</v>
      </c>
      <c r="F3" s="21">
        <v>-0.51863999999999999</v>
      </c>
      <c r="G3" s="21">
        <v>4.7057399999999996</v>
      </c>
      <c r="H3" s="21">
        <v>-0.69862000000000002</v>
      </c>
      <c r="I3" s="21"/>
    </row>
    <row r="4" spans="1:9" ht="15" customHeight="1">
      <c r="A4">
        <v>-2.5194000000000001</v>
      </c>
      <c r="B4">
        <v>1.5772999999999999</v>
      </c>
      <c r="C4">
        <v>-3.1840000000000002</v>
      </c>
    </row>
    <row r="5" spans="1:9" ht="15" customHeight="1">
      <c r="A5">
        <v>-1.3958999999999999</v>
      </c>
      <c r="B5">
        <v>1.4225000000000001</v>
      </c>
      <c r="C5">
        <v>3.0922999999999998</v>
      </c>
      <c r="E5" s="10" t="s">
        <v>35</v>
      </c>
      <c r="F5" s="20"/>
    </row>
    <row r="6" spans="1:9" ht="15" customHeight="1">
      <c r="A6">
        <v>-2.7263999999999999</v>
      </c>
      <c r="B6">
        <v>1.0407999999999999</v>
      </c>
      <c r="C6">
        <v>-1.3100000000000001E-2</v>
      </c>
      <c r="F6" s="20" t="s">
        <v>18</v>
      </c>
      <c r="G6" s="20" t="s">
        <v>19</v>
      </c>
      <c r="H6" s="20" t="s">
        <v>20</v>
      </c>
      <c r="I6" s="20"/>
    </row>
    <row r="7" spans="1:9" ht="15" customHeight="1">
      <c r="A7">
        <v>0.78320000000000001</v>
      </c>
      <c r="B7">
        <v>1.2914000000000001</v>
      </c>
      <c r="C7">
        <v>-2.0596999999999999</v>
      </c>
      <c r="E7" s="20" t="s">
        <v>18</v>
      </c>
      <c r="F7" s="21">
        <v>5.5999999999999999E-3</v>
      </c>
      <c r="G7" s="21">
        <v>-2E-3</v>
      </c>
      <c r="H7" s="21">
        <v>3.7000000000000002E-3</v>
      </c>
      <c r="I7" s="21"/>
    </row>
    <row r="8" spans="1:9" ht="15" customHeight="1">
      <c r="A8">
        <v>3.9748999999999999</v>
      </c>
      <c r="B8">
        <v>-0.2969</v>
      </c>
      <c r="C8">
        <v>2.0495999999999999</v>
      </c>
      <c r="E8" s="20" t="s">
        <v>19</v>
      </c>
      <c r="F8" s="21">
        <v>-2E-3</v>
      </c>
      <c r="G8" s="21">
        <v>2.2000000000000001E-3</v>
      </c>
      <c r="H8" s="21">
        <v>-2.2000000000000001E-3</v>
      </c>
      <c r="I8" s="21"/>
    </row>
    <row r="9" spans="1:9" ht="15" customHeight="1">
      <c r="A9">
        <v>-3.3868999999999998</v>
      </c>
      <c r="B9">
        <v>0.66020000000000001</v>
      </c>
      <c r="C9">
        <v>-0.58499999999999996</v>
      </c>
      <c r="E9" s="20" t="s">
        <v>20</v>
      </c>
      <c r="F9" s="21">
        <v>3.7000000000000002E-3</v>
      </c>
      <c r="G9" s="21">
        <v>-2.2000000000000001E-3</v>
      </c>
      <c r="H9" s="21">
        <v>7.4000000000000003E-3</v>
      </c>
      <c r="I9" s="21"/>
    </row>
    <row r="10" spans="1:9" ht="15" customHeight="1">
      <c r="A10">
        <v>-0.1714</v>
      </c>
      <c r="B10">
        <v>0.22070000000000001</v>
      </c>
      <c r="C10">
        <v>0.65039999999999998</v>
      </c>
    </row>
    <row r="11" spans="1:9" ht="15" customHeight="1">
      <c r="A11">
        <v>0.54390000000000005</v>
      </c>
      <c r="B11">
        <v>0.36320000000000002</v>
      </c>
      <c r="C11">
        <v>1.0962000000000001</v>
      </c>
      <c r="F11" s="10" t="s">
        <v>18</v>
      </c>
      <c r="G11" s="10" t="s">
        <v>19</v>
      </c>
      <c r="H11" s="10" t="s">
        <v>20</v>
      </c>
      <c r="I11" s="10"/>
    </row>
    <row r="12" spans="1:9" ht="15" customHeight="1">
      <c r="A12">
        <v>1.0912999999999999</v>
      </c>
      <c r="B12">
        <v>0.10299999999999999</v>
      </c>
      <c r="C12">
        <v>2.7193000000000001</v>
      </c>
      <c r="E12" t="s">
        <v>23</v>
      </c>
      <c r="F12" s="8">
        <f>100*SQRT(F7)</f>
        <v>7.4833147735478835</v>
      </c>
      <c r="G12" s="8">
        <f>100*SQRT(G8)</f>
        <v>4.6904157598234297</v>
      </c>
      <c r="H12" s="8">
        <f>100*SQRT(H9)</f>
        <v>8.6023252670426267</v>
      </c>
      <c r="I12" s="22"/>
    </row>
    <row r="13" spans="1:9" ht="15" customHeight="1">
      <c r="A13">
        <v>-1.0361</v>
      </c>
      <c r="B13">
        <v>-0.59640000000000004</v>
      </c>
      <c r="C13">
        <v>-0.83609999999999995</v>
      </c>
    </row>
    <row r="14" spans="1:9" ht="15" customHeight="1">
      <c r="A14">
        <v>-0.871</v>
      </c>
      <c r="B14">
        <v>2.2176999999999998</v>
      </c>
      <c r="C14">
        <v>-4.2316000000000003</v>
      </c>
      <c r="E14" t="s">
        <v>24</v>
      </c>
      <c r="F14">
        <v>1</v>
      </c>
    </row>
    <row r="15" spans="1:9" ht="15" customHeight="1">
      <c r="A15">
        <v>1.0377000000000001</v>
      </c>
      <c r="B15">
        <v>0.24390000000000001</v>
      </c>
      <c r="C15">
        <v>1.6240000000000001</v>
      </c>
    </row>
    <row r="16" spans="1:9" ht="15" customHeight="1">
      <c r="A16">
        <v>-2.7235999999999998</v>
      </c>
      <c r="B16">
        <v>2.7658</v>
      </c>
      <c r="C16">
        <v>-3.2315</v>
      </c>
      <c r="E16" t="s">
        <v>25</v>
      </c>
      <c r="F16" s="8">
        <f>F3-rf</f>
        <v>-1.51864</v>
      </c>
      <c r="G16" s="8">
        <f>G3-rf</f>
        <v>3.7057399999999996</v>
      </c>
      <c r="H16" s="8">
        <f>H3-rf</f>
        <v>-1.69862</v>
      </c>
      <c r="I16" s="22"/>
    </row>
    <row r="17" spans="1:14" ht="15" customHeight="1">
      <c r="A17">
        <v>2.7484999999999999</v>
      </c>
      <c r="B17">
        <v>-1.4884999999999999</v>
      </c>
      <c r="C17">
        <v>7.4062999999999999</v>
      </c>
    </row>
    <row r="18" spans="1:14" ht="15" customHeight="1">
      <c r="A18">
        <v>-0.83479999999999999</v>
      </c>
      <c r="B18">
        <v>-1.3056000000000001</v>
      </c>
      <c r="C18">
        <v>0.33379999999999999</v>
      </c>
      <c r="E18" t="s">
        <v>26</v>
      </c>
      <c r="F18" s="11" t="s">
        <v>27</v>
      </c>
      <c r="G18" s="11" t="s">
        <v>28</v>
      </c>
      <c r="H18" s="11" t="s">
        <v>29</v>
      </c>
      <c r="I18" s="11" t="s">
        <v>36</v>
      </c>
    </row>
    <row r="19" spans="1:14" ht="15" customHeight="1">
      <c r="A19">
        <v>-1.2727999999999999</v>
      </c>
      <c r="B19">
        <v>2.2504</v>
      </c>
      <c r="C19">
        <v>-4.3388999999999998</v>
      </c>
      <c r="F19" s="12">
        <v>0</v>
      </c>
      <c r="G19" s="12">
        <v>0</v>
      </c>
      <c r="H19" s="12">
        <v>0</v>
      </c>
      <c r="I19" s="12"/>
      <c r="J19" s="13">
        <f>SUM(F19:I19)</f>
        <v>0</v>
      </c>
      <c r="K19" s="14" t="s">
        <v>30</v>
      </c>
      <c r="L19" s="15">
        <v>1</v>
      </c>
    </row>
    <row r="20" spans="1:14" ht="15" customHeight="1">
      <c r="A20">
        <v>-0.5232</v>
      </c>
      <c r="B20">
        <v>1.8409</v>
      </c>
      <c r="C20">
        <v>1.5357000000000001</v>
      </c>
    </row>
    <row r="21" spans="1:14" ht="15" customHeight="1">
      <c r="A21">
        <v>0.1174</v>
      </c>
      <c r="B21">
        <v>0.91269999999999996</v>
      </c>
      <c r="C21">
        <v>-1.2732000000000001</v>
      </c>
      <c r="E21" t="s">
        <v>31</v>
      </c>
      <c r="F21" s="16">
        <f>SUMPRODUCT(F19:H19,F3:H3)+F14*I19</f>
        <v>0</v>
      </c>
    </row>
    <row r="22" spans="1:14" ht="15" customHeight="1">
      <c r="A22">
        <v>1.1842999999999999</v>
      </c>
      <c r="B22">
        <v>1.6093999999999999</v>
      </c>
      <c r="C22">
        <v>-0.20799999999999999</v>
      </c>
      <c r="M22" s="11" t="str">
        <f t="array" ref="M22:N25">TRANSPOSE(F18:I19)</f>
        <v>x1</v>
      </c>
      <c r="N22" s="12">
        <v>0</v>
      </c>
    </row>
    <row r="23" spans="1:14" ht="15" customHeight="1">
      <c r="A23">
        <v>0.60029999999999994</v>
      </c>
      <c r="B23">
        <v>-0.1249</v>
      </c>
      <c r="C23">
        <v>-0.68079999999999996</v>
      </c>
      <c r="E23" t="s">
        <v>32</v>
      </c>
      <c r="F23" s="17">
        <f>100*SQRT(MMULT(F19:H19,MMULT(F7:H9,N22:N24)))</f>
        <v>0</v>
      </c>
      <c r="G23" s="14" t="s">
        <v>33</v>
      </c>
      <c r="H23" s="15">
        <v>5</v>
      </c>
      <c r="M23" s="11" t="str">
        <v>x2</v>
      </c>
      <c r="N23" s="12">
        <v>0</v>
      </c>
    </row>
    <row r="24" spans="1:14" ht="15" customHeight="1">
      <c r="A24">
        <v>-0.57850000000000001</v>
      </c>
      <c r="B24">
        <v>-0.25650000000000001</v>
      </c>
      <c r="C24">
        <v>1.4510000000000001</v>
      </c>
      <c r="M24" s="11" t="str">
        <v>x3</v>
      </c>
      <c r="N24" s="12">
        <v>0</v>
      </c>
    </row>
    <row r="25" spans="1:14" ht="15" customHeight="1">
      <c r="A25">
        <v>-1.8834</v>
      </c>
      <c r="B25">
        <v>0.55110000000000003</v>
      </c>
      <c r="C25">
        <v>-1.5371999999999999</v>
      </c>
      <c r="M25" s="11" t="str">
        <v>x0</v>
      </c>
      <c r="N25" s="12">
        <v>0</v>
      </c>
    </row>
    <row r="26" spans="1:14" ht="14.25" customHeight="1">
      <c r="A26">
        <v>1.0666</v>
      </c>
      <c r="B26">
        <v>-0.55500000000000005</v>
      </c>
      <c r="C26">
        <v>-1.0502</v>
      </c>
    </row>
    <row r="27" spans="1:14" ht="14.25" customHeight="1">
      <c r="A27">
        <v>3.7147000000000001</v>
      </c>
      <c r="B27">
        <v>0.29480000000000001</v>
      </c>
      <c r="C27">
        <v>3.36</v>
      </c>
    </row>
    <row r="28" spans="1:14" ht="14.25" customHeight="1">
      <c r="A28">
        <v>-0.32129999999999997</v>
      </c>
      <c r="B28">
        <v>0.89690000000000003</v>
      </c>
      <c r="C28">
        <v>-0.37880000000000003</v>
      </c>
    </row>
    <row r="29" spans="1:14" ht="14.25" customHeight="1">
      <c r="A29">
        <v>1.3712</v>
      </c>
      <c r="B29">
        <v>-0.66879999999999995</v>
      </c>
      <c r="C29">
        <v>-0.1197</v>
      </c>
    </row>
    <row r="30" spans="1:14" ht="14.25" customHeight="1">
      <c r="A30">
        <v>-0.79869999999999997</v>
      </c>
      <c r="B30">
        <v>-6.0299999999999999E-2</v>
      </c>
      <c r="C30">
        <v>-0.18229999999999999</v>
      </c>
    </row>
    <row r="31" spans="1:14" ht="14.25" customHeight="1">
      <c r="A31">
        <v>0.94899999999999995</v>
      </c>
      <c r="B31">
        <v>-5.8200000000000002E-2</v>
      </c>
      <c r="C31">
        <v>-0.1217</v>
      </c>
    </row>
    <row r="32" spans="1:14" ht="14.25" customHeight="1">
      <c r="A32">
        <v>-2.5322</v>
      </c>
      <c r="B32">
        <v>3.4582000000000002</v>
      </c>
      <c r="C32">
        <v>-4.8028000000000004</v>
      </c>
    </row>
    <row r="33" spans="1:3" ht="14.25" customHeight="1">
      <c r="A33">
        <v>0.46129999999999999</v>
      </c>
      <c r="B33">
        <v>1.0112000000000001</v>
      </c>
      <c r="C33">
        <v>-0.55889999999999995</v>
      </c>
    </row>
    <row r="34" spans="1:3" ht="14.25" customHeight="1">
      <c r="A34">
        <v>-1.6205000000000001</v>
      </c>
      <c r="B34">
        <v>0.76239999999999997</v>
      </c>
      <c r="C34">
        <v>-0.52769999999999995</v>
      </c>
    </row>
    <row r="35" spans="1:3" ht="14.25" customHeight="1">
      <c r="A35">
        <v>4.7481999999999998</v>
      </c>
      <c r="B35">
        <v>-2.1118000000000001</v>
      </c>
      <c r="C35">
        <v>3.0093000000000001</v>
      </c>
    </row>
    <row r="36" spans="1:3" ht="14.25" customHeight="1">
      <c r="A36">
        <v>1.6551</v>
      </c>
      <c r="B36">
        <v>0.66859999999999997</v>
      </c>
      <c r="C36">
        <v>1.0954999999999999</v>
      </c>
    </row>
    <row r="37" spans="1:3" ht="14.25" customHeight="1">
      <c r="A37">
        <v>-5.1562999999999999</v>
      </c>
      <c r="B37">
        <v>1.286</v>
      </c>
      <c r="C37">
        <v>-2.0926999999999998</v>
      </c>
    </row>
    <row r="38" spans="1:3" ht="14.25" customHeight="1">
      <c r="A38">
        <v>-1.0738000000000001</v>
      </c>
      <c r="B38">
        <v>0.5736</v>
      </c>
      <c r="C38">
        <v>0.78810000000000002</v>
      </c>
    </row>
    <row r="39" spans="1:3" ht="14.25" customHeight="1">
      <c r="A39">
        <v>-1.2798</v>
      </c>
      <c r="B39">
        <v>-0.39679999999999999</v>
      </c>
      <c r="C39">
        <v>-1.4555</v>
      </c>
    </row>
    <row r="40" spans="1:3" ht="14.25" customHeight="1">
      <c r="A40">
        <v>-0.77929999999999999</v>
      </c>
      <c r="B40">
        <v>-0.6159</v>
      </c>
      <c r="C40">
        <v>2.2117</v>
      </c>
    </row>
    <row r="41" spans="1:3" ht="14.25" customHeight="1">
      <c r="A41">
        <v>-0.36130000000000001</v>
      </c>
      <c r="B41">
        <v>-2.5366</v>
      </c>
      <c r="C41">
        <v>2.9634</v>
      </c>
    </row>
    <row r="42" spans="1:3" ht="14.25" customHeight="1">
      <c r="A42">
        <v>0.18959999999999999</v>
      </c>
      <c r="B42">
        <v>0.88900000000000001</v>
      </c>
      <c r="C42">
        <v>-3.5207000000000002</v>
      </c>
    </row>
    <row r="43" spans="1:3" ht="14.25" customHeight="1">
      <c r="A43">
        <v>-2.6046999999999998</v>
      </c>
      <c r="B43">
        <v>1.2735000000000001</v>
      </c>
      <c r="C43">
        <v>-4.4261999999999997</v>
      </c>
    </row>
    <row r="44" spans="1:3" ht="14.25" customHeight="1">
      <c r="A44">
        <v>-3.1644999999999999</v>
      </c>
      <c r="B44">
        <v>1.264</v>
      </c>
      <c r="C44">
        <v>-4.5345000000000004</v>
      </c>
    </row>
    <row r="45" spans="1:3" ht="14.25" customHeight="1">
      <c r="A45">
        <v>-0.60660000000000003</v>
      </c>
      <c r="B45">
        <v>1.6454</v>
      </c>
      <c r="C45">
        <v>0.13850000000000001</v>
      </c>
    </row>
    <row r="46" spans="1:3" ht="14.25" customHeight="1">
      <c r="A46">
        <v>0.85950000000000004</v>
      </c>
      <c r="B46">
        <v>0.14149999999999999</v>
      </c>
      <c r="C46">
        <v>-3.6547000000000001</v>
      </c>
    </row>
    <row r="47" spans="1:3" ht="14.25" customHeight="1">
      <c r="A47">
        <v>3.6419999999999999</v>
      </c>
      <c r="B47">
        <v>-0.34549999999999997</v>
      </c>
      <c r="C47">
        <v>2.8740999999999999</v>
      </c>
    </row>
    <row r="48" spans="1:3" ht="14.25" customHeight="1">
      <c r="A48">
        <v>0.66839999999999999</v>
      </c>
      <c r="B48">
        <v>1.9906999999999999</v>
      </c>
      <c r="C48">
        <v>-4.9500000000000002E-2</v>
      </c>
    </row>
    <row r="49" spans="1:3" ht="14.25" customHeight="1">
      <c r="A49">
        <v>1.5556000000000001</v>
      </c>
      <c r="B49">
        <v>-1.1351</v>
      </c>
      <c r="C49">
        <v>0.94469999999999998</v>
      </c>
    </row>
    <row r="50" spans="1:3" ht="14.25" customHeight="1">
      <c r="A50">
        <v>1.4717</v>
      </c>
      <c r="B50">
        <v>-1.3030999999999999</v>
      </c>
      <c r="C50">
        <v>1.3655999999999999</v>
      </c>
    </row>
    <row r="51" spans="1:3" ht="14.25" customHeight="1">
      <c r="A51">
        <v>-2.6414</v>
      </c>
      <c r="B51">
        <v>0.98419999999999996</v>
      </c>
      <c r="C51">
        <v>1.7806999999999999</v>
      </c>
    </row>
    <row r="52" spans="1:3" ht="14.25" customHeight="1">
      <c r="A52">
        <v>-1.6741999999999999</v>
      </c>
      <c r="B52">
        <v>2.6791</v>
      </c>
      <c r="C52">
        <v>-1.7593000000000001</v>
      </c>
    </row>
    <row r="53" spans="1:3" ht="14.25" customHeight="1">
      <c r="A53">
        <v>1.5918000000000001</v>
      </c>
      <c r="B53">
        <v>-0.66969999999999996</v>
      </c>
      <c r="C53">
        <v>0.90090000000000003</v>
      </c>
    </row>
    <row r="54" spans="1:3" ht="14.25" customHeight="1">
      <c r="A54">
        <v>-1.4624999999999999</v>
      </c>
      <c r="B54">
        <v>-2.1408</v>
      </c>
      <c r="C54">
        <v>-2.0388999999999999</v>
      </c>
    </row>
    <row r="55" spans="1:3" ht="14.25" customHeight="1">
      <c r="A55">
        <v>4.9099999999999998E-2</v>
      </c>
      <c r="B55">
        <v>0.65600000000000003</v>
      </c>
      <c r="C55">
        <v>0.1216</v>
      </c>
    </row>
    <row r="56" spans="1:3" ht="14.25" customHeight="1">
      <c r="A56">
        <v>-0.26740000000000003</v>
      </c>
      <c r="B56">
        <v>3.3799999999999997E-2</v>
      </c>
      <c r="C56">
        <v>4.0254000000000003</v>
      </c>
    </row>
    <row r="57" spans="1:3" ht="14.25" customHeight="1">
      <c r="A57">
        <v>1.0214000000000001</v>
      </c>
      <c r="B57">
        <v>1.0945</v>
      </c>
      <c r="C57">
        <v>2.3588</v>
      </c>
    </row>
    <row r="58" spans="1:3" ht="14.25" customHeight="1">
      <c r="A58">
        <v>1.0679000000000001</v>
      </c>
      <c r="B58">
        <v>0.97260000000000002</v>
      </c>
      <c r="C58">
        <v>0.77810000000000001</v>
      </c>
    </row>
    <row r="59" spans="1:3" ht="14.25" customHeight="1">
      <c r="A59">
        <v>-5.4238999999999997</v>
      </c>
      <c r="B59">
        <v>3.2911000000000001</v>
      </c>
      <c r="C59">
        <v>-4.9794</v>
      </c>
    </row>
    <row r="60" spans="1:3" ht="14.25" customHeight="1">
      <c r="A60">
        <v>0.41249999999999998</v>
      </c>
      <c r="B60">
        <v>0.20050000000000001</v>
      </c>
      <c r="C60">
        <v>0.21460000000000001</v>
      </c>
    </row>
    <row r="61" spans="1:3" ht="14.25" customHeight="1">
      <c r="A61">
        <v>4.9664999999999999</v>
      </c>
      <c r="B61">
        <v>-2.4944000000000002</v>
      </c>
      <c r="C61">
        <v>-0.2641</v>
      </c>
    </row>
    <row r="63" spans="1:3" ht="14.25" customHeight="1">
      <c r="A63" s="23">
        <f>AVERAGE(A2:A61)*12</f>
        <v>-0.51864000000000043</v>
      </c>
      <c r="B63" s="23">
        <f>AVERAGE(B2:B61)*12</f>
        <v>4.7057400000000005</v>
      </c>
      <c r="C63" s="23">
        <f>AVERAGE(C2:C61)*12</f>
        <v>-0.69862000000000024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zoomScaleNormal="100" workbookViewId="0">
      <selection activeCell="E2" sqref="E2"/>
    </sheetView>
  </sheetViews>
  <sheetFormatPr baseColWidth="10" defaultColWidth="11.5" defaultRowHeight="14"/>
  <cols>
    <col min="5" max="5" width="10.83203125" style="21" customWidth="1"/>
  </cols>
  <sheetData>
    <row r="1" spans="1:5" ht="15" customHeight="1">
      <c r="A1" s="19" t="s">
        <v>18</v>
      </c>
      <c r="B1" s="19" t="s">
        <v>19</v>
      </c>
      <c r="C1" s="19" t="s">
        <v>20</v>
      </c>
      <c r="E1" s="24" t="s">
        <v>37</v>
      </c>
    </row>
    <row r="2" spans="1:5" ht="15" customHeight="1">
      <c r="A2">
        <v>2.1675</v>
      </c>
      <c r="B2">
        <v>-1.8883000000000001</v>
      </c>
      <c r="C2">
        <v>3.0712000000000002</v>
      </c>
      <c r="E2" s="21">
        <f t="shared" ref="E2:E33" si="0">-SUM(A2:C2)/3</f>
        <v>-1.1168</v>
      </c>
    </row>
    <row r="3" spans="1:5" ht="15" customHeight="1">
      <c r="A3">
        <v>3.3875000000000002</v>
      </c>
      <c r="B3">
        <v>-0.56079999999999997</v>
      </c>
      <c r="C3">
        <v>1.2427999999999999</v>
      </c>
      <c r="E3" s="21">
        <f t="shared" si="0"/>
        <v>-1.3564999999999998</v>
      </c>
    </row>
    <row r="4" spans="1:5" ht="15" customHeight="1">
      <c r="A4">
        <v>-2.5194000000000001</v>
      </c>
      <c r="B4">
        <v>1.5772999999999999</v>
      </c>
      <c r="C4">
        <v>-3.1840000000000002</v>
      </c>
      <c r="E4" s="21">
        <f t="shared" si="0"/>
        <v>1.3753666666666666</v>
      </c>
    </row>
    <row r="5" spans="1:5" ht="15" customHeight="1">
      <c r="A5">
        <v>-1.3958999999999999</v>
      </c>
      <c r="B5">
        <v>1.4225000000000001</v>
      </c>
      <c r="C5">
        <v>3.0922999999999998</v>
      </c>
      <c r="E5" s="21">
        <f t="shared" si="0"/>
        <v>-1.0396333333333334</v>
      </c>
    </row>
    <row r="6" spans="1:5" ht="15" customHeight="1">
      <c r="A6">
        <v>-2.7263999999999999</v>
      </c>
      <c r="B6">
        <v>1.0407999999999999</v>
      </c>
      <c r="C6">
        <v>-1.3100000000000001E-2</v>
      </c>
      <c r="E6" s="21">
        <f t="shared" si="0"/>
        <v>0.56623333333333337</v>
      </c>
    </row>
    <row r="7" spans="1:5" ht="15" customHeight="1">
      <c r="A7">
        <v>0.78320000000000001</v>
      </c>
      <c r="B7">
        <v>1.2914000000000001</v>
      </c>
      <c r="C7">
        <v>-2.0596999999999999</v>
      </c>
      <c r="E7" s="21">
        <f t="shared" si="0"/>
        <v>-4.9666666666667858E-3</v>
      </c>
    </row>
    <row r="8" spans="1:5" ht="15" customHeight="1">
      <c r="A8">
        <v>3.9748999999999999</v>
      </c>
      <c r="B8">
        <v>-0.2969</v>
      </c>
      <c r="C8">
        <v>2.0495999999999999</v>
      </c>
      <c r="E8" s="21">
        <f t="shared" si="0"/>
        <v>-1.9092</v>
      </c>
    </row>
    <row r="9" spans="1:5" ht="15" customHeight="1">
      <c r="A9">
        <v>-3.3868999999999998</v>
      </c>
      <c r="B9">
        <v>0.66020000000000001</v>
      </c>
      <c r="C9">
        <v>-0.58499999999999996</v>
      </c>
      <c r="E9" s="21">
        <f t="shared" si="0"/>
        <v>1.1038999999999999</v>
      </c>
    </row>
    <row r="10" spans="1:5" ht="15" customHeight="1">
      <c r="A10">
        <v>-0.1714</v>
      </c>
      <c r="B10">
        <v>0.22070000000000001</v>
      </c>
      <c r="C10">
        <v>0.65039999999999998</v>
      </c>
      <c r="E10" s="21">
        <f t="shared" si="0"/>
        <v>-0.23323333333333332</v>
      </c>
    </row>
    <row r="11" spans="1:5" ht="15" customHeight="1">
      <c r="A11">
        <v>0.54390000000000005</v>
      </c>
      <c r="B11">
        <v>0.36320000000000002</v>
      </c>
      <c r="C11">
        <v>1.0962000000000001</v>
      </c>
      <c r="E11" s="21">
        <f t="shared" si="0"/>
        <v>-0.66776666666666673</v>
      </c>
    </row>
    <row r="12" spans="1:5" ht="15" customHeight="1">
      <c r="A12">
        <v>1.0912999999999999</v>
      </c>
      <c r="B12">
        <v>0.10299999999999999</v>
      </c>
      <c r="C12">
        <v>2.7193000000000001</v>
      </c>
      <c r="E12" s="21">
        <f t="shared" si="0"/>
        <v>-1.3045333333333333</v>
      </c>
    </row>
    <row r="13" spans="1:5" ht="15" customHeight="1">
      <c r="A13">
        <v>-1.0361</v>
      </c>
      <c r="B13">
        <v>-0.59640000000000004</v>
      </c>
      <c r="C13">
        <v>-0.83609999999999995</v>
      </c>
      <c r="E13" s="21">
        <f t="shared" si="0"/>
        <v>0.82286666666666664</v>
      </c>
    </row>
    <row r="14" spans="1:5" ht="15" customHeight="1">
      <c r="A14">
        <v>-0.871</v>
      </c>
      <c r="B14">
        <v>2.2176999999999998</v>
      </c>
      <c r="C14">
        <v>-4.2316000000000003</v>
      </c>
      <c r="E14" s="21">
        <f t="shared" si="0"/>
        <v>0.96163333333333345</v>
      </c>
    </row>
    <row r="15" spans="1:5" ht="15" customHeight="1">
      <c r="A15">
        <v>1.0377000000000001</v>
      </c>
      <c r="B15">
        <v>0.24390000000000001</v>
      </c>
      <c r="C15">
        <v>1.6240000000000001</v>
      </c>
      <c r="E15" s="21">
        <f t="shared" si="0"/>
        <v>-0.96853333333333336</v>
      </c>
    </row>
    <row r="16" spans="1:5" ht="15" customHeight="1">
      <c r="A16">
        <v>-2.7235999999999998</v>
      </c>
      <c r="B16">
        <v>2.7658</v>
      </c>
      <c r="C16">
        <v>-3.2315</v>
      </c>
      <c r="E16" s="21">
        <f t="shared" si="0"/>
        <v>1.0630999999999999</v>
      </c>
    </row>
    <row r="17" spans="1:5" ht="15" customHeight="1">
      <c r="A17">
        <v>2.7484999999999999</v>
      </c>
      <c r="B17">
        <v>-1.4884999999999999</v>
      </c>
      <c r="C17">
        <v>7.4062999999999999</v>
      </c>
      <c r="E17" s="21">
        <f t="shared" si="0"/>
        <v>-2.8887666666666667</v>
      </c>
    </row>
    <row r="18" spans="1:5" ht="15" customHeight="1">
      <c r="A18">
        <v>-0.83479999999999999</v>
      </c>
      <c r="B18">
        <v>-1.3056000000000001</v>
      </c>
      <c r="C18">
        <v>0.33379999999999999</v>
      </c>
      <c r="E18" s="21">
        <f t="shared" si="0"/>
        <v>0.60219999999999996</v>
      </c>
    </row>
    <row r="19" spans="1:5" ht="15" customHeight="1">
      <c r="A19">
        <v>-1.2727999999999999</v>
      </c>
      <c r="B19">
        <v>2.2504</v>
      </c>
      <c r="C19">
        <v>-4.3388999999999998</v>
      </c>
      <c r="E19" s="21">
        <f t="shared" si="0"/>
        <v>1.1204333333333334</v>
      </c>
    </row>
    <row r="20" spans="1:5" ht="15" customHeight="1">
      <c r="A20">
        <v>-0.5232</v>
      </c>
      <c r="B20">
        <v>1.8409</v>
      </c>
      <c r="C20">
        <v>1.5357000000000001</v>
      </c>
      <c r="E20" s="21">
        <f t="shared" si="0"/>
        <v>-0.95113333333333328</v>
      </c>
    </row>
    <row r="21" spans="1:5" ht="15" customHeight="1">
      <c r="A21">
        <v>0.1174</v>
      </c>
      <c r="B21">
        <v>0.91269999999999996</v>
      </c>
      <c r="C21">
        <v>-1.2732000000000001</v>
      </c>
      <c r="E21" s="21">
        <f t="shared" si="0"/>
        <v>8.103333333333336E-2</v>
      </c>
    </row>
    <row r="22" spans="1:5" ht="15" customHeight="1">
      <c r="A22">
        <v>1.1842999999999999</v>
      </c>
      <c r="B22">
        <v>1.6093999999999999</v>
      </c>
      <c r="C22">
        <v>-0.20799999999999999</v>
      </c>
      <c r="E22" s="21">
        <f t="shared" si="0"/>
        <v>-0.86189999999999989</v>
      </c>
    </row>
    <row r="23" spans="1:5" ht="15" customHeight="1">
      <c r="A23">
        <v>0.60029999999999994</v>
      </c>
      <c r="B23">
        <v>-0.1249</v>
      </c>
      <c r="C23">
        <v>-0.68079999999999996</v>
      </c>
      <c r="E23" s="21">
        <f t="shared" si="0"/>
        <v>6.8466666666666676E-2</v>
      </c>
    </row>
    <row r="24" spans="1:5" ht="15" customHeight="1">
      <c r="A24">
        <v>-0.57850000000000001</v>
      </c>
      <c r="B24">
        <v>-0.25650000000000001</v>
      </c>
      <c r="C24">
        <v>1.4510000000000001</v>
      </c>
      <c r="E24" s="21">
        <f t="shared" si="0"/>
        <v>-0.20533333333333337</v>
      </c>
    </row>
    <row r="25" spans="1:5" ht="15" customHeight="1">
      <c r="A25">
        <v>-1.8834</v>
      </c>
      <c r="B25">
        <v>0.55110000000000003</v>
      </c>
      <c r="C25">
        <v>-1.5371999999999999</v>
      </c>
      <c r="E25" s="21">
        <f t="shared" si="0"/>
        <v>0.95650000000000002</v>
      </c>
    </row>
    <row r="26" spans="1:5" ht="14.25" customHeight="1">
      <c r="A26">
        <v>1.0666</v>
      </c>
      <c r="B26">
        <v>-0.55500000000000005</v>
      </c>
      <c r="C26">
        <v>-1.0502</v>
      </c>
      <c r="E26" s="21">
        <f t="shared" si="0"/>
        <v>0.17953333333333335</v>
      </c>
    </row>
    <row r="27" spans="1:5" ht="14.25" customHeight="1">
      <c r="A27">
        <v>3.7147000000000001</v>
      </c>
      <c r="B27">
        <v>0.29480000000000001</v>
      </c>
      <c r="C27">
        <v>3.36</v>
      </c>
      <c r="E27" s="21">
        <f t="shared" si="0"/>
        <v>-2.4565000000000001</v>
      </c>
    </row>
    <row r="28" spans="1:5" ht="14.25" customHeight="1">
      <c r="A28">
        <v>-0.32129999999999997</v>
      </c>
      <c r="B28">
        <v>0.89690000000000003</v>
      </c>
      <c r="C28">
        <v>-0.37880000000000003</v>
      </c>
      <c r="E28" s="21">
        <f t="shared" si="0"/>
        <v>-6.5600000000000033E-2</v>
      </c>
    </row>
    <row r="29" spans="1:5" ht="14.25" customHeight="1">
      <c r="A29">
        <v>1.3712</v>
      </c>
      <c r="B29">
        <v>-0.66879999999999995</v>
      </c>
      <c r="C29">
        <v>-0.1197</v>
      </c>
      <c r="E29" s="21">
        <f t="shared" si="0"/>
        <v>-0.19423333333333334</v>
      </c>
    </row>
    <row r="30" spans="1:5" ht="14.25" customHeight="1">
      <c r="A30">
        <v>-0.79869999999999997</v>
      </c>
      <c r="B30">
        <v>-6.0299999999999999E-2</v>
      </c>
      <c r="C30">
        <v>-0.18229999999999999</v>
      </c>
      <c r="E30" s="21">
        <f t="shared" si="0"/>
        <v>0.34709999999999996</v>
      </c>
    </row>
    <row r="31" spans="1:5" ht="14.25" customHeight="1">
      <c r="A31">
        <v>0.94899999999999995</v>
      </c>
      <c r="B31">
        <v>-5.8200000000000002E-2</v>
      </c>
      <c r="C31">
        <v>-0.1217</v>
      </c>
      <c r="E31" s="21">
        <f t="shared" si="0"/>
        <v>-0.25636666666666663</v>
      </c>
    </row>
    <row r="32" spans="1:5" ht="14.25" customHeight="1">
      <c r="A32">
        <v>-2.5322</v>
      </c>
      <c r="B32">
        <v>3.4582000000000002</v>
      </c>
      <c r="C32">
        <v>-4.8028000000000004</v>
      </c>
      <c r="E32" s="21">
        <f t="shared" si="0"/>
        <v>1.2922666666666667</v>
      </c>
    </row>
    <row r="33" spans="1:5" ht="14.25" customHeight="1">
      <c r="A33">
        <v>0.46129999999999999</v>
      </c>
      <c r="B33">
        <v>1.0112000000000001</v>
      </c>
      <c r="C33">
        <v>-0.55889999999999995</v>
      </c>
      <c r="E33" s="21">
        <f t="shared" si="0"/>
        <v>-0.30453333333333338</v>
      </c>
    </row>
    <row r="34" spans="1:5" ht="14.25" customHeight="1">
      <c r="A34">
        <v>-1.6205000000000001</v>
      </c>
      <c r="B34">
        <v>0.76239999999999997</v>
      </c>
      <c r="C34">
        <v>-0.52769999999999995</v>
      </c>
      <c r="E34" s="21">
        <f t="shared" ref="E34:E61" si="1">-SUM(A34:C34)/3</f>
        <v>0.46193333333333336</v>
      </c>
    </row>
    <row r="35" spans="1:5" ht="14.25" customHeight="1">
      <c r="A35">
        <v>4.7481999999999998</v>
      </c>
      <c r="B35">
        <v>-2.1118000000000001</v>
      </c>
      <c r="C35">
        <v>3.0093000000000001</v>
      </c>
      <c r="E35" s="21">
        <f t="shared" si="1"/>
        <v>-1.8818999999999999</v>
      </c>
    </row>
    <row r="36" spans="1:5" ht="14.25" customHeight="1">
      <c r="A36">
        <v>1.6551</v>
      </c>
      <c r="B36">
        <v>0.66859999999999997</v>
      </c>
      <c r="C36">
        <v>1.0954999999999999</v>
      </c>
      <c r="E36" s="21">
        <f t="shared" si="1"/>
        <v>-1.1397333333333333</v>
      </c>
    </row>
    <row r="37" spans="1:5" ht="14.25" customHeight="1">
      <c r="A37">
        <v>-5.1562999999999999</v>
      </c>
      <c r="B37">
        <v>1.286</v>
      </c>
      <c r="C37">
        <v>-2.0926999999999998</v>
      </c>
      <c r="E37" s="21">
        <f t="shared" si="1"/>
        <v>1.9876666666666665</v>
      </c>
    </row>
    <row r="38" spans="1:5" ht="14.25" customHeight="1">
      <c r="A38">
        <v>-1.0738000000000001</v>
      </c>
      <c r="B38">
        <v>0.5736</v>
      </c>
      <c r="C38">
        <v>0.78810000000000002</v>
      </c>
      <c r="E38" s="21">
        <f t="shared" si="1"/>
        <v>-9.5966666666666645E-2</v>
      </c>
    </row>
    <row r="39" spans="1:5" ht="14.25" customHeight="1">
      <c r="A39">
        <v>-1.2798</v>
      </c>
      <c r="B39">
        <v>-0.39679999999999999</v>
      </c>
      <c r="C39">
        <v>-1.4555</v>
      </c>
      <c r="E39" s="21">
        <f t="shared" si="1"/>
        <v>1.0440333333333334</v>
      </c>
    </row>
    <row r="40" spans="1:5" ht="14.25" customHeight="1">
      <c r="A40">
        <v>-0.77929999999999999</v>
      </c>
      <c r="B40">
        <v>-0.6159</v>
      </c>
      <c r="C40">
        <v>2.2117</v>
      </c>
      <c r="E40" s="21">
        <f t="shared" si="1"/>
        <v>-0.27216666666666667</v>
      </c>
    </row>
    <row r="41" spans="1:5" ht="14.25" customHeight="1">
      <c r="A41">
        <v>-0.36130000000000001</v>
      </c>
      <c r="B41">
        <v>-2.5366</v>
      </c>
      <c r="C41">
        <v>2.9634</v>
      </c>
      <c r="E41" s="21">
        <f t="shared" si="1"/>
        <v>-2.1833333333333371E-2</v>
      </c>
    </row>
    <row r="42" spans="1:5" ht="14.25" customHeight="1">
      <c r="A42">
        <v>0.18959999999999999</v>
      </c>
      <c r="B42">
        <v>0.88900000000000001</v>
      </c>
      <c r="C42">
        <v>-3.5207000000000002</v>
      </c>
      <c r="E42" s="21">
        <f t="shared" si="1"/>
        <v>0.81403333333333328</v>
      </c>
    </row>
    <row r="43" spans="1:5" ht="14.25" customHeight="1">
      <c r="A43">
        <v>-2.6046999999999998</v>
      </c>
      <c r="B43">
        <v>1.2735000000000001</v>
      </c>
      <c r="C43">
        <v>-4.4261999999999997</v>
      </c>
      <c r="E43" s="21">
        <f t="shared" si="1"/>
        <v>1.9191333333333331</v>
      </c>
    </row>
    <row r="44" spans="1:5" ht="14.25" customHeight="1">
      <c r="A44">
        <v>-3.1644999999999999</v>
      </c>
      <c r="B44">
        <v>1.264</v>
      </c>
      <c r="C44">
        <v>-4.5345000000000004</v>
      </c>
      <c r="E44" s="21">
        <f t="shared" si="1"/>
        <v>2.145</v>
      </c>
    </row>
    <row r="45" spans="1:5" ht="14.25" customHeight="1">
      <c r="A45">
        <v>-0.60660000000000003</v>
      </c>
      <c r="B45">
        <v>1.6454</v>
      </c>
      <c r="C45">
        <v>0.13850000000000001</v>
      </c>
      <c r="E45" s="21">
        <f t="shared" si="1"/>
        <v>-0.39243333333333336</v>
      </c>
    </row>
    <row r="46" spans="1:5" ht="14.25" customHeight="1">
      <c r="A46">
        <v>0.85950000000000004</v>
      </c>
      <c r="B46">
        <v>0.14149999999999999</v>
      </c>
      <c r="C46">
        <v>-3.6547000000000001</v>
      </c>
      <c r="E46" s="21">
        <f t="shared" si="1"/>
        <v>0.88456666666666661</v>
      </c>
    </row>
    <row r="47" spans="1:5" ht="14.25" customHeight="1">
      <c r="A47">
        <v>3.6419999999999999</v>
      </c>
      <c r="B47">
        <v>-0.34549999999999997</v>
      </c>
      <c r="C47">
        <v>2.8740999999999999</v>
      </c>
      <c r="E47" s="21">
        <f t="shared" si="1"/>
        <v>-2.0568666666666666</v>
      </c>
    </row>
    <row r="48" spans="1:5" ht="14.25" customHeight="1">
      <c r="A48">
        <v>0.66839999999999999</v>
      </c>
      <c r="B48">
        <v>1.9906999999999999</v>
      </c>
      <c r="C48">
        <v>-4.9500000000000002E-2</v>
      </c>
      <c r="E48" s="21">
        <f t="shared" si="1"/>
        <v>-0.86986666666666668</v>
      </c>
    </row>
    <row r="49" spans="1:7" ht="14.25" customHeight="1">
      <c r="A49">
        <v>1.5556000000000001</v>
      </c>
      <c r="B49">
        <v>-1.1351</v>
      </c>
      <c r="C49">
        <v>0.94469999999999998</v>
      </c>
      <c r="E49" s="21">
        <f t="shared" si="1"/>
        <v>-0.45506666666666673</v>
      </c>
    </row>
    <row r="50" spans="1:7" ht="14.25" customHeight="1">
      <c r="A50">
        <v>1.4717</v>
      </c>
      <c r="B50">
        <v>-1.3030999999999999</v>
      </c>
      <c r="C50">
        <v>1.3655999999999999</v>
      </c>
      <c r="E50" s="21">
        <f t="shared" si="1"/>
        <v>-0.51139999999999997</v>
      </c>
    </row>
    <row r="51" spans="1:7" ht="14.25" customHeight="1">
      <c r="A51">
        <v>-2.6414</v>
      </c>
      <c r="B51">
        <v>0.98419999999999996</v>
      </c>
      <c r="C51">
        <v>1.7806999999999999</v>
      </c>
      <c r="E51" s="21">
        <f t="shared" si="1"/>
        <v>-4.116666666666665E-2</v>
      </c>
    </row>
    <row r="52" spans="1:7" ht="14.25" customHeight="1">
      <c r="A52">
        <v>-1.6741999999999999</v>
      </c>
      <c r="B52">
        <v>2.6791</v>
      </c>
      <c r="C52">
        <v>-1.7593000000000001</v>
      </c>
      <c r="E52" s="21">
        <f t="shared" si="1"/>
        <v>0.25146666666666667</v>
      </c>
    </row>
    <row r="53" spans="1:7" ht="14.25" customHeight="1">
      <c r="A53">
        <v>1.5918000000000001</v>
      </c>
      <c r="B53">
        <v>-0.66969999999999996</v>
      </c>
      <c r="C53">
        <v>0.90090000000000003</v>
      </c>
      <c r="E53" s="21">
        <f t="shared" si="1"/>
        <v>-0.60766666666666669</v>
      </c>
    </row>
    <row r="54" spans="1:7" ht="14.25" customHeight="1">
      <c r="A54">
        <v>-1.4624999999999999</v>
      </c>
      <c r="B54">
        <v>-2.1408</v>
      </c>
      <c r="C54">
        <v>-2.0388999999999999</v>
      </c>
      <c r="E54" s="21">
        <f t="shared" si="1"/>
        <v>1.8807333333333334</v>
      </c>
    </row>
    <row r="55" spans="1:7" ht="14.25" customHeight="1">
      <c r="A55">
        <v>4.9099999999999998E-2</v>
      </c>
      <c r="B55">
        <v>0.65600000000000003</v>
      </c>
      <c r="C55">
        <v>0.1216</v>
      </c>
      <c r="E55" s="21">
        <f t="shared" si="1"/>
        <v>-0.27556666666666668</v>
      </c>
      <c r="G55" t="s">
        <v>38</v>
      </c>
    </row>
    <row r="56" spans="1:7" ht="14.25" customHeight="1">
      <c r="A56">
        <v>-0.26740000000000003</v>
      </c>
      <c r="B56">
        <v>3.3799999999999997E-2</v>
      </c>
      <c r="C56">
        <v>4.0254000000000003</v>
      </c>
      <c r="E56" s="21">
        <f t="shared" si="1"/>
        <v>-1.2639333333333334</v>
      </c>
    </row>
    <row r="57" spans="1:7" ht="14.25" customHeight="1">
      <c r="A57">
        <v>1.0214000000000001</v>
      </c>
      <c r="B57">
        <v>1.0945</v>
      </c>
      <c r="C57">
        <v>2.3588</v>
      </c>
      <c r="E57" s="21">
        <f t="shared" si="1"/>
        <v>-1.4915666666666667</v>
      </c>
    </row>
    <row r="58" spans="1:7" ht="14.25" customHeight="1">
      <c r="A58">
        <v>1.0679000000000001</v>
      </c>
      <c r="B58">
        <v>0.97260000000000002</v>
      </c>
      <c r="C58">
        <v>0.77810000000000001</v>
      </c>
      <c r="E58" s="21">
        <f t="shared" si="1"/>
        <v>-0.93953333333333333</v>
      </c>
    </row>
    <row r="59" spans="1:7" ht="14.25" customHeight="1">
      <c r="A59">
        <v>-5.4238999999999997</v>
      </c>
      <c r="B59">
        <v>3.2911000000000001</v>
      </c>
      <c r="C59">
        <v>-4.9794</v>
      </c>
      <c r="E59" s="21">
        <f t="shared" si="1"/>
        <v>2.3707333333333334</v>
      </c>
    </row>
    <row r="60" spans="1:7" ht="14.25" customHeight="1">
      <c r="A60">
        <v>0.41249999999999998</v>
      </c>
      <c r="B60">
        <v>0.20050000000000001</v>
      </c>
      <c r="C60">
        <v>0.21460000000000001</v>
      </c>
      <c r="E60" s="21">
        <f t="shared" si="1"/>
        <v>-0.27586666666666665</v>
      </c>
    </row>
    <row r="61" spans="1:7" ht="14.25" customHeight="1">
      <c r="A61">
        <v>4.9664999999999999</v>
      </c>
      <c r="B61">
        <v>-2.4944000000000002</v>
      </c>
      <c r="C61">
        <v>-0.2641</v>
      </c>
      <c r="E61" s="21">
        <f t="shared" si="1"/>
        <v>-0.73599999999999988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"/>
  <sheetViews>
    <sheetView zoomScaleNormal="100" workbookViewId="0"/>
  </sheetViews>
  <sheetFormatPr baseColWidth="10" defaultColWidth="8.5" defaultRowHeight="14"/>
  <cols>
    <col min="1" max="1" width="42" customWidth="1"/>
    <col min="2" max="7" width="14" customWidth="1"/>
  </cols>
  <sheetData>
    <row r="1" spans="1:6" ht="17.25" customHeight="1">
      <c r="A1" s="1" t="s">
        <v>39</v>
      </c>
    </row>
    <row r="3" spans="1:6" ht="15" customHeight="1">
      <c r="A3" s="3" t="s">
        <v>40</v>
      </c>
      <c r="B3" s="3"/>
      <c r="C3" s="3"/>
      <c r="D3" s="3"/>
      <c r="E3" s="3"/>
      <c r="F3" s="3"/>
    </row>
    <row r="4" spans="1:6" ht="15" customHeight="1">
      <c r="A4" s="2" t="s">
        <v>41</v>
      </c>
    </row>
    <row r="5" spans="1:6" ht="15" customHeight="1">
      <c r="A5" s="4" t="s">
        <v>42</v>
      </c>
      <c r="B5" s="4" t="s">
        <v>18</v>
      </c>
      <c r="C5" s="4" t="s">
        <v>19</v>
      </c>
      <c r="D5" s="4" t="s">
        <v>20</v>
      </c>
    </row>
    <row r="6" spans="1:6" ht="15" customHeight="1">
      <c r="A6" s="4" t="s">
        <v>43</v>
      </c>
      <c r="B6" s="21">
        <f>'Monthly returns'!F3</f>
        <v>-0.51863999999999999</v>
      </c>
      <c r="C6" s="21">
        <f>'Monthly returns'!G3</f>
        <v>4.7057399999999996</v>
      </c>
      <c r="D6" s="21">
        <f>'Monthly returns'!H3</f>
        <v>-0.69862000000000002</v>
      </c>
    </row>
    <row r="7" spans="1:6" ht="15" customHeight="1">
      <c r="A7" s="4" t="s">
        <v>44</v>
      </c>
      <c r="B7" s="21">
        <f>data!B2</f>
        <v>6</v>
      </c>
      <c r="C7" s="21">
        <f>data!C2</f>
        <v>2</v>
      </c>
      <c r="D7" s="21">
        <f>data!D2</f>
        <v>4</v>
      </c>
    </row>
    <row r="8" spans="1:6" ht="15" customHeight="1">
      <c r="A8" s="4" t="s">
        <v>45</v>
      </c>
      <c r="B8" s="21">
        <f>'Monthly returns'!F14</f>
        <v>1</v>
      </c>
    </row>
    <row r="9" spans="1:6" ht="15" customHeight="1">
      <c r="A9" s="4" t="s">
        <v>46</v>
      </c>
      <c r="B9" s="25">
        <v>5</v>
      </c>
    </row>
    <row r="11" spans="1:6" ht="15" customHeight="1">
      <c r="A11" s="4" t="s">
        <v>47</v>
      </c>
    </row>
    <row r="12" spans="1:6" ht="15" customHeight="1">
      <c r="A12" t="s">
        <v>18</v>
      </c>
      <c r="B12" s="26">
        <f>'Monthly returns'!F7</f>
        <v>5.5999999999999999E-3</v>
      </c>
      <c r="C12" s="26">
        <f>'Monthly returns'!G7</f>
        <v>-2E-3</v>
      </c>
      <c r="D12" s="26">
        <f>'Monthly returns'!H7</f>
        <v>3.7000000000000002E-3</v>
      </c>
    </row>
    <row r="13" spans="1:6" ht="15" customHeight="1">
      <c r="A13" t="s">
        <v>19</v>
      </c>
      <c r="B13" s="26">
        <f>'Monthly returns'!F8</f>
        <v>-2E-3</v>
      </c>
      <c r="C13" s="26">
        <f>'Monthly returns'!G8</f>
        <v>2.2000000000000001E-3</v>
      </c>
      <c r="D13" s="26">
        <f>'Monthly returns'!H8</f>
        <v>-2.2000000000000001E-3</v>
      </c>
    </row>
    <row r="14" spans="1:6" ht="15" customHeight="1">
      <c r="A14" t="s">
        <v>20</v>
      </c>
      <c r="B14" s="26">
        <f>'Monthly returns'!F9</f>
        <v>3.7000000000000002E-3</v>
      </c>
      <c r="C14" s="26">
        <f>'Monthly returns'!G9</f>
        <v>-2.2000000000000001E-3</v>
      </c>
      <c r="D14" s="26">
        <f>'Monthly returns'!H9</f>
        <v>7.4000000000000003E-3</v>
      </c>
    </row>
    <row r="16" spans="1:6" ht="15" customHeight="1">
      <c r="A16" s="4" t="s">
        <v>48</v>
      </c>
    </row>
    <row r="17" spans="1:6" ht="15" customHeight="1">
      <c r="A17" t="s">
        <v>18</v>
      </c>
      <c r="B17" s="26">
        <f>data!B6</f>
        <v>8.0000000000000002E-3</v>
      </c>
      <c r="C17" s="26">
        <f>data!C6</f>
        <v>-2E-3</v>
      </c>
      <c r="D17" s="26">
        <f>data!D6</f>
        <v>4.0000000000000001E-3</v>
      </c>
    </row>
    <row r="18" spans="1:6" ht="15" customHeight="1">
      <c r="A18" t="s">
        <v>19</v>
      </c>
      <c r="B18" s="26">
        <f>data!B7</f>
        <v>-2E-3</v>
      </c>
      <c r="C18" s="26">
        <f>data!C7</f>
        <v>2E-3</v>
      </c>
      <c r="D18" s="26">
        <f>data!D7</f>
        <v>-2E-3</v>
      </c>
    </row>
    <row r="19" spans="1:6" ht="15" customHeight="1">
      <c r="A19" t="s">
        <v>20</v>
      </c>
      <c r="B19" s="26">
        <f>data!B8</f>
        <v>4.0000000000000001E-3</v>
      </c>
      <c r="C19" s="26">
        <f>data!C8</f>
        <v>-2E-3</v>
      </c>
      <c r="D19" s="26">
        <f>data!D8</f>
        <v>8.0000000000000002E-3</v>
      </c>
    </row>
    <row r="21" spans="1:6" ht="15" customHeight="1">
      <c r="A21" s="3" t="s">
        <v>49</v>
      </c>
      <c r="B21" s="3"/>
      <c r="C21" s="3"/>
      <c r="D21" s="3"/>
      <c r="E21" s="3"/>
      <c r="F21" s="3"/>
    </row>
    <row r="22" spans="1:6" ht="15" customHeight="1">
      <c r="A22" s="2" t="s">
        <v>50</v>
      </c>
    </row>
    <row r="24" spans="1:6" ht="15" customHeight="1">
      <c r="A24" s="4" t="s">
        <v>51</v>
      </c>
      <c r="B24" s="21">
        <f>B6-$B$8</f>
        <v>-1.51864</v>
      </c>
      <c r="C24" s="21">
        <f>C6-$B$8</f>
        <v>3.7057399999999996</v>
      </c>
      <c r="D24" s="21">
        <f>D6-$B$8</f>
        <v>-1.69862</v>
      </c>
    </row>
    <row r="26" spans="1:6" ht="15" customHeight="1">
      <c r="A26" s="4" t="s">
        <v>52</v>
      </c>
    </row>
    <row r="27" spans="1:6" ht="15" customHeight="1">
      <c r="B27" s="18">
        <f>INDEX(MINVERSE($B$12:$D$14),1,1)</f>
        <v>309.97669755595297</v>
      </c>
      <c r="C27" s="18">
        <f>INDEX(MINVERSE($B$12:$D$14),1,2)</f>
        <v>180.45846203869291</v>
      </c>
      <c r="D27" s="18">
        <f>INDEX(MINVERSE($B$12:$D$14),1,3)</f>
        <v>-101.33853573944616</v>
      </c>
    </row>
    <row r="28" spans="1:6" ht="15" customHeight="1">
      <c r="B28" s="18">
        <f>INDEX(MINVERSE($B$12:$D$14),2,1)</f>
        <v>180.45846203869289</v>
      </c>
      <c r="C28" s="18">
        <f>INDEX(MINVERSE($B$12:$D$14),2,2)</f>
        <v>751.91025849455366</v>
      </c>
      <c r="D28" s="18">
        <f>INDEX(MINVERSE($B$12:$D$14),2,3)</f>
        <v>133.31165664119652</v>
      </c>
    </row>
    <row r="29" spans="1:6" ht="15" customHeight="1">
      <c r="B29" s="18">
        <f>INDEX(MINVERSE($B$12:$D$14),3,1)</f>
        <v>-101.33853573944614</v>
      </c>
      <c r="C29" s="18">
        <f>INDEX(MINVERSE($B$12:$D$14),3,2)</f>
        <v>133.31165664119655</v>
      </c>
      <c r="D29" s="18">
        <f>INDEX(MINVERSE($B$12:$D$14),3,3)</f>
        <v>225.43759822251121</v>
      </c>
    </row>
    <row r="31" spans="1:6" ht="15" customHeight="1">
      <c r="A31" s="4" t="s">
        <v>53</v>
      </c>
      <c r="B31" s="21">
        <f>SUMPRODUCT(B27:D27,$B$24:$D$24)</f>
        <v>370.12479271663142</v>
      </c>
      <c r="C31" s="21">
        <f>SUMPRODUCT(B28:D28,$B$24:$D$24)</f>
        <v>2285.8866363192974</v>
      </c>
      <c r="D31" s="21">
        <f>SUMPRODUCT(B29:D29,$B$24:$D$24)</f>
        <v>264.98227930417818</v>
      </c>
    </row>
    <row r="32" spans="1:6" ht="15" customHeight="1">
      <c r="A32" s="4" t="s">
        <v>54</v>
      </c>
      <c r="B32" s="26">
        <f>SUMPRODUCT(B31:D31,B24:D24)</f>
        <v>7458.711029191024</v>
      </c>
      <c r="C32" s="2" t="s">
        <v>55</v>
      </c>
    </row>
    <row r="33" spans="1:6" ht="15" customHeight="1">
      <c r="A33" s="4" t="s">
        <v>56</v>
      </c>
      <c r="B33" s="21">
        <f>100*SQRT(B32)</f>
        <v>8636.3829403234686</v>
      </c>
    </row>
    <row r="34" spans="1:6" ht="15" customHeight="1">
      <c r="A34" s="4" t="s">
        <v>57</v>
      </c>
      <c r="B34" s="26">
        <f>$B$9/B33</f>
        <v>5.7894607436347989E-4</v>
      </c>
    </row>
    <row r="36" spans="1:6" ht="15" customHeight="1">
      <c r="A36" s="4" t="s">
        <v>58</v>
      </c>
    </row>
    <row r="37" spans="1:6" ht="15" customHeight="1">
      <c r="A37" s="4"/>
      <c r="B37" s="4" t="s">
        <v>27</v>
      </c>
      <c r="C37" s="4" t="s">
        <v>28</v>
      </c>
      <c r="D37" s="4" t="s">
        <v>29</v>
      </c>
      <c r="E37" s="4" t="s">
        <v>59</v>
      </c>
    </row>
    <row r="38" spans="1:6" ht="15" customHeight="1">
      <c r="A38" s="4" t="s">
        <v>60</v>
      </c>
      <c r="B38" s="27">
        <f>$B$34*B31</f>
        <v>0.21428229576789048</v>
      </c>
      <c r="C38" s="27">
        <f>$B$34*C31</f>
        <v>1.3234050945369968</v>
      </c>
      <c r="D38" s="27">
        <f>$B$34*D31</f>
        <v>0.15341045037904114</v>
      </c>
      <c r="E38" s="27">
        <f>1-SUM(B38:D38)</f>
        <v>-0.69109784068392854</v>
      </c>
    </row>
    <row r="40" spans="1:6" ht="15" customHeight="1">
      <c r="A40" s="4" t="s">
        <v>61</v>
      </c>
      <c r="B40" s="26">
        <f>SUMPRODUCT(B12:D12,$B$38:$D$38)</f>
        <v>-8.7921066637135475E-4</v>
      </c>
      <c r="C40" s="26">
        <f>SUMPRODUCT(B13:D13,$B$38:$D$38)</f>
        <v>2.1454236256117218E-3</v>
      </c>
      <c r="D40" s="26">
        <f>SUMPRODUCT(B14:D14,$B$38:$D$38)</f>
        <v>-9.8340938083529427E-4</v>
      </c>
    </row>
    <row r="41" spans="1:6" ht="15" customHeight="1">
      <c r="A41" s="4" t="s">
        <v>62</v>
      </c>
      <c r="B41" s="21">
        <f>100*SQRT(SUMPRODUCT(B38:D38,B40:D40))</f>
        <v>5</v>
      </c>
      <c r="C41" s="2" t="s">
        <v>63</v>
      </c>
    </row>
    <row r="43" spans="1:6" ht="15" customHeight="1">
      <c r="A43" s="4" t="s">
        <v>64</v>
      </c>
      <c r="B43" s="26">
        <f>SUMPRODUCT(B17:D17,$B$38:$D$38)</f>
        <v>-3.1891002141470534E-4</v>
      </c>
      <c r="C43" s="26">
        <f>SUMPRODUCT(B18:D18,$B$38:$D$38)</f>
        <v>1.9114246967801304E-3</v>
      </c>
      <c r="D43" s="26">
        <f>SUMPRODUCT(B19:D19,$B$38:$D$38)</f>
        <v>-5.6239740297010267E-4</v>
      </c>
    </row>
    <row r="44" spans="1:6" ht="15" customHeight="1">
      <c r="A44" s="4" t="s">
        <v>65</v>
      </c>
      <c r="B44" s="21">
        <f>100*SQRT(SUMPRODUCT(B38:D38,B43:D43))</f>
        <v>4.8733712880601274</v>
      </c>
      <c r="C44" s="2" t="s">
        <v>66</v>
      </c>
    </row>
    <row r="46" spans="1:6" ht="15" customHeight="1">
      <c r="A46" s="3" t="s">
        <v>67</v>
      </c>
      <c r="B46" s="3"/>
      <c r="C46" s="3"/>
      <c r="D46" s="3"/>
      <c r="E46" s="3"/>
      <c r="F46" s="3"/>
    </row>
    <row r="47" spans="1:6" ht="15" customHeight="1">
      <c r="A47" s="4" t="s">
        <v>68</v>
      </c>
      <c r="B47" s="5">
        <f>SUMPRODUCT(B38:D38,B6:D6)+E38*B8</f>
        <v>5.3181914701617341</v>
      </c>
      <c r="C47" s="2" t="s">
        <v>69</v>
      </c>
    </row>
    <row r="48" spans="1:6" ht="15" customHeight="1">
      <c r="A48" s="4" t="s">
        <v>70</v>
      </c>
      <c r="B48" s="5">
        <f>SUMPRODUCT(B38:D38,B7:D7)+E38*B8</f>
        <v>3.8550479245135723</v>
      </c>
      <c r="C48" s="2" t="s">
        <v>71</v>
      </c>
    </row>
    <row r="50" spans="1:6" ht="15" customHeight="1">
      <c r="A50" s="2" t="s">
        <v>72</v>
      </c>
    </row>
    <row r="52" spans="1:6" ht="15" customHeight="1">
      <c r="A52" s="3" t="s">
        <v>73</v>
      </c>
      <c r="B52" s="3"/>
      <c r="C52" s="3"/>
      <c r="D52" s="3"/>
      <c r="E52" s="3"/>
      <c r="F52" s="3"/>
    </row>
    <row r="53" spans="1:6" ht="15" customHeight="1">
      <c r="A53" s="2" t="s">
        <v>74</v>
      </c>
    </row>
    <row r="55" spans="1:6" ht="15" customHeight="1">
      <c r="B55" s="4" t="s">
        <v>27</v>
      </c>
      <c r="C55" s="4" t="s">
        <v>28</v>
      </c>
      <c r="D55" s="4" t="s">
        <v>29</v>
      </c>
      <c r="E55" s="4" t="s">
        <v>59</v>
      </c>
    </row>
    <row r="56" spans="1:6" ht="15" customHeight="1">
      <c r="A56" s="4" t="s">
        <v>75</v>
      </c>
      <c r="B56" s="25">
        <v>0</v>
      </c>
      <c r="C56" s="25">
        <v>0</v>
      </c>
      <c r="D56" s="25">
        <v>0</v>
      </c>
      <c r="E56" s="25">
        <v>1</v>
      </c>
    </row>
    <row r="57" spans="1:6" ht="15" customHeight="1">
      <c r="A57" s="4" t="s">
        <v>76</v>
      </c>
      <c r="B57" s="28">
        <f>SUM(B56:E56)</f>
        <v>1</v>
      </c>
      <c r="C57" s="4">
        <f>1</f>
        <v>1</v>
      </c>
    </row>
    <row r="58" spans="1:6" ht="15" customHeight="1">
      <c r="A58" s="4" t="s">
        <v>61</v>
      </c>
      <c r="B58" s="26">
        <f>SUMPRODUCT(B12:D12,$B$56:$D$56)</f>
        <v>0</v>
      </c>
      <c r="C58" s="26">
        <f>SUMPRODUCT(B13:D13,$B$56:$D$56)</f>
        <v>0</v>
      </c>
      <c r="D58" s="26">
        <f>SUMPRODUCT(B14:D14,$B$56:$D$56)</f>
        <v>0</v>
      </c>
    </row>
    <row r="59" spans="1:6" ht="15" customHeight="1">
      <c r="A59" s="4" t="s">
        <v>77</v>
      </c>
      <c r="B59" s="28">
        <f>100*SQRT(SUMPRODUCT(B56:D56,B58:D58))</f>
        <v>0</v>
      </c>
      <c r="C59" s="4" t="s">
        <v>78</v>
      </c>
    </row>
    <row r="60" spans="1:6" ht="15" customHeight="1">
      <c r="A60" s="4" t="s">
        <v>79</v>
      </c>
      <c r="B60" s="29">
        <f>SUMPRODUCT(B56:D56,B6:D6)+E56*B8</f>
        <v>1</v>
      </c>
    </row>
    <row r="62" spans="1:6" ht="15" customHeight="1">
      <c r="A62" s="2" t="s">
        <v>80</v>
      </c>
    </row>
    <row r="63" spans="1:6" ht="15" customHeight="1">
      <c r="A63" s="2" t="s">
        <v>81</v>
      </c>
    </row>
    <row r="64" spans="1:6" ht="15" customHeight="1">
      <c r="A64" s="2" t="s">
        <v>82</v>
      </c>
    </row>
    <row r="65" spans="1:1" ht="15" customHeight="1">
      <c r="A65" s="2" t="s">
        <v>83</v>
      </c>
    </row>
    <row r="66" spans="1:1" ht="15" customHeight="1">
      <c r="A66" s="2" t="s">
        <v>84</v>
      </c>
    </row>
    <row r="67" spans="1:1" ht="15" customHeight="1">
      <c r="A67" s="2" t="s">
        <v>85</v>
      </c>
    </row>
    <row r="68" spans="1:1" ht="15" customHeight="1">
      <c r="A68" s="2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4"/>
  <sheetViews>
    <sheetView tabSelected="1" zoomScaleNormal="100" workbookViewId="0">
      <selection activeCell="B83" sqref="B83"/>
    </sheetView>
  </sheetViews>
  <sheetFormatPr baseColWidth="10" defaultColWidth="8.5" defaultRowHeight="14"/>
  <cols>
    <col min="1" max="1" width="46" customWidth="1"/>
    <col min="2" max="7" width="14" customWidth="1"/>
  </cols>
  <sheetData>
    <row r="1" spans="1:6" ht="17.25" customHeight="1">
      <c r="A1" s="1" t="s">
        <v>87</v>
      </c>
    </row>
    <row r="3" spans="1:6" ht="15" customHeight="1">
      <c r="A3" s="3" t="s">
        <v>88</v>
      </c>
      <c r="B3" s="3"/>
      <c r="C3" s="3"/>
      <c r="D3" s="3"/>
      <c r="E3" s="3"/>
      <c r="F3" s="3"/>
    </row>
    <row r="4" spans="1:6" ht="15" customHeight="1">
      <c r="A4" s="2" t="s">
        <v>89</v>
      </c>
    </row>
    <row r="6" spans="1:6" ht="15" customHeight="1">
      <c r="A6" s="4" t="s">
        <v>90</v>
      </c>
      <c r="B6" s="4" t="s">
        <v>91</v>
      </c>
      <c r="C6" s="4" t="s">
        <v>92</v>
      </c>
    </row>
    <row r="7" spans="1:6" ht="15" customHeight="1">
      <c r="A7">
        <v>1</v>
      </c>
      <c r="B7" s="21">
        <f>Value_at_risk!E2</f>
        <v>-1.1168</v>
      </c>
      <c r="C7" s="21">
        <f>SMALL($B$7:$B$66,1)</f>
        <v>-2.8887666666666667</v>
      </c>
    </row>
    <row r="8" spans="1:6" ht="15" customHeight="1">
      <c r="A8">
        <v>2</v>
      </c>
      <c r="B8" s="21">
        <f>Value_at_risk!E3</f>
        <v>-1.3564999999999998</v>
      </c>
      <c r="C8" s="21">
        <f>SMALL($B$7:$B$66,2)</f>
        <v>-2.4565000000000001</v>
      </c>
    </row>
    <row r="9" spans="1:6" ht="15" customHeight="1">
      <c r="A9">
        <v>3</v>
      </c>
      <c r="B9" s="21">
        <f>Value_at_risk!E4</f>
        <v>1.3753666666666666</v>
      </c>
      <c r="C9" s="21">
        <f>SMALL($B$7:$B$66,3)</f>
        <v>-2.0568666666666666</v>
      </c>
    </row>
    <row r="10" spans="1:6" ht="15" customHeight="1">
      <c r="A10">
        <v>4</v>
      </c>
      <c r="B10" s="21">
        <f>Value_at_risk!E5</f>
        <v>-1.0396333333333334</v>
      </c>
      <c r="C10" s="21">
        <f>SMALL($B$7:$B$66,4)</f>
        <v>-1.9092</v>
      </c>
    </row>
    <row r="11" spans="1:6" ht="15" customHeight="1">
      <c r="A11">
        <v>5</v>
      </c>
      <c r="B11" s="21">
        <f>Value_at_risk!E6</f>
        <v>0.56623333333333337</v>
      </c>
      <c r="C11" s="21">
        <f>SMALL($B$7:$B$66,5)</f>
        <v>-1.8818999999999999</v>
      </c>
    </row>
    <row r="12" spans="1:6" ht="15" customHeight="1">
      <c r="A12">
        <v>6</v>
      </c>
      <c r="B12" s="21">
        <f>Value_at_risk!E7</f>
        <v>-4.9666666666667858E-3</v>
      </c>
      <c r="C12" s="21">
        <f>SMALL($B$7:$B$66,6)</f>
        <v>-1.4915666666666667</v>
      </c>
    </row>
    <row r="13" spans="1:6" ht="15" customHeight="1">
      <c r="A13">
        <v>7</v>
      </c>
      <c r="B13" s="21">
        <f>Value_at_risk!E8</f>
        <v>-1.9092</v>
      </c>
      <c r="C13" s="21">
        <f>SMALL($B$7:$B$66,7)</f>
        <v>-1.3564999999999998</v>
      </c>
    </row>
    <row r="14" spans="1:6" ht="15" customHeight="1">
      <c r="A14">
        <v>8</v>
      </c>
      <c r="B14" s="21">
        <f>Value_at_risk!E9</f>
        <v>1.1038999999999999</v>
      </c>
      <c r="C14" s="21">
        <f>SMALL($B$7:$B$66,8)</f>
        <v>-1.3045333333333333</v>
      </c>
    </row>
    <row r="15" spans="1:6" ht="15" customHeight="1">
      <c r="A15">
        <v>9</v>
      </c>
      <c r="B15" s="21">
        <f>Value_at_risk!E10</f>
        <v>-0.23323333333333332</v>
      </c>
      <c r="C15" s="21">
        <f>SMALL($B$7:$B$66,9)</f>
        <v>-1.2639333333333334</v>
      </c>
    </row>
    <row r="16" spans="1:6" ht="15" customHeight="1">
      <c r="A16">
        <v>10</v>
      </c>
      <c r="B16" s="21">
        <f>Value_at_risk!E11</f>
        <v>-0.66776666666666673</v>
      </c>
      <c r="C16" s="21">
        <f>SMALL($B$7:$B$66,10)</f>
        <v>-1.1397333333333333</v>
      </c>
    </row>
    <row r="17" spans="1:3" ht="15" customHeight="1">
      <c r="A17">
        <v>11</v>
      </c>
      <c r="B17" s="21">
        <f>Value_at_risk!E12</f>
        <v>-1.3045333333333333</v>
      </c>
      <c r="C17" s="21">
        <f>SMALL($B$7:$B$66,11)</f>
        <v>-1.1168</v>
      </c>
    </row>
    <row r="18" spans="1:3" ht="15" customHeight="1">
      <c r="A18">
        <v>12</v>
      </c>
      <c r="B18" s="21">
        <f>Value_at_risk!E13</f>
        <v>0.82286666666666664</v>
      </c>
      <c r="C18" s="21">
        <f>SMALL($B$7:$B$66,12)</f>
        <v>-1.0396333333333334</v>
      </c>
    </row>
    <row r="19" spans="1:3" ht="15" customHeight="1">
      <c r="A19">
        <v>13</v>
      </c>
      <c r="B19" s="21">
        <f>Value_at_risk!E14</f>
        <v>0.96163333333333345</v>
      </c>
      <c r="C19" s="21">
        <f>SMALL($B$7:$B$66,13)</f>
        <v>-0.96853333333333336</v>
      </c>
    </row>
    <row r="20" spans="1:3" ht="15" customHeight="1">
      <c r="A20">
        <v>14</v>
      </c>
      <c r="B20" s="21">
        <f>Value_at_risk!E15</f>
        <v>-0.96853333333333336</v>
      </c>
      <c r="C20" s="21">
        <f>SMALL($B$7:$B$66,14)</f>
        <v>-0.95113333333333328</v>
      </c>
    </row>
    <row r="21" spans="1:3" ht="15" customHeight="1">
      <c r="A21">
        <v>15</v>
      </c>
      <c r="B21" s="21">
        <f>Value_at_risk!E16</f>
        <v>1.0630999999999999</v>
      </c>
      <c r="C21" s="21">
        <f>SMALL($B$7:$B$66,15)</f>
        <v>-0.93953333333333333</v>
      </c>
    </row>
    <row r="22" spans="1:3" ht="15" customHeight="1">
      <c r="A22">
        <v>16</v>
      </c>
      <c r="B22" s="21">
        <f>Value_at_risk!E17</f>
        <v>-2.8887666666666667</v>
      </c>
      <c r="C22" s="21">
        <f>SMALL($B$7:$B$66,16)</f>
        <v>-0.86986666666666668</v>
      </c>
    </row>
    <row r="23" spans="1:3" ht="15" customHeight="1">
      <c r="A23">
        <v>17</v>
      </c>
      <c r="B23" s="21">
        <f>Value_at_risk!E18</f>
        <v>0.60219999999999996</v>
      </c>
      <c r="C23" s="21">
        <f>SMALL($B$7:$B$66,17)</f>
        <v>-0.86189999999999989</v>
      </c>
    </row>
    <row r="24" spans="1:3" ht="15" customHeight="1">
      <c r="A24">
        <v>18</v>
      </c>
      <c r="B24" s="21">
        <f>Value_at_risk!E19</f>
        <v>1.1204333333333334</v>
      </c>
      <c r="C24" s="21">
        <f>SMALL($B$7:$B$66,18)</f>
        <v>-0.73599999999999988</v>
      </c>
    </row>
    <row r="25" spans="1:3" ht="15" customHeight="1">
      <c r="A25">
        <v>19</v>
      </c>
      <c r="B25" s="21">
        <f>Value_at_risk!E20</f>
        <v>-0.95113333333333328</v>
      </c>
      <c r="C25" s="21">
        <f>SMALL($B$7:$B$66,19)</f>
        <v>-0.66776666666666673</v>
      </c>
    </row>
    <row r="26" spans="1:3" ht="15" customHeight="1">
      <c r="A26">
        <v>20</v>
      </c>
      <c r="B26" s="21">
        <f>Value_at_risk!E21</f>
        <v>8.103333333333336E-2</v>
      </c>
      <c r="C26" s="21">
        <f>SMALL($B$7:$B$66,20)</f>
        <v>-0.60766666666666669</v>
      </c>
    </row>
    <row r="27" spans="1:3" ht="15" customHeight="1">
      <c r="A27">
        <v>21</v>
      </c>
      <c r="B27" s="21">
        <f>Value_at_risk!E22</f>
        <v>-0.86189999999999989</v>
      </c>
      <c r="C27" s="21">
        <f>SMALL($B$7:$B$66,21)</f>
        <v>-0.51139999999999997</v>
      </c>
    </row>
    <row r="28" spans="1:3" ht="15" customHeight="1">
      <c r="A28">
        <v>22</v>
      </c>
      <c r="B28" s="21">
        <f>Value_at_risk!E23</f>
        <v>6.8466666666666676E-2</v>
      </c>
      <c r="C28" s="21">
        <f>SMALL($B$7:$B$66,22)</f>
        <v>-0.45506666666666673</v>
      </c>
    </row>
    <row r="29" spans="1:3" ht="15" customHeight="1">
      <c r="A29">
        <v>23</v>
      </c>
      <c r="B29" s="21">
        <f>Value_at_risk!E24</f>
        <v>-0.20533333333333337</v>
      </c>
      <c r="C29" s="21">
        <f>SMALL($B$7:$B$66,23)</f>
        <v>-0.39243333333333336</v>
      </c>
    </row>
    <row r="30" spans="1:3" ht="15" customHeight="1">
      <c r="A30">
        <v>24</v>
      </c>
      <c r="B30" s="21">
        <f>Value_at_risk!E25</f>
        <v>0.95650000000000002</v>
      </c>
      <c r="C30" s="21">
        <f>SMALL($B$7:$B$66,24)</f>
        <v>-0.30453333333333338</v>
      </c>
    </row>
    <row r="31" spans="1:3" ht="15" customHeight="1">
      <c r="A31">
        <v>25</v>
      </c>
      <c r="B31" s="21">
        <f>Value_at_risk!E26</f>
        <v>0.17953333333333335</v>
      </c>
      <c r="C31" s="21">
        <f>SMALL($B$7:$B$66,25)</f>
        <v>-0.27586666666666665</v>
      </c>
    </row>
    <row r="32" spans="1:3" ht="15" customHeight="1">
      <c r="A32">
        <v>26</v>
      </c>
      <c r="B32" s="21">
        <f>Value_at_risk!E27</f>
        <v>-2.4565000000000001</v>
      </c>
      <c r="C32" s="21">
        <f>SMALL($B$7:$B$66,26)</f>
        <v>-0.27556666666666668</v>
      </c>
    </row>
    <row r="33" spans="1:3" ht="15" customHeight="1">
      <c r="A33">
        <v>27</v>
      </c>
      <c r="B33" s="21">
        <f>Value_at_risk!E28</f>
        <v>-6.5600000000000033E-2</v>
      </c>
      <c r="C33" s="21">
        <f>SMALL($B$7:$B$66,27)</f>
        <v>-0.27216666666666667</v>
      </c>
    </row>
    <row r="34" spans="1:3" ht="15" customHeight="1">
      <c r="A34">
        <v>28</v>
      </c>
      <c r="B34" s="21">
        <f>Value_at_risk!E29</f>
        <v>-0.19423333333333334</v>
      </c>
      <c r="C34" s="21">
        <f>SMALL($B$7:$B$66,28)</f>
        <v>-0.25636666666666663</v>
      </c>
    </row>
    <row r="35" spans="1:3" ht="15" customHeight="1">
      <c r="A35">
        <v>29</v>
      </c>
      <c r="B35" s="21">
        <f>Value_at_risk!E30</f>
        <v>0.34709999999999996</v>
      </c>
      <c r="C35" s="21">
        <f>SMALL($B$7:$B$66,29)</f>
        <v>-0.23323333333333332</v>
      </c>
    </row>
    <row r="36" spans="1:3" ht="15" customHeight="1">
      <c r="A36">
        <v>30</v>
      </c>
      <c r="B36" s="21">
        <f>Value_at_risk!E31</f>
        <v>-0.25636666666666663</v>
      </c>
      <c r="C36" s="21">
        <f>SMALL($B$7:$B$66,30)</f>
        <v>-0.20533333333333337</v>
      </c>
    </row>
    <row r="37" spans="1:3" ht="15" customHeight="1">
      <c r="A37">
        <v>31</v>
      </c>
      <c r="B37" s="21">
        <f>Value_at_risk!E32</f>
        <v>1.2922666666666667</v>
      </c>
      <c r="C37" s="21">
        <f>SMALL($B$7:$B$66,31)</f>
        <v>-0.19423333333333334</v>
      </c>
    </row>
    <row r="38" spans="1:3" ht="15" customHeight="1">
      <c r="A38">
        <v>32</v>
      </c>
      <c r="B38" s="21">
        <f>Value_at_risk!E33</f>
        <v>-0.30453333333333338</v>
      </c>
      <c r="C38" s="21">
        <f>SMALL($B$7:$B$66,32)</f>
        <v>-9.5966666666666645E-2</v>
      </c>
    </row>
    <row r="39" spans="1:3" ht="15" customHeight="1">
      <c r="A39">
        <v>33</v>
      </c>
      <c r="B39" s="21">
        <f>Value_at_risk!E34</f>
        <v>0.46193333333333336</v>
      </c>
      <c r="C39" s="21">
        <f>SMALL($B$7:$B$66,33)</f>
        <v>-6.5600000000000033E-2</v>
      </c>
    </row>
    <row r="40" spans="1:3" ht="15" customHeight="1">
      <c r="A40">
        <v>34</v>
      </c>
      <c r="B40" s="21">
        <f>Value_at_risk!E35</f>
        <v>-1.8818999999999999</v>
      </c>
      <c r="C40" s="21">
        <f>SMALL($B$7:$B$66,34)</f>
        <v>-4.116666666666665E-2</v>
      </c>
    </row>
    <row r="41" spans="1:3" ht="15" customHeight="1">
      <c r="A41">
        <v>35</v>
      </c>
      <c r="B41" s="21">
        <f>Value_at_risk!E36</f>
        <v>-1.1397333333333333</v>
      </c>
      <c r="C41" s="21">
        <f>SMALL($B$7:$B$66,35)</f>
        <v>-2.1833333333333371E-2</v>
      </c>
    </row>
    <row r="42" spans="1:3" ht="15" customHeight="1">
      <c r="A42">
        <v>36</v>
      </c>
      <c r="B42" s="21">
        <f>Value_at_risk!E37</f>
        <v>1.9876666666666665</v>
      </c>
      <c r="C42" s="21">
        <f>SMALL($B$7:$B$66,36)</f>
        <v>-4.9666666666667858E-3</v>
      </c>
    </row>
    <row r="43" spans="1:3" ht="15" customHeight="1">
      <c r="A43">
        <v>37</v>
      </c>
      <c r="B43" s="21">
        <f>Value_at_risk!E38</f>
        <v>-9.5966666666666645E-2</v>
      </c>
      <c r="C43" s="21">
        <f>SMALL($B$7:$B$66,37)</f>
        <v>6.8466666666666676E-2</v>
      </c>
    </row>
    <row r="44" spans="1:3" ht="15" customHeight="1">
      <c r="A44">
        <v>38</v>
      </c>
      <c r="B44" s="21">
        <f>Value_at_risk!E39</f>
        <v>1.0440333333333334</v>
      </c>
      <c r="C44" s="21">
        <f>SMALL($B$7:$B$66,38)</f>
        <v>8.103333333333336E-2</v>
      </c>
    </row>
    <row r="45" spans="1:3" ht="15" customHeight="1">
      <c r="A45">
        <v>39</v>
      </c>
      <c r="B45" s="21">
        <f>Value_at_risk!E40</f>
        <v>-0.27216666666666667</v>
      </c>
      <c r="C45" s="21">
        <f>SMALL($B$7:$B$66,39)</f>
        <v>0.17953333333333335</v>
      </c>
    </row>
    <row r="46" spans="1:3" ht="15" customHeight="1">
      <c r="A46">
        <v>40</v>
      </c>
      <c r="B46" s="21">
        <f>Value_at_risk!E41</f>
        <v>-2.1833333333333371E-2</v>
      </c>
      <c r="C46" s="21">
        <f>SMALL($B$7:$B$66,40)</f>
        <v>0.25146666666666667</v>
      </c>
    </row>
    <row r="47" spans="1:3" ht="15" customHeight="1">
      <c r="A47">
        <v>41</v>
      </c>
      <c r="B47" s="21">
        <f>Value_at_risk!E42</f>
        <v>0.81403333333333328</v>
      </c>
      <c r="C47" s="21">
        <f>SMALL($B$7:$B$66,41)</f>
        <v>0.34709999999999996</v>
      </c>
    </row>
    <row r="48" spans="1:3" ht="15" customHeight="1">
      <c r="A48">
        <v>42</v>
      </c>
      <c r="B48" s="21">
        <f>Value_at_risk!E43</f>
        <v>1.9191333333333331</v>
      </c>
      <c r="C48" s="21">
        <f>SMALL($B$7:$B$66,42)</f>
        <v>0.46193333333333336</v>
      </c>
    </row>
    <row r="49" spans="1:3" ht="15" customHeight="1">
      <c r="A49">
        <v>43</v>
      </c>
      <c r="B49" s="21">
        <f>Value_at_risk!E44</f>
        <v>2.145</v>
      </c>
      <c r="C49" s="21">
        <f>SMALL($B$7:$B$66,43)</f>
        <v>0.56623333333333337</v>
      </c>
    </row>
    <row r="50" spans="1:3" ht="15" customHeight="1">
      <c r="A50">
        <v>44</v>
      </c>
      <c r="B50" s="21">
        <f>Value_at_risk!E45</f>
        <v>-0.39243333333333336</v>
      </c>
      <c r="C50" s="21">
        <f>SMALL($B$7:$B$66,44)</f>
        <v>0.60219999999999996</v>
      </c>
    </row>
    <row r="51" spans="1:3" ht="15" customHeight="1">
      <c r="A51">
        <v>45</v>
      </c>
      <c r="B51" s="21">
        <f>Value_at_risk!E46</f>
        <v>0.88456666666666661</v>
      </c>
      <c r="C51" s="21">
        <f>SMALL($B$7:$B$66,45)</f>
        <v>0.81403333333333328</v>
      </c>
    </row>
    <row r="52" spans="1:3" ht="15" customHeight="1">
      <c r="A52">
        <v>46</v>
      </c>
      <c r="B52" s="21">
        <f>Value_at_risk!E47</f>
        <v>-2.0568666666666666</v>
      </c>
      <c r="C52" s="21">
        <f>SMALL($B$7:$B$66,46)</f>
        <v>0.82286666666666664</v>
      </c>
    </row>
    <row r="53" spans="1:3" ht="15" customHeight="1">
      <c r="A53">
        <v>47</v>
      </c>
      <c r="B53" s="21">
        <f>Value_at_risk!E48</f>
        <v>-0.86986666666666668</v>
      </c>
      <c r="C53" s="21">
        <f>SMALL($B$7:$B$66,47)</f>
        <v>0.88456666666666661</v>
      </c>
    </row>
    <row r="54" spans="1:3" ht="15" customHeight="1">
      <c r="A54">
        <v>48</v>
      </c>
      <c r="B54" s="21">
        <f>Value_at_risk!E49</f>
        <v>-0.45506666666666673</v>
      </c>
      <c r="C54" s="21">
        <f>SMALL($B$7:$B$66,48)</f>
        <v>0.95650000000000002</v>
      </c>
    </row>
    <row r="55" spans="1:3" ht="15" customHeight="1">
      <c r="A55">
        <v>49</v>
      </c>
      <c r="B55" s="21">
        <f>Value_at_risk!E50</f>
        <v>-0.51139999999999997</v>
      </c>
      <c r="C55" s="21">
        <f>SMALL($B$7:$B$66,49)</f>
        <v>0.96163333333333345</v>
      </c>
    </row>
    <row r="56" spans="1:3" ht="15" customHeight="1">
      <c r="A56">
        <v>50</v>
      </c>
      <c r="B56" s="21">
        <f>Value_at_risk!E51</f>
        <v>-4.116666666666665E-2</v>
      </c>
      <c r="C56" s="21">
        <f>SMALL($B$7:$B$66,50)</f>
        <v>1.0440333333333334</v>
      </c>
    </row>
    <row r="57" spans="1:3" ht="15" customHeight="1">
      <c r="A57">
        <v>51</v>
      </c>
      <c r="B57" s="21">
        <f>Value_at_risk!E52</f>
        <v>0.25146666666666667</v>
      </c>
      <c r="C57" s="21">
        <f>SMALL($B$7:$B$66,51)</f>
        <v>1.0630999999999999</v>
      </c>
    </row>
    <row r="58" spans="1:3" ht="15" customHeight="1">
      <c r="A58">
        <v>52</v>
      </c>
      <c r="B58" s="21">
        <f>Value_at_risk!E53</f>
        <v>-0.60766666666666669</v>
      </c>
      <c r="C58" s="21">
        <f>SMALL($B$7:$B$66,52)</f>
        <v>1.1038999999999999</v>
      </c>
    </row>
    <row r="59" spans="1:3" ht="15" customHeight="1">
      <c r="A59">
        <v>53</v>
      </c>
      <c r="B59" s="21">
        <f>Value_at_risk!E54</f>
        <v>1.8807333333333334</v>
      </c>
      <c r="C59" s="21">
        <f>SMALL($B$7:$B$66,53)</f>
        <v>1.1204333333333334</v>
      </c>
    </row>
    <row r="60" spans="1:3" ht="15" customHeight="1">
      <c r="A60">
        <v>54</v>
      </c>
      <c r="B60" s="21">
        <f>Value_at_risk!E55</f>
        <v>-0.27556666666666668</v>
      </c>
      <c r="C60" s="21">
        <f>SMALL($B$7:$B$66,54)</f>
        <v>1.2922666666666667</v>
      </c>
    </row>
    <row r="61" spans="1:3" ht="15" customHeight="1">
      <c r="A61">
        <v>55</v>
      </c>
      <c r="B61" s="21">
        <f>Value_at_risk!E56</f>
        <v>-1.2639333333333334</v>
      </c>
      <c r="C61" s="21">
        <f>SMALL($B$7:$B$66,55)</f>
        <v>1.3753666666666666</v>
      </c>
    </row>
    <row r="62" spans="1:3" ht="15" customHeight="1">
      <c r="A62">
        <v>56</v>
      </c>
      <c r="B62" s="21">
        <f>Value_at_risk!E57</f>
        <v>-1.4915666666666667</v>
      </c>
      <c r="C62" s="21">
        <f>SMALL($B$7:$B$66,56)</f>
        <v>1.8807333333333334</v>
      </c>
    </row>
    <row r="63" spans="1:3" ht="15" customHeight="1">
      <c r="A63">
        <v>57</v>
      </c>
      <c r="B63" s="21">
        <f>Value_at_risk!E58</f>
        <v>-0.93953333333333333</v>
      </c>
      <c r="C63" s="21">
        <f>SMALL($B$7:$B$66,57)</f>
        <v>1.9191333333333331</v>
      </c>
    </row>
    <row r="64" spans="1:3" ht="15" customHeight="1">
      <c r="A64">
        <v>58</v>
      </c>
      <c r="B64" s="21">
        <f>Value_at_risk!E59</f>
        <v>2.3707333333333334</v>
      </c>
      <c r="C64" s="21">
        <f>SMALL($B$7:$B$66,58)</f>
        <v>1.9876666666666665</v>
      </c>
    </row>
    <row r="65" spans="1:6" ht="15" customHeight="1">
      <c r="A65">
        <v>59</v>
      </c>
      <c r="B65" s="21">
        <f>Value_at_risk!E60</f>
        <v>-0.27586666666666665</v>
      </c>
      <c r="C65" s="21">
        <f>SMALL($B$7:$B$66,59)</f>
        <v>2.145</v>
      </c>
    </row>
    <row r="66" spans="1:6" ht="15" customHeight="1">
      <c r="A66">
        <v>60</v>
      </c>
      <c r="B66" s="21">
        <f>Value_at_risk!E61</f>
        <v>-0.73599999999999988</v>
      </c>
      <c r="C66" s="21">
        <f>SMALL($B$7:$B$66,60)</f>
        <v>2.3707333333333334</v>
      </c>
    </row>
    <row r="68" spans="1:6" ht="15" customHeight="1">
      <c r="A68" s="3" t="s">
        <v>93</v>
      </c>
      <c r="B68" s="3"/>
      <c r="C68" s="3"/>
      <c r="D68" s="3"/>
      <c r="E68" s="3"/>
      <c r="F68" s="3"/>
    </row>
    <row r="69" spans="1:6" ht="15" customHeight="1">
      <c r="A69" s="4" t="s">
        <v>94</v>
      </c>
      <c r="B69" s="30">
        <v>0.9</v>
      </c>
    </row>
    <row r="70" spans="1:6" ht="15" customHeight="1">
      <c r="A70" s="4" t="s">
        <v>95</v>
      </c>
      <c r="B70" s="31">
        <f>COUNT($B$7:$B$66)</f>
        <v>60</v>
      </c>
    </row>
    <row r="71" spans="1:6" ht="15" customHeight="1">
      <c r="A71" s="4" t="s">
        <v>96</v>
      </c>
      <c r="B71" s="31">
        <f>ROUND(B70*(1-B69),0)</f>
        <v>6</v>
      </c>
    </row>
    <row r="73" spans="1:6" ht="15" customHeight="1">
      <c r="A73" s="2" t="s">
        <v>97</v>
      </c>
    </row>
    <row r="74" spans="1:6" ht="15" customHeight="1">
      <c r="A74" s="4" t="s">
        <v>98</v>
      </c>
      <c r="B74" s="5">
        <f>PERCENTILE($B$7:$B$66,B69)</f>
        <v>1.3005766666666667</v>
      </c>
      <c r="C74" s="2" t="s">
        <v>99</v>
      </c>
    </row>
    <row r="76" spans="1:6" ht="15" customHeight="1">
      <c r="A76" s="2" t="s">
        <v>100</v>
      </c>
      <c r="B76" s="32"/>
      <c r="C76" s="32"/>
      <c r="D76" s="32"/>
      <c r="E76" s="32"/>
      <c r="F76" s="32"/>
    </row>
    <row r="77" spans="1:6" ht="15" customHeight="1">
      <c r="A77" s="4" t="s">
        <v>101</v>
      </c>
      <c r="B77" s="33"/>
      <c r="C77" s="32"/>
      <c r="D77" s="32"/>
      <c r="E77" s="32"/>
      <c r="F77" s="32"/>
    </row>
    <row r="78" spans="1:6" ht="15" customHeight="1">
      <c r="A78" s="2" t="s">
        <v>102</v>
      </c>
      <c r="B78" s="32"/>
      <c r="C78" s="32"/>
      <c r="D78" s="32"/>
      <c r="E78" s="32"/>
      <c r="F78" s="32"/>
    </row>
    <row r="79" spans="1:6" ht="15" customHeight="1">
      <c r="A79" s="32"/>
      <c r="B79" s="33"/>
      <c r="C79" s="32"/>
      <c r="D79" s="32"/>
      <c r="E79" s="32"/>
      <c r="F79" s="32"/>
    </row>
    <row r="80" spans="1:6" ht="15" customHeight="1">
      <c r="A80" s="4" t="s">
        <v>103</v>
      </c>
      <c r="B80" s="34">
        <f>CEILING(B69*B70,1)</f>
        <v>54</v>
      </c>
      <c r="C80" s="2" t="s">
        <v>104</v>
      </c>
      <c r="D80" s="32"/>
      <c r="E80" s="32"/>
      <c r="F80" s="32"/>
    </row>
    <row r="81" spans="1:6" ht="15" customHeight="1">
      <c r="A81" s="4" t="s">
        <v>105</v>
      </c>
      <c r="B81" s="34">
        <f>B70-B80+1</f>
        <v>7</v>
      </c>
      <c r="C81" s="2" t="s">
        <v>106</v>
      </c>
      <c r="D81" s="32"/>
      <c r="E81" s="32"/>
      <c r="F81" s="32"/>
    </row>
    <row r="82" spans="1:6" ht="15" customHeight="1">
      <c r="A82" s="4" t="s">
        <v>107</v>
      </c>
      <c r="B82" s="34">
        <f>(1-B69)*B70</f>
        <v>5.9999999999999982</v>
      </c>
      <c r="C82" s="2" t="s">
        <v>108</v>
      </c>
      <c r="D82" s="32"/>
      <c r="E82" s="32"/>
      <c r="F82" s="32"/>
    </row>
    <row r="83" spans="1:6" ht="15" customHeight="1">
      <c r="A83" s="4" t="s">
        <v>109</v>
      </c>
      <c r="B83" s="33">
        <f ca="1">SUMPRODUCT(LARGE($B$7:$B$66,ROW(INDIRECT("1:"&amp;B81))))</f>
        <v>12.9709</v>
      </c>
      <c r="C83" s="2" t="s">
        <v>110</v>
      </c>
      <c r="D83" s="32"/>
      <c r="E83" s="32"/>
      <c r="F83" s="32"/>
    </row>
    <row r="84" spans="1:6" ht="15" customHeight="1">
      <c r="A84" s="32"/>
      <c r="B84" s="32"/>
      <c r="C84" s="32"/>
      <c r="D84" s="32"/>
      <c r="E84" s="32"/>
      <c r="F84" s="32"/>
    </row>
    <row r="85" spans="1:6" ht="15" customHeight="1">
      <c r="A85" s="4" t="s">
        <v>111</v>
      </c>
      <c r="B85" s="5">
        <f ca="1">B83/B82</f>
        <v>2.1618166666666672</v>
      </c>
      <c r="C85" s="2" t="s">
        <v>112</v>
      </c>
      <c r="D85" s="32"/>
      <c r="E85" s="32"/>
      <c r="F85" s="32"/>
    </row>
    <row r="86" spans="1:6" ht="15" customHeight="1">
      <c r="A86" s="32"/>
      <c r="B86" s="32"/>
      <c r="C86" s="32"/>
      <c r="D86" s="32"/>
      <c r="E86" s="32"/>
      <c r="F86" s="32"/>
    </row>
    <row r="87" spans="1:6" ht="15" customHeight="1">
      <c r="A87" s="2" t="s">
        <v>113</v>
      </c>
      <c r="B87" s="32"/>
      <c r="C87" s="32"/>
      <c r="D87" s="32"/>
      <c r="E87" s="32"/>
      <c r="F87" s="32"/>
    </row>
    <row r="88" spans="1:6" ht="15" customHeight="1">
      <c r="A88" s="2" t="s">
        <v>114</v>
      </c>
      <c r="B88" s="33">
        <f>AVERAGE(C61:C66)</f>
        <v>1.9464388888888891</v>
      </c>
      <c r="C88" s="32"/>
      <c r="D88" s="32"/>
      <c r="E88" s="32"/>
      <c r="F88" s="32"/>
    </row>
    <row r="89" spans="1:6" ht="15" customHeight="1">
      <c r="A89" s="32"/>
      <c r="B89" s="32"/>
      <c r="C89" s="32"/>
      <c r="D89" s="32"/>
      <c r="E89" s="32"/>
      <c r="F89" s="32"/>
    </row>
    <row r="90" spans="1:6" ht="15" customHeight="1">
      <c r="A90" s="2" t="s">
        <v>115</v>
      </c>
      <c r="B90" s="32"/>
      <c r="C90" s="32"/>
      <c r="D90" s="32"/>
      <c r="E90" s="32"/>
      <c r="F90" s="32"/>
    </row>
    <row r="91" spans="1:6" ht="15" customHeight="1">
      <c r="A91" s="2" t="s">
        <v>116</v>
      </c>
      <c r="B91" s="32"/>
      <c r="C91" s="32"/>
      <c r="D91" s="32"/>
      <c r="E91" s="32"/>
      <c r="F91" s="32"/>
    </row>
    <row r="92" spans="1:6" ht="15" customHeight="1">
      <c r="A92" s="32"/>
      <c r="B92" s="32"/>
      <c r="C92" s="32"/>
      <c r="D92" s="32"/>
      <c r="E92" s="32"/>
      <c r="F92" s="32"/>
    </row>
    <row r="93" spans="1:6" ht="15" customHeight="1">
      <c r="A93" s="32"/>
      <c r="B93" s="32"/>
      <c r="C93" s="32"/>
      <c r="D93" s="32"/>
      <c r="E93" s="32"/>
      <c r="F93" s="32"/>
    </row>
    <row r="94" spans="1:6" ht="15" customHeight="1">
      <c r="A94" s="32"/>
      <c r="B94" s="32"/>
      <c r="C94" s="32"/>
      <c r="D94" s="32"/>
      <c r="E94" s="32"/>
      <c r="F94" s="3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2"/>
  <sheetViews>
    <sheetView zoomScaleNormal="100" workbookViewId="0"/>
  </sheetViews>
  <sheetFormatPr baseColWidth="10" defaultColWidth="8.5" defaultRowHeight="14"/>
  <cols>
    <col min="1" max="1" width="52" customWidth="1"/>
    <col min="2" max="6" width="16" customWidth="1"/>
  </cols>
  <sheetData>
    <row r="1" spans="1:6" ht="17.25" customHeight="1">
      <c r="A1" s="1" t="s">
        <v>117</v>
      </c>
    </row>
    <row r="3" spans="1:6" ht="15" customHeight="1">
      <c r="A3" s="3" t="s">
        <v>118</v>
      </c>
      <c r="B3" s="3"/>
      <c r="C3" s="3"/>
      <c r="D3" s="3"/>
      <c r="E3" s="3"/>
      <c r="F3" s="3"/>
    </row>
    <row r="4" spans="1:6" ht="15" customHeight="1">
      <c r="A4" s="2" t="s">
        <v>119</v>
      </c>
    </row>
    <row r="6" spans="1:6" ht="15" customHeight="1">
      <c r="A6" s="4" t="s">
        <v>120</v>
      </c>
      <c r="B6" s="35">
        <v>15</v>
      </c>
    </row>
    <row r="7" spans="1:6" ht="15" customHeight="1">
      <c r="A7" s="4" t="s">
        <v>121</v>
      </c>
      <c r="B7" s="36">
        <v>0.5</v>
      </c>
    </row>
    <row r="8" spans="1:6" ht="15" customHeight="1">
      <c r="A8" s="4" t="s">
        <v>122</v>
      </c>
      <c r="B8" s="35">
        <v>12</v>
      </c>
    </row>
    <row r="10" spans="1:6" ht="15" customHeight="1">
      <c r="A10" s="4" t="s">
        <v>123</v>
      </c>
      <c r="B10" s="5">
        <f>1-BINOMDIST(B8-1,B6,B7,TRUE())</f>
        <v>1.7578125E-2</v>
      </c>
      <c r="C10" s="2" t="s">
        <v>124</v>
      </c>
    </row>
    <row r="11" spans="1:6" ht="15" customHeight="1">
      <c r="A11" s="2" t="s">
        <v>125</v>
      </c>
      <c r="B11" s="26">
        <f ca="1">SUMPRODUCT(COMBIN(B6,ROW(INDIRECT(B8&amp;":"&amp;B6))))/2^B6</f>
        <v>1.7578125E-2</v>
      </c>
    </row>
    <row r="14" spans="1:6" ht="15" customHeight="1">
      <c r="A14" s="3" t="s">
        <v>126</v>
      </c>
      <c r="B14" s="3"/>
      <c r="C14" s="3"/>
      <c r="D14" s="3"/>
      <c r="E14" s="3"/>
      <c r="F14" s="3"/>
    </row>
    <row r="15" spans="1:6" ht="15" customHeight="1">
      <c r="A15" s="2" t="s">
        <v>127</v>
      </c>
    </row>
    <row r="17" spans="1:6" ht="15" customHeight="1">
      <c r="A17" s="4" t="s">
        <v>128</v>
      </c>
      <c r="B17" s="35">
        <v>100</v>
      </c>
    </row>
    <row r="18" spans="1:6" ht="15" customHeight="1">
      <c r="A18" s="4" t="s">
        <v>122</v>
      </c>
      <c r="B18" s="35">
        <v>14</v>
      </c>
    </row>
    <row r="19" spans="1:6" ht="15" customHeight="1">
      <c r="A19" s="4" t="s">
        <v>129</v>
      </c>
      <c r="B19" s="37">
        <f>1-BINOMDIST(B18-1,B6,B7,TRUE())</f>
        <v>4.8828125E-4</v>
      </c>
    </row>
    <row r="20" spans="1:6" ht="15" customHeight="1">
      <c r="A20" s="4" t="s">
        <v>130</v>
      </c>
      <c r="B20" s="26">
        <f>(1-B19)^B17</f>
        <v>0.95233344343124982</v>
      </c>
    </row>
    <row r="22" spans="1:6" ht="15" customHeight="1">
      <c r="A22" s="4" t="s">
        <v>131</v>
      </c>
      <c r="B22" s="5">
        <f>1-B20</f>
        <v>4.7666556568750185E-2</v>
      </c>
      <c r="C22" s="2" t="s">
        <v>124</v>
      </c>
    </row>
    <row r="24" spans="1:6" ht="15" customHeight="1">
      <c r="A24" s="2" t="s">
        <v>132</v>
      </c>
    </row>
    <row r="27" spans="1:6" ht="15" customHeight="1">
      <c r="A27" s="3" t="s">
        <v>133</v>
      </c>
      <c r="B27" s="3"/>
      <c r="C27" s="3"/>
      <c r="D27" s="3"/>
      <c r="E27" s="3"/>
      <c r="F27" s="3"/>
    </row>
    <row r="28" spans="1:6" ht="15" customHeight="1">
      <c r="A28" s="2" t="s">
        <v>134</v>
      </c>
    </row>
    <row r="30" spans="1:6" ht="15" customHeight="1">
      <c r="A30" s="4" t="s">
        <v>135</v>
      </c>
      <c r="B30" s="35">
        <v>4</v>
      </c>
    </row>
    <row r="31" spans="1:6" ht="15" customHeight="1">
      <c r="A31" s="4" t="s">
        <v>136</v>
      </c>
      <c r="B31" s="35">
        <v>2</v>
      </c>
    </row>
    <row r="33" spans="1:5" ht="15" customHeight="1">
      <c r="A33" s="4" t="s">
        <v>137</v>
      </c>
      <c r="B33" s="4" t="s">
        <v>138</v>
      </c>
      <c r="C33" s="4" t="s">
        <v>139</v>
      </c>
      <c r="D33" s="4" t="s">
        <v>140</v>
      </c>
      <c r="E33" s="4" t="s">
        <v>141</v>
      </c>
    </row>
    <row r="34" spans="1:5" ht="15" customHeight="1">
      <c r="A34" t="s">
        <v>142</v>
      </c>
      <c r="B34" s="21">
        <f>B31/B30</f>
        <v>0.5</v>
      </c>
      <c r="C34">
        <f>B31-1</f>
        <v>1</v>
      </c>
      <c r="D34">
        <f>B30-B31-1</f>
        <v>1</v>
      </c>
      <c r="E34" s="21">
        <f>C34/(C34+D34)</f>
        <v>0.5</v>
      </c>
    </row>
    <row r="35" spans="1:5" ht="15" customHeight="1">
      <c r="A35" t="s">
        <v>143</v>
      </c>
      <c r="B35" s="21">
        <f>(B30-B31)/B30</f>
        <v>0.5</v>
      </c>
      <c r="C35">
        <f>B31</f>
        <v>2</v>
      </c>
      <c r="D35">
        <f>B30-B31-2</f>
        <v>0</v>
      </c>
      <c r="E35" s="21">
        <f>C35/(C35+D35)</f>
        <v>1</v>
      </c>
    </row>
    <row r="37" spans="1:5" ht="15" customHeight="1">
      <c r="A37" s="4" t="s">
        <v>144</v>
      </c>
      <c r="B37" s="21">
        <f>B31/B30</f>
        <v>0.5</v>
      </c>
    </row>
    <row r="38" spans="1:5" ht="15" customHeight="1">
      <c r="A38" s="4" t="s">
        <v>145</v>
      </c>
      <c r="B38" s="21">
        <f>SUMPRODUCT(B34:B35,E34:E35)</f>
        <v>0.75</v>
      </c>
    </row>
    <row r="40" spans="1:5" ht="15" customHeight="1">
      <c r="A40" s="4" t="s">
        <v>146</v>
      </c>
      <c r="B40" s="38">
        <f>MAX(B37,B38)</f>
        <v>0.75</v>
      </c>
      <c r="C40" s="2" t="s">
        <v>147</v>
      </c>
    </row>
    <row r="42" spans="1:5" ht="15" customHeight="1">
      <c r="A42" s="2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Answers</vt:lpstr>
      <vt:lpstr>data</vt:lpstr>
      <vt:lpstr>Monthly returns</vt:lpstr>
      <vt:lpstr>Value_at_risk</vt:lpstr>
      <vt:lpstr>Q1_Q2_Portfolio</vt:lpstr>
      <vt:lpstr>Q3_Q4_VaR</vt:lpstr>
      <vt:lpstr>Q5_Q7_Probability</vt:lpstr>
      <vt:lpstr>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Columbia University</dc:creator>
  <dc:description/>
  <cp:lastModifiedBy>Pathorn Kitisupavatana</cp:lastModifiedBy>
  <cp:revision>0</cp:revision>
  <dcterms:created xsi:type="dcterms:W3CDTF">2013-01-27T13:25:37Z</dcterms:created>
  <dcterms:modified xsi:type="dcterms:W3CDTF">2026-08-04T08:19:13Z</dcterms:modified>
  <dc:language>en-US</dc:language>
</cp:coreProperties>
</file>